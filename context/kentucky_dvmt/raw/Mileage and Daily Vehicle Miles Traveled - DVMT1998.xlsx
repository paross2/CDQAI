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revisions/revisionHeaders.xml" ContentType="application/vnd.openxmlformats-officedocument.spreadsheetml.revisionHeader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0" yWindow="-150" windowWidth="17760" windowHeight="12780"/>
  </bookViews>
  <sheets>
    <sheet name="VMT1" sheetId="1" r:id="rId1"/>
  </sheets>
  <definedNames>
    <definedName name="_xlnm.Print_Titles" localSheetId="0">'VMT1'!$A:$B,'VMT1'!$5:$7</definedName>
    <definedName name="Z_42EEE160_96A8_11D3_9088_00C04FACEB10_.wvu.PrintTitles" localSheetId="0" hidden="1">'VMT1'!$A:$B,'VMT1'!$5:$7</definedName>
    <definedName name="Z_B4189DEE_840B_4E8F_8634_CBCD83879A98_.wvu.PrintTitles" localSheetId="0" hidden="1">'VMT1'!$A:$B,'VMT1'!$5:$7</definedName>
  </definedNames>
  <calcPr calcId="125725" fullCalcOnLoad="1"/>
  <customWorkbookViews>
    <customWorkbookView name="Sanford, Gretchen (KYTC) - Personal View" guid="{B4189DEE-840B-4E8F-8634-CBCD83879A98}" mergeInterval="0" personalView="1" maximized="1" xWindow="1" yWindow="1" windowWidth="1680" windowHeight="820" activeSheetId="1"/>
    <customWorkbookView name="KYTC - Personal View" guid="{42EEE160-96A8-11D3-9088-00C04FACEB10}" mergeInterval="0" personalView="1" xWindow="4" yWindow="22" windowWidth="1172" windowHeight="814" activeSheetId="1" showComments="commNone"/>
  </customWorkbookViews>
</workbook>
</file>

<file path=xl/calcChain.xml><?xml version="1.0" encoding="utf-8"?>
<calcChain xmlns="http://schemas.openxmlformats.org/spreadsheetml/2006/main">
  <c r="C8" i="1"/>
  <c r="AD8"/>
  <c r="C9"/>
  <c r="C129" s="1"/>
  <c r="AD9"/>
  <c r="AD129" s="1"/>
  <c r="C10"/>
  <c r="AD10"/>
  <c r="C11"/>
  <c r="AD11"/>
  <c r="C12"/>
  <c r="AD12"/>
  <c r="C13"/>
  <c r="AD13"/>
  <c r="C14"/>
  <c r="AD14"/>
  <c r="C15"/>
  <c r="AD15"/>
  <c r="C16"/>
  <c r="AD16"/>
  <c r="C17"/>
  <c r="AD17"/>
  <c r="C18"/>
  <c r="AD18"/>
  <c r="C19"/>
  <c r="AD19"/>
  <c r="C20"/>
  <c r="AD20"/>
  <c r="C21"/>
  <c r="AD21"/>
  <c r="C22"/>
  <c r="AD22"/>
  <c r="C23"/>
  <c r="AD23"/>
  <c r="C24"/>
  <c r="AD24"/>
  <c r="C25"/>
  <c r="AD25"/>
  <c r="C26"/>
  <c r="AD26"/>
  <c r="C27"/>
  <c r="AD27"/>
  <c r="C28"/>
  <c r="AD28"/>
  <c r="C29"/>
  <c r="AD29"/>
  <c r="C30"/>
  <c r="AD30"/>
  <c r="C31"/>
  <c r="AD31"/>
  <c r="C32"/>
  <c r="AD32"/>
  <c r="C33"/>
  <c r="AD33"/>
  <c r="C34"/>
  <c r="AD34"/>
  <c r="C35"/>
  <c r="AD35"/>
  <c r="C36"/>
  <c r="AD36"/>
  <c r="AD37"/>
  <c r="C38"/>
  <c r="AD38"/>
  <c r="C39"/>
  <c r="AD39"/>
  <c r="C40"/>
  <c r="AD40"/>
  <c r="C41"/>
  <c r="AD41"/>
  <c r="C42"/>
  <c r="AD42"/>
  <c r="C43"/>
  <c r="AD43"/>
  <c r="C44"/>
  <c r="AD44"/>
  <c r="C45"/>
  <c r="AD45"/>
  <c r="C46"/>
  <c r="AD46"/>
  <c r="C47"/>
  <c r="AD47"/>
  <c r="C48"/>
  <c r="AD48"/>
  <c r="C49"/>
  <c r="AD49"/>
  <c r="C50"/>
  <c r="AD50"/>
  <c r="C51"/>
  <c r="AD51"/>
  <c r="C52"/>
  <c r="AD52"/>
  <c r="C53"/>
  <c r="AD53"/>
  <c r="C54"/>
  <c r="AD54"/>
  <c r="C55"/>
  <c r="AD55"/>
  <c r="C56"/>
  <c r="AD56"/>
  <c r="C57"/>
  <c r="AD57"/>
  <c r="C58"/>
  <c r="AD58"/>
  <c r="C59"/>
  <c r="AD59"/>
  <c r="C60"/>
  <c r="AD60"/>
  <c r="C61"/>
  <c r="AD61"/>
  <c r="C62"/>
  <c r="AD62"/>
  <c r="C63"/>
  <c r="AD63"/>
  <c r="C64"/>
  <c r="AD64"/>
  <c r="C65"/>
  <c r="AD65"/>
  <c r="C66"/>
  <c r="AD66"/>
  <c r="C67"/>
  <c r="AD67"/>
  <c r="C68"/>
  <c r="AD68"/>
  <c r="C69"/>
  <c r="AD69"/>
  <c r="C70"/>
  <c r="AD70"/>
  <c r="C71"/>
  <c r="AD71"/>
  <c r="C72"/>
  <c r="AD72"/>
  <c r="C73"/>
  <c r="AD73"/>
  <c r="C74"/>
  <c r="AD74"/>
  <c r="C75"/>
  <c r="AD75"/>
  <c r="C76"/>
  <c r="AD76"/>
  <c r="C77"/>
  <c r="AD77"/>
  <c r="C78"/>
  <c r="AD78"/>
  <c r="C79"/>
  <c r="AD79"/>
  <c r="C80"/>
  <c r="AD80"/>
  <c r="C81"/>
  <c r="AD81"/>
  <c r="C82"/>
  <c r="AD82"/>
  <c r="C83"/>
  <c r="AD83"/>
  <c r="C84"/>
  <c r="AD84"/>
  <c r="C85"/>
  <c r="AD85"/>
  <c r="C86"/>
  <c r="AD86"/>
  <c r="C87"/>
  <c r="AD87"/>
  <c r="C88"/>
  <c r="AD88"/>
  <c r="C89"/>
  <c r="AD89"/>
  <c r="C90"/>
  <c r="AD90"/>
  <c r="C91"/>
  <c r="AD91"/>
  <c r="C92"/>
  <c r="AD92"/>
  <c r="C93"/>
  <c r="AD93"/>
  <c r="C94"/>
  <c r="AD94"/>
  <c r="C95"/>
  <c r="AD95"/>
  <c r="C96"/>
  <c r="AD96"/>
  <c r="C97"/>
  <c r="AD97"/>
  <c r="C98"/>
  <c r="AD98"/>
  <c r="C99"/>
  <c r="AD99"/>
  <c r="C100"/>
  <c r="AD100"/>
  <c r="C101"/>
  <c r="AD101"/>
  <c r="C102"/>
  <c r="AD102"/>
  <c r="C103"/>
  <c r="AD103"/>
  <c r="C104"/>
  <c r="AD104"/>
  <c r="C105"/>
  <c r="AD105"/>
  <c r="C106"/>
  <c r="AD106"/>
  <c r="C107"/>
  <c r="AD107"/>
  <c r="C108"/>
  <c r="AD108"/>
  <c r="C109"/>
  <c r="AD109"/>
  <c r="C110"/>
  <c r="AD110"/>
  <c r="C111"/>
  <c r="AD111"/>
  <c r="C112"/>
  <c r="AD112"/>
  <c r="C113"/>
  <c r="AD113"/>
  <c r="C114"/>
  <c r="AD114"/>
  <c r="C115"/>
  <c r="AD115"/>
  <c r="C116"/>
  <c r="AD116"/>
  <c r="C117"/>
  <c r="AD117"/>
  <c r="C118"/>
  <c r="AD118"/>
  <c r="C119"/>
  <c r="AD119"/>
  <c r="C120"/>
  <c r="AD120"/>
  <c r="C121"/>
  <c r="AD121"/>
  <c r="C122"/>
  <c r="AD122"/>
  <c r="C123"/>
  <c r="AD123"/>
  <c r="C124"/>
  <c r="AD124"/>
  <c r="C125"/>
  <c r="AD125"/>
  <c r="C126"/>
  <c r="AD126"/>
  <c r="C127"/>
  <c r="AD127"/>
  <c r="D129"/>
  <c r="E129"/>
  <c r="F129"/>
  <c r="G129"/>
  <c r="H129"/>
  <c r="I129"/>
  <c r="J129"/>
  <c r="K129"/>
  <c r="L129"/>
  <c r="M129"/>
  <c r="N129"/>
  <c r="O129"/>
  <c r="P129"/>
  <c r="R129"/>
  <c r="S129"/>
  <c r="T129"/>
  <c r="U129"/>
  <c r="V129"/>
  <c r="W129"/>
  <c r="X129"/>
  <c r="Y129"/>
  <c r="Z129"/>
  <c r="AA129"/>
  <c r="AB129"/>
  <c r="AC129"/>
</calcChain>
</file>

<file path=xl/sharedStrings.xml><?xml version="1.0" encoding="utf-8"?>
<sst xmlns="http://schemas.openxmlformats.org/spreadsheetml/2006/main" count="162" uniqueCount="144">
  <si>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</si>
  <si>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</si>
  <si>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</si>
  <si>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</si>
  <si>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</si>
  <si>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</si>
  <si>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</si>
  <si>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</si>
  <si>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</si>
  <si>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</si>
  <si>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</si>
  <si>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</si>
  <si>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</si>
  <si>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</si>
  <si>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</si>
  <si>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</si>
  <si>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</si>
  <si>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</si>
  <si>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</si>
  <si>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</si>
  <si>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</si>
  <si>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</si>
  <si>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</si>
  <si>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</si>
  <si>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</si>
  <si>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</si>
  <si>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</si>
  <si>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</si>
  <si>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</si>
  <si>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</si>
  <si>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</si>
  <si>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</si>
  <si>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</si>
  <si>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</si>
  <si>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</si>
  <si>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</si>
  <si>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</si>
  <si>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</si>
  <si>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</si>
  <si>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</si>
  <si>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</si>
  <si>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</si>
  <si>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</si>
  <si>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</si>
  <si>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</si>
  <si>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</si>
  <si>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</si>
  <si>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</si>
  <si>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</si>
  <si>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</si>
  <si>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</si>
  <si>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</si>
  <si>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</si>
  <si>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</si>
  <si>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</si>
  <si>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</si>
  <si>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</si>
  <si>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</si>
  <si>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</si>
  <si>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</si>
  <si>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</si>
  <si>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</si>
  <si>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</si>
  <si>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</si>
  <si>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</si>
  <si>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</si>
  <si>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</si>
  <si>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</si>
  <si>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</si>
  <si>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</si>
  <si>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</si>
  <si>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</si>
  <si>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</si>
  <si>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</si>
  <si>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</si>
  <si>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</si>
  <si>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</si>
  <si>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</si>
  <si>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</si>
  <si>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</si>
  <si>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</si>
  <si>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</si>
  <si>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</si>
  <si>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</si>
  <si>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</si>
  <si>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</si>
  <si>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</si>
  <si>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</si>
  <si>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</si>
  <si>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</si>
  <si>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</si>
  <si>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</si>
  <si>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</si>
  <si>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</si>
  <si>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</si>
  <si>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</si>
  <si>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</si>
  <si>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</si>
  <si>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</si>
  <si>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</si>
  <si>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</si>
  <si>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</si>
  <si>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</si>
  <si>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</si>
  <si>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</si>
  <si>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</si>
  <si>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</si>
  <si>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</si>
  <si>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</si>
  <si>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</si>
  <si>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</si>
  <si>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</si>
  <si>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</si>
  <si>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</si>
  <si>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</si>
  <si>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</si>
  <si>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</si>
  <si>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</si>
  <si>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</si>
  <si>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</si>
  <si>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</si>
  <si>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</si>
  <si>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</si>
  <si>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</si>
  <si>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</si>
  <si>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</si>
  <si>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</si>
  <si>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Rural Miles</t>
  </si>
  <si>
    <t>Urban Miles</t>
  </si>
  <si>
    <t>Rural DVMT (x1,000)</t>
  </si>
  <si>
    <t>Urban DVMT (x1,000)</t>
  </si>
  <si>
    <t>County</t>
  </si>
  <si>
    <t>Loc/</t>
  </si>
  <si>
    <t>MnC</t>
  </si>
  <si>
    <t>Coll.</t>
  </si>
  <si>
    <t>(Revised)</t>
  </si>
  <si>
    <t>Statewide Total</t>
  </si>
  <si>
    <t>with Local DVMT's  adjusted using (Minor) Collector ratios:  Loc. DVMT = Loc. Miles * percentage * (Coll. DVMT / Coll. Miles)</t>
  </si>
  <si>
    <t xml:space="preserve">1998 DVMT (in thousands) and Mileage by County and Functional Class </t>
  </si>
  <si>
    <t>DAVIESS rev 10/14</t>
  </si>
  <si>
    <t>BOYD rev 7/29</t>
  </si>
  <si>
    <t>Rev. 1998</t>
  </si>
  <si>
    <t>Tot. DVMT</t>
  </si>
  <si>
    <t>November 22,1999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</si>
</sst>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2"/>
      <name val="Arial"/>
      <family val="2"/>
    </font>
    <font>
      <b/>
      <i/>
      <sz val="12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revisionHeaders" Target="revisions/revisionHeader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calcChain" Target="calcChain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guid="{57DF78F6-8BBC-4BCC-B604-71F70E43392B}" diskRevisions="1" revisionId="242" version="2">
  <header guid="{57DF78F6-8BBC-4BCC-B604-71F70E43392B}" dateTime="2013-08-20T16:18:48" maxSheetId="2" userName="Sanford, Gretchen (KYTC)" r:id="rId2">
    <sheetIdMap count="1">
      <sheetId val="1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>
  <rdn rId="0" localSheetId="1" customView="1" name="Z_B4189DEE_840B_4E8F_8634_CBCD83879A98_.wvu.PrintTitles" hidden="1" oldHidden="1">
    <formula>'VMT1'!$A:$B,'VMT1'!$5:$7</formula>
  </rdn>
  <rcv guid="{B4189DEE-840B-4E8F-8634-CBCD83879A98}" action="add"/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9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11" sqref="I111"/>
    </sheetView>
  </sheetViews>
  <sheetFormatPr defaultRowHeight="12.75"/>
  <cols>
    <col min="1" max="1" width="5.140625" customWidth="1"/>
    <col min="2" max="2" width="21.7109375" customWidth="1"/>
    <col min="3" max="3" width="11.5703125" style="1" customWidth="1"/>
    <col min="9" max="9" width="9.7109375" style="1" customWidth="1"/>
    <col min="10" max="10" width="7.140625" customWidth="1"/>
    <col min="16" max="16" width="8.85546875" style="1" customWidth="1"/>
    <col min="17" max="17" width="6.5703125" customWidth="1"/>
  </cols>
  <sheetData>
    <row r="1" spans="1:30" ht="15">
      <c r="A1" s="3" t="s">
        <v>143</v>
      </c>
      <c r="B1" s="3"/>
      <c r="C1" s="4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">
      <c r="A2" s="3" t="s">
        <v>138</v>
      </c>
      <c r="B2" s="3"/>
      <c r="C2" s="4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>
      <c r="A3" s="3" t="s">
        <v>137</v>
      </c>
      <c r="B3" s="3"/>
      <c r="C3" s="4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>
      <c r="A4" s="3"/>
      <c r="B4" s="3"/>
      <c r="C4" s="4"/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>
      <c r="A5" s="3"/>
      <c r="B5" s="3"/>
      <c r="C5" s="5" t="s">
        <v>141</v>
      </c>
      <c r="D5" s="14" t="s">
        <v>129</v>
      </c>
      <c r="E5" s="14"/>
      <c r="F5" s="14"/>
      <c r="G5" s="14"/>
      <c r="H5" s="14"/>
      <c r="I5" s="14"/>
      <c r="J5" s="6" t="s">
        <v>132</v>
      </c>
      <c r="K5" s="14" t="s">
        <v>130</v>
      </c>
      <c r="L5" s="14"/>
      <c r="M5" s="14"/>
      <c r="N5" s="14"/>
      <c r="O5" s="14"/>
      <c r="P5" s="14"/>
      <c r="Q5" s="6" t="s">
        <v>132</v>
      </c>
      <c r="R5" s="14" t="s">
        <v>127</v>
      </c>
      <c r="S5" s="14"/>
      <c r="T5" s="14"/>
      <c r="U5" s="14"/>
      <c r="V5" s="14"/>
      <c r="W5" s="14"/>
      <c r="X5" s="14" t="s">
        <v>128</v>
      </c>
      <c r="Y5" s="14"/>
      <c r="Z5" s="14"/>
      <c r="AA5" s="14"/>
      <c r="AB5" s="14"/>
      <c r="AC5" s="14"/>
      <c r="AD5" s="3"/>
    </row>
    <row r="6" spans="1:30" s="2" customFormat="1" ht="15">
      <c r="A6" s="7"/>
      <c r="B6" s="8" t="s">
        <v>131</v>
      </c>
      <c r="C6" s="9" t="s">
        <v>142</v>
      </c>
      <c r="D6" s="7" t="s">
        <v>0</v>
      </c>
      <c r="E6" s="7" t="s">
        <v>1</v>
      </c>
      <c r="F6" s="7" t="s">
        <v>2</v>
      </c>
      <c r="G6" s="7" t="s">
        <v>3</v>
      </c>
      <c r="H6" s="7" t="s">
        <v>4</v>
      </c>
      <c r="I6" s="9" t="s">
        <v>5</v>
      </c>
      <c r="J6" s="7" t="s">
        <v>133</v>
      </c>
      <c r="K6" s="7" t="s">
        <v>0</v>
      </c>
      <c r="L6" s="7" t="s">
        <v>6</v>
      </c>
      <c r="M6" s="7" t="s">
        <v>1</v>
      </c>
      <c r="N6" s="7" t="s">
        <v>2</v>
      </c>
      <c r="O6" s="7" t="s">
        <v>7</v>
      </c>
      <c r="P6" s="9" t="s">
        <v>5</v>
      </c>
      <c r="Q6" s="7" t="s">
        <v>134</v>
      </c>
      <c r="R6" s="7" t="s">
        <v>0</v>
      </c>
      <c r="S6" s="7" t="s">
        <v>1</v>
      </c>
      <c r="T6" s="7" t="s">
        <v>2</v>
      </c>
      <c r="U6" s="7" t="s">
        <v>3</v>
      </c>
      <c r="V6" s="7" t="s">
        <v>4</v>
      </c>
      <c r="W6" s="7" t="s">
        <v>5</v>
      </c>
      <c r="X6" s="7" t="s">
        <v>0</v>
      </c>
      <c r="Y6" s="7" t="s">
        <v>6</v>
      </c>
      <c r="Z6" s="7" t="s">
        <v>1</v>
      </c>
      <c r="AA6" s="7" t="s">
        <v>2</v>
      </c>
      <c r="AB6" s="7" t="s">
        <v>7</v>
      </c>
      <c r="AC6" s="7" t="s">
        <v>5</v>
      </c>
      <c r="AD6" s="7" t="s">
        <v>8</v>
      </c>
    </row>
    <row r="7" spans="1:30" ht="15">
      <c r="A7" s="3"/>
      <c r="B7" s="10"/>
      <c r="C7" s="4"/>
      <c r="D7" s="3"/>
      <c r="E7" s="3"/>
      <c r="F7" s="3"/>
      <c r="G7" s="3"/>
      <c r="H7" s="3"/>
      <c r="I7" s="9" t="s">
        <v>135</v>
      </c>
      <c r="J7" s="3"/>
      <c r="K7" s="3"/>
      <c r="L7" s="3"/>
      <c r="M7" s="3"/>
      <c r="N7" s="3"/>
      <c r="O7" s="3"/>
      <c r="P7" s="9" t="s">
        <v>135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">
      <c r="A8" s="3">
        <v>1</v>
      </c>
      <c r="B8" s="10" t="s">
        <v>9</v>
      </c>
      <c r="C8" s="4">
        <f t="shared" ref="C8:C39" si="0">SUM(D8:I8)+SUM(K8:P8)</f>
        <v>496.94349999999997</v>
      </c>
      <c r="D8" s="3">
        <v>0</v>
      </c>
      <c r="E8" s="3">
        <v>186</v>
      </c>
      <c r="F8" s="3">
        <v>26</v>
      </c>
      <c r="G8" s="3">
        <v>170</v>
      </c>
      <c r="H8" s="3">
        <v>45</v>
      </c>
      <c r="I8" s="4">
        <v>69.9435</v>
      </c>
      <c r="J8" s="3">
        <v>0.33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0</v>
      </c>
      <c r="Q8" s="3">
        <v>0.12</v>
      </c>
      <c r="R8" s="3">
        <v>0</v>
      </c>
      <c r="S8" s="3">
        <v>31</v>
      </c>
      <c r="T8" s="3">
        <v>9</v>
      </c>
      <c r="U8" s="3">
        <v>85</v>
      </c>
      <c r="V8" s="3">
        <v>100</v>
      </c>
      <c r="W8" s="3">
        <v>471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f>SUM(R8:AC8)</f>
        <v>696</v>
      </c>
    </row>
    <row r="9" spans="1:30" ht="15">
      <c r="A9" s="3">
        <v>2</v>
      </c>
      <c r="B9" s="10" t="s">
        <v>10</v>
      </c>
      <c r="C9" s="4">
        <f t="shared" si="0"/>
        <v>401.98750000000001</v>
      </c>
      <c r="D9" s="3">
        <v>0</v>
      </c>
      <c r="E9" s="3">
        <v>86</v>
      </c>
      <c r="F9" s="3">
        <v>39</v>
      </c>
      <c r="G9" s="3">
        <v>130</v>
      </c>
      <c r="H9" s="3">
        <v>55</v>
      </c>
      <c r="I9" s="4">
        <v>91.987499999999997</v>
      </c>
      <c r="J9" s="3">
        <v>0.33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v>0</v>
      </c>
      <c r="Q9" s="3">
        <v>0.12</v>
      </c>
      <c r="R9" s="3">
        <v>0</v>
      </c>
      <c r="S9" s="3">
        <v>18</v>
      </c>
      <c r="T9" s="3">
        <v>11</v>
      </c>
      <c r="U9" s="3">
        <v>64</v>
      </c>
      <c r="V9" s="3">
        <v>88</v>
      </c>
      <c r="W9" s="3">
        <v>446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f t="shared" ref="AD9:AD72" si="1">SUM(R9:AC9)</f>
        <v>627</v>
      </c>
    </row>
    <row r="10" spans="1:30" ht="15">
      <c r="A10" s="3">
        <v>3</v>
      </c>
      <c r="B10" s="10" t="s">
        <v>11</v>
      </c>
      <c r="C10" s="4">
        <f t="shared" si="0"/>
        <v>523.86</v>
      </c>
      <c r="D10" s="3">
        <v>0</v>
      </c>
      <c r="E10" s="3">
        <v>248</v>
      </c>
      <c r="F10" s="3">
        <v>24</v>
      </c>
      <c r="G10" s="3">
        <v>62</v>
      </c>
      <c r="H10" s="3">
        <v>40</v>
      </c>
      <c r="I10" s="4">
        <v>44.16</v>
      </c>
      <c r="J10" s="3">
        <v>0.33</v>
      </c>
      <c r="K10" s="3">
        <v>0</v>
      </c>
      <c r="L10" s="3">
        <v>0</v>
      </c>
      <c r="M10" s="3">
        <v>32</v>
      </c>
      <c r="N10" s="3">
        <v>30</v>
      </c>
      <c r="O10" s="3">
        <v>23</v>
      </c>
      <c r="P10" s="4">
        <v>20.7</v>
      </c>
      <c r="Q10" s="3">
        <v>0.12</v>
      </c>
      <c r="R10" s="3">
        <v>0</v>
      </c>
      <c r="S10" s="3">
        <v>22</v>
      </c>
      <c r="T10" s="3">
        <v>5</v>
      </c>
      <c r="U10" s="3">
        <v>44</v>
      </c>
      <c r="V10" s="3">
        <v>55</v>
      </c>
      <c r="W10" s="3">
        <v>184</v>
      </c>
      <c r="X10" s="3">
        <v>0</v>
      </c>
      <c r="Y10" s="3">
        <v>0</v>
      </c>
      <c r="Z10" s="3">
        <v>2</v>
      </c>
      <c r="AA10" s="3">
        <v>3</v>
      </c>
      <c r="AB10" s="3">
        <v>4</v>
      </c>
      <c r="AC10" s="3">
        <v>30</v>
      </c>
      <c r="AD10" s="3">
        <f t="shared" si="1"/>
        <v>349</v>
      </c>
    </row>
    <row r="11" spans="1:30" ht="15">
      <c r="A11" s="3">
        <v>4</v>
      </c>
      <c r="B11" s="10" t="s">
        <v>12</v>
      </c>
      <c r="C11" s="4">
        <f t="shared" si="0"/>
        <v>242.19241935483871</v>
      </c>
      <c r="D11" s="3">
        <v>0</v>
      </c>
      <c r="E11" s="3">
        <v>120</v>
      </c>
      <c r="F11" s="3">
        <v>15</v>
      </c>
      <c r="G11" s="3">
        <v>62</v>
      </c>
      <c r="H11" s="3">
        <v>19</v>
      </c>
      <c r="I11" s="4">
        <v>26.192419354838712</v>
      </c>
      <c r="J11" s="3">
        <v>0.33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v>0</v>
      </c>
      <c r="Q11" s="3">
        <v>0.12</v>
      </c>
      <c r="R11" s="3">
        <v>0</v>
      </c>
      <c r="S11" s="3">
        <v>25</v>
      </c>
      <c r="T11" s="3">
        <v>9</v>
      </c>
      <c r="U11" s="3">
        <v>41</v>
      </c>
      <c r="V11" s="3">
        <v>62</v>
      </c>
      <c r="W11" s="3">
        <v>259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f t="shared" si="1"/>
        <v>396</v>
      </c>
    </row>
    <row r="12" spans="1:30" ht="15">
      <c r="A12" s="3">
        <v>5</v>
      </c>
      <c r="B12" s="10" t="s">
        <v>13</v>
      </c>
      <c r="C12" s="4">
        <f t="shared" si="0"/>
        <v>1240.9173385826771</v>
      </c>
      <c r="D12" s="3">
        <v>249</v>
      </c>
      <c r="E12" s="3">
        <v>107</v>
      </c>
      <c r="F12" s="3">
        <v>180</v>
      </c>
      <c r="G12" s="3">
        <v>209</v>
      </c>
      <c r="H12" s="3">
        <v>73</v>
      </c>
      <c r="I12" s="4">
        <v>113.62133858267718</v>
      </c>
      <c r="J12" s="3">
        <v>0.33</v>
      </c>
      <c r="K12" s="3">
        <v>0</v>
      </c>
      <c r="L12" s="3">
        <v>32</v>
      </c>
      <c r="M12" s="3">
        <v>119</v>
      </c>
      <c r="N12" s="3">
        <v>115</v>
      </c>
      <c r="O12" s="3">
        <v>33</v>
      </c>
      <c r="P12" s="4">
        <v>10.296000000000001</v>
      </c>
      <c r="Q12" s="3">
        <v>0.12</v>
      </c>
      <c r="R12" s="3">
        <v>8</v>
      </c>
      <c r="S12" s="3">
        <v>18</v>
      </c>
      <c r="T12" s="3">
        <v>30</v>
      </c>
      <c r="U12" s="3">
        <v>97</v>
      </c>
      <c r="V12" s="3">
        <v>127</v>
      </c>
      <c r="W12" s="3">
        <v>599</v>
      </c>
      <c r="X12" s="3">
        <v>0</v>
      </c>
      <c r="Y12" s="3">
        <v>4</v>
      </c>
      <c r="Z12" s="3">
        <v>9</v>
      </c>
      <c r="AA12" s="3">
        <v>17</v>
      </c>
      <c r="AB12" s="3">
        <v>10</v>
      </c>
      <c r="AC12" s="3">
        <v>26</v>
      </c>
      <c r="AD12" s="3">
        <f t="shared" si="1"/>
        <v>945</v>
      </c>
    </row>
    <row r="13" spans="1:30" ht="15">
      <c r="A13" s="3">
        <v>6</v>
      </c>
      <c r="B13" s="10" t="s">
        <v>14</v>
      </c>
      <c r="C13" s="4">
        <f t="shared" si="0"/>
        <v>440.85576923076923</v>
      </c>
      <c r="D13" s="3">
        <v>228</v>
      </c>
      <c r="E13" s="3">
        <v>0</v>
      </c>
      <c r="F13" s="3">
        <v>28</v>
      </c>
      <c r="G13" s="3">
        <v>124</v>
      </c>
      <c r="H13" s="3">
        <v>25</v>
      </c>
      <c r="I13" s="4">
        <v>35.855769230769234</v>
      </c>
      <c r="J13" s="3">
        <v>0.33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0</v>
      </c>
      <c r="Q13" s="3">
        <v>0.12</v>
      </c>
      <c r="R13" s="3">
        <v>13</v>
      </c>
      <c r="S13" s="3">
        <v>0</v>
      </c>
      <c r="T13" s="3">
        <v>13</v>
      </c>
      <c r="U13" s="3">
        <v>66</v>
      </c>
      <c r="V13" s="3">
        <v>52</v>
      </c>
      <c r="W13" s="3">
        <v>226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f t="shared" si="1"/>
        <v>370</v>
      </c>
    </row>
    <row r="14" spans="1:30" ht="15">
      <c r="A14" s="3">
        <v>7</v>
      </c>
      <c r="B14" s="10" t="s">
        <v>15</v>
      </c>
      <c r="C14" s="4">
        <f t="shared" si="0"/>
        <v>784.59757575757578</v>
      </c>
      <c r="D14" s="3">
        <v>0</v>
      </c>
      <c r="E14" s="3">
        <v>338</v>
      </c>
      <c r="F14" s="3">
        <v>0</v>
      </c>
      <c r="G14" s="3">
        <v>145</v>
      </c>
      <c r="H14" s="3">
        <v>42</v>
      </c>
      <c r="I14" s="4">
        <v>62.626666666666679</v>
      </c>
      <c r="J14" s="3">
        <v>0.33</v>
      </c>
      <c r="K14" s="3">
        <v>0</v>
      </c>
      <c r="L14" s="3">
        <v>0</v>
      </c>
      <c r="M14" s="3">
        <v>62</v>
      </c>
      <c r="N14" s="3">
        <v>79</v>
      </c>
      <c r="O14" s="3">
        <v>37</v>
      </c>
      <c r="P14" s="4">
        <v>18.970909090909089</v>
      </c>
      <c r="Q14" s="3">
        <v>0.12</v>
      </c>
      <c r="R14" s="3">
        <v>0</v>
      </c>
      <c r="S14" s="3">
        <v>32</v>
      </c>
      <c r="T14" s="3">
        <v>0</v>
      </c>
      <c r="U14" s="3">
        <v>99</v>
      </c>
      <c r="V14" s="3">
        <v>54</v>
      </c>
      <c r="W14" s="3">
        <v>244</v>
      </c>
      <c r="X14" s="3">
        <v>0</v>
      </c>
      <c r="Y14" s="3">
        <v>0</v>
      </c>
      <c r="Z14" s="3">
        <v>3</v>
      </c>
      <c r="AA14" s="3">
        <v>10</v>
      </c>
      <c r="AB14" s="3">
        <v>11</v>
      </c>
      <c r="AC14" s="3">
        <v>47</v>
      </c>
      <c r="AD14" s="3">
        <f t="shared" si="1"/>
        <v>500</v>
      </c>
    </row>
    <row r="15" spans="1:30" ht="15">
      <c r="A15" s="3">
        <v>8</v>
      </c>
      <c r="B15" s="10" t="s">
        <v>16</v>
      </c>
      <c r="C15" s="4">
        <f t="shared" si="0"/>
        <v>4594.704941176471</v>
      </c>
      <c r="D15" s="3">
        <v>821</v>
      </c>
      <c r="E15" s="3">
        <v>0</v>
      </c>
      <c r="F15" s="3">
        <v>0</v>
      </c>
      <c r="G15" s="3">
        <v>159</v>
      </c>
      <c r="H15" s="3">
        <v>56</v>
      </c>
      <c r="I15" s="4">
        <v>81.311999999999998</v>
      </c>
      <c r="J15" s="3">
        <v>0.33</v>
      </c>
      <c r="K15" s="4">
        <v>1195</v>
      </c>
      <c r="L15" s="3">
        <v>0</v>
      </c>
      <c r="M15" s="3">
        <v>0</v>
      </c>
      <c r="N15" s="3">
        <v>653</v>
      </c>
      <c r="O15" s="3">
        <v>296</v>
      </c>
      <c r="P15" s="4">
        <v>1333.3929411764709</v>
      </c>
      <c r="Q15" s="3">
        <v>0.28000000000000003</v>
      </c>
      <c r="R15" s="3">
        <v>19</v>
      </c>
      <c r="S15" s="3">
        <v>0</v>
      </c>
      <c r="T15" s="3">
        <v>0</v>
      </c>
      <c r="U15" s="3">
        <v>56</v>
      </c>
      <c r="V15" s="3">
        <v>55</v>
      </c>
      <c r="W15" s="3">
        <v>242</v>
      </c>
      <c r="X15" s="3">
        <v>15</v>
      </c>
      <c r="Y15" s="3">
        <v>0</v>
      </c>
      <c r="Z15" s="3">
        <v>0</v>
      </c>
      <c r="AA15" s="3">
        <v>46</v>
      </c>
      <c r="AB15" s="3">
        <v>34</v>
      </c>
      <c r="AC15" s="3">
        <v>547</v>
      </c>
      <c r="AD15" s="3">
        <f t="shared" si="1"/>
        <v>1014</v>
      </c>
    </row>
    <row r="16" spans="1:30" ht="15">
      <c r="A16" s="3">
        <v>9</v>
      </c>
      <c r="B16" s="10" t="s">
        <v>17</v>
      </c>
      <c r="C16" s="4">
        <f t="shared" si="0"/>
        <v>546.01812500000005</v>
      </c>
      <c r="D16" s="3">
        <v>0</v>
      </c>
      <c r="E16" s="3">
        <v>118</v>
      </c>
      <c r="F16" s="3">
        <v>109</v>
      </c>
      <c r="G16" s="3">
        <v>38</v>
      </c>
      <c r="H16" s="3">
        <v>52</v>
      </c>
      <c r="I16" s="4">
        <v>47.458125000000003</v>
      </c>
      <c r="J16" s="3">
        <v>0.33</v>
      </c>
      <c r="K16" s="3">
        <v>0</v>
      </c>
      <c r="L16" s="3">
        <v>0</v>
      </c>
      <c r="M16" s="3">
        <v>101</v>
      </c>
      <c r="N16" s="3">
        <v>55</v>
      </c>
      <c r="O16" s="3">
        <v>18</v>
      </c>
      <c r="P16" s="4">
        <v>7.56</v>
      </c>
      <c r="Q16" s="3">
        <v>0.12</v>
      </c>
      <c r="R16" s="3">
        <v>0</v>
      </c>
      <c r="S16" s="3">
        <v>13</v>
      </c>
      <c r="T16" s="3">
        <v>36</v>
      </c>
      <c r="U16" s="3">
        <v>26</v>
      </c>
      <c r="V16" s="3">
        <v>64</v>
      </c>
      <c r="W16" s="3">
        <v>177</v>
      </c>
      <c r="X16" s="3">
        <v>0</v>
      </c>
      <c r="Y16" s="3">
        <v>0</v>
      </c>
      <c r="Z16" s="3">
        <v>10</v>
      </c>
      <c r="AA16" s="3">
        <v>8</v>
      </c>
      <c r="AB16" s="3">
        <v>8</v>
      </c>
      <c r="AC16" s="3">
        <v>28</v>
      </c>
      <c r="AD16" s="3">
        <f t="shared" si="1"/>
        <v>370</v>
      </c>
    </row>
    <row r="17" spans="1:30" ht="15">
      <c r="A17" s="3">
        <v>10</v>
      </c>
      <c r="B17" s="11" t="s">
        <v>140</v>
      </c>
      <c r="C17" s="13">
        <f t="shared" si="0"/>
        <v>1571.5337500000001</v>
      </c>
      <c r="D17" s="12">
        <v>187</v>
      </c>
      <c r="E17" s="3">
        <v>130</v>
      </c>
      <c r="F17" s="3">
        <v>0</v>
      </c>
      <c r="G17" s="3">
        <v>113</v>
      </c>
      <c r="H17" s="3">
        <v>27</v>
      </c>
      <c r="I17" s="4">
        <v>20.295000000000002</v>
      </c>
      <c r="J17" s="3">
        <v>0.33</v>
      </c>
      <c r="K17" s="3">
        <v>0</v>
      </c>
      <c r="L17" s="3">
        <v>0</v>
      </c>
      <c r="M17" s="3">
        <v>475</v>
      </c>
      <c r="N17" s="3">
        <v>140</v>
      </c>
      <c r="O17" s="3">
        <v>123</v>
      </c>
      <c r="P17" s="4">
        <v>356.23874999999998</v>
      </c>
      <c r="Q17" s="3">
        <v>0.28000000000000003</v>
      </c>
      <c r="R17" s="3">
        <v>11</v>
      </c>
      <c r="S17" s="3">
        <v>11</v>
      </c>
      <c r="T17" s="3">
        <v>0</v>
      </c>
      <c r="U17" s="3">
        <v>39</v>
      </c>
      <c r="V17" s="3">
        <v>36</v>
      </c>
      <c r="W17" s="3">
        <v>82</v>
      </c>
      <c r="X17" s="3">
        <v>0</v>
      </c>
      <c r="Y17" s="3">
        <v>0</v>
      </c>
      <c r="Z17" s="3">
        <v>22</v>
      </c>
      <c r="AA17" s="3">
        <v>18</v>
      </c>
      <c r="AB17" s="3">
        <v>32</v>
      </c>
      <c r="AC17" s="3">
        <v>331</v>
      </c>
      <c r="AD17" s="3">
        <f t="shared" si="1"/>
        <v>582</v>
      </c>
    </row>
    <row r="18" spans="1:30" ht="15">
      <c r="A18" s="3">
        <v>11</v>
      </c>
      <c r="B18" s="10" t="s">
        <v>18</v>
      </c>
      <c r="C18" s="4">
        <f t="shared" si="0"/>
        <v>641.76283018867923</v>
      </c>
      <c r="D18" s="3">
        <v>0</v>
      </c>
      <c r="E18" s="3">
        <v>108</v>
      </c>
      <c r="F18" s="3">
        <v>75</v>
      </c>
      <c r="G18" s="3">
        <v>59</v>
      </c>
      <c r="H18" s="3">
        <v>33</v>
      </c>
      <c r="I18" s="4">
        <v>33.902830188679246</v>
      </c>
      <c r="J18" s="3">
        <v>0.33</v>
      </c>
      <c r="K18" s="3">
        <v>0</v>
      </c>
      <c r="L18" s="3">
        <v>0</v>
      </c>
      <c r="M18" s="3">
        <v>216</v>
      </c>
      <c r="N18" s="3">
        <v>51</v>
      </c>
      <c r="O18" s="3">
        <v>37</v>
      </c>
      <c r="P18" s="4">
        <v>28.86</v>
      </c>
      <c r="Q18" s="3">
        <v>0.12</v>
      </c>
      <c r="R18" s="3">
        <v>0</v>
      </c>
      <c r="S18" s="3">
        <v>12</v>
      </c>
      <c r="T18" s="3">
        <v>17</v>
      </c>
      <c r="U18" s="3">
        <v>31</v>
      </c>
      <c r="V18" s="3">
        <v>53</v>
      </c>
      <c r="W18" s="3">
        <v>165</v>
      </c>
      <c r="X18" s="3">
        <v>0</v>
      </c>
      <c r="Y18" s="3">
        <v>0</v>
      </c>
      <c r="Z18" s="3">
        <v>17</v>
      </c>
      <c r="AA18" s="3">
        <v>9</v>
      </c>
      <c r="AB18" s="3">
        <v>10</v>
      </c>
      <c r="AC18" s="3">
        <v>65</v>
      </c>
      <c r="AD18" s="3">
        <f t="shared" si="1"/>
        <v>379</v>
      </c>
    </row>
    <row r="19" spans="1:30" ht="15">
      <c r="A19" s="3">
        <v>12</v>
      </c>
      <c r="B19" s="10" t="s">
        <v>19</v>
      </c>
      <c r="C19" s="4">
        <f t="shared" si="0"/>
        <v>246.78</v>
      </c>
      <c r="D19" s="3">
        <v>0</v>
      </c>
      <c r="E19" s="3">
        <v>128</v>
      </c>
      <c r="F19" s="3">
        <v>0</v>
      </c>
      <c r="G19" s="3">
        <v>82</v>
      </c>
      <c r="H19" s="3">
        <v>15</v>
      </c>
      <c r="I19" s="4">
        <v>21.78</v>
      </c>
      <c r="J19" s="3">
        <v>0.33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v>0</v>
      </c>
      <c r="Q19" s="3">
        <v>0.12</v>
      </c>
      <c r="R19" s="3">
        <v>0</v>
      </c>
      <c r="S19" s="3">
        <v>20</v>
      </c>
      <c r="T19" s="3">
        <v>0</v>
      </c>
      <c r="U19" s="3">
        <v>69</v>
      </c>
      <c r="V19" s="3">
        <v>45</v>
      </c>
      <c r="W19" s="3">
        <v>198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f t="shared" si="1"/>
        <v>332</v>
      </c>
    </row>
    <row r="20" spans="1:30" ht="15">
      <c r="A20" s="3">
        <v>13</v>
      </c>
      <c r="B20" s="10" t="s">
        <v>20</v>
      </c>
      <c r="C20" s="4">
        <f t="shared" si="0"/>
        <v>415.09380281690142</v>
      </c>
      <c r="D20" s="3">
        <v>0</v>
      </c>
      <c r="E20" s="3">
        <v>202</v>
      </c>
      <c r="F20" s="3">
        <v>0</v>
      </c>
      <c r="G20" s="3">
        <v>102</v>
      </c>
      <c r="H20" s="3">
        <v>66</v>
      </c>
      <c r="I20" s="4">
        <v>45.093802816901416</v>
      </c>
      <c r="J20" s="3">
        <v>0.33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3">
        <v>0.12</v>
      </c>
      <c r="R20" s="3">
        <v>0</v>
      </c>
      <c r="S20" s="3">
        <v>28</v>
      </c>
      <c r="T20" s="3">
        <v>0</v>
      </c>
      <c r="U20" s="3">
        <v>76</v>
      </c>
      <c r="V20" s="3">
        <v>142</v>
      </c>
      <c r="W20" s="3">
        <v>294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f t="shared" si="1"/>
        <v>540</v>
      </c>
    </row>
    <row r="21" spans="1:30" ht="15">
      <c r="A21" s="3">
        <v>14</v>
      </c>
      <c r="B21" s="10" t="s">
        <v>21</v>
      </c>
      <c r="C21" s="4">
        <f t="shared" si="0"/>
        <v>407.7</v>
      </c>
      <c r="D21" s="3">
        <v>0</v>
      </c>
      <c r="E21" s="3">
        <v>130</v>
      </c>
      <c r="F21" s="3">
        <v>42</v>
      </c>
      <c r="G21" s="3">
        <v>91</v>
      </c>
      <c r="H21" s="3">
        <v>60</v>
      </c>
      <c r="I21" s="4">
        <v>84.7</v>
      </c>
      <c r="J21" s="3">
        <v>0.33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0</v>
      </c>
      <c r="Q21" s="3">
        <v>0.12</v>
      </c>
      <c r="R21" s="3">
        <v>0</v>
      </c>
      <c r="S21" s="3">
        <v>31</v>
      </c>
      <c r="T21" s="3">
        <v>18</v>
      </c>
      <c r="U21" s="3">
        <v>77</v>
      </c>
      <c r="V21" s="3">
        <v>144</v>
      </c>
      <c r="W21" s="3">
        <v>616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f t="shared" si="1"/>
        <v>886</v>
      </c>
    </row>
    <row r="22" spans="1:30" ht="15">
      <c r="A22" s="3">
        <v>15</v>
      </c>
      <c r="B22" s="10" t="s">
        <v>22</v>
      </c>
      <c r="C22" s="4">
        <f t="shared" si="0"/>
        <v>2074.0262222222223</v>
      </c>
      <c r="D22" s="3">
        <v>895</v>
      </c>
      <c r="E22" s="3">
        <v>15</v>
      </c>
      <c r="F22" s="3">
        <v>58</v>
      </c>
      <c r="G22" s="3">
        <v>313</v>
      </c>
      <c r="H22" s="3">
        <v>66</v>
      </c>
      <c r="I22" s="4">
        <v>111.804</v>
      </c>
      <c r="J22" s="3">
        <v>0.33</v>
      </c>
      <c r="K22" s="3">
        <v>316</v>
      </c>
      <c r="L22" s="3">
        <v>0</v>
      </c>
      <c r="M22" s="3">
        <v>69</v>
      </c>
      <c r="N22" s="3">
        <v>76</v>
      </c>
      <c r="O22" s="3">
        <v>50</v>
      </c>
      <c r="P22" s="4">
        <v>104.22222222222223</v>
      </c>
      <c r="Q22" s="3">
        <v>0.28000000000000003</v>
      </c>
      <c r="R22" s="3">
        <v>16</v>
      </c>
      <c r="S22" s="3">
        <v>1</v>
      </c>
      <c r="T22" s="3">
        <v>7</v>
      </c>
      <c r="U22" s="3">
        <v>60</v>
      </c>
      <c r="V22" s="3">
        <v>60</v>
      </c>
      <c r="W22" s="3">
        <v>308</v>
      </c>
      <c r="X22" s="3">
        <v>4</v>
      </c>
      <c r="Y22" s="3">
        <v>0</v>
      </c>
      <c r="Z22" s="3">
        <v>5</v>
      </c>
      <c r="AA22" s="3">
        <v>10</v>
      </c>
      <c r="AB22" s="3">
        <v>9</v>
      </c>
      <c r="AC22" s="3">
        <v>67</v>
      </c>
      <c r="AD22" s="3">
        <f t="shared" si="1"/>
        <v>547</v>
      </c>
    </row>
    <row r="23" spans="1:30" ht="15">
      <c r="A23" s="3">
        <v>16</v>
      </c>
      <c r="B23" s="10" t="s">
        <v>23</v>
      </c>
      <c r="C23" s="4">
        <f t="shared" si="0"/>
        <v>425.95454545454544</v>
      </c>
      <c r="D23" s="3">
        <v>0</v>
      </c>
      <c r="E23" s="3">
        <v>135</v>
      </c>
      <c r="F23" s="3">
        <v>0</v>
      </c>
      <c r="G23" s="3">
        <v>189</v>
      </c>
      <c r="H23" s="3">
        <v>50</v>
      </c>
      <c r="I23" s="4">
        <v>51.954545454545453</v>
      </c>
      <c r="J23" s="3">
        <v>0.33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0</v>
      </c>
      <c r="Q23" s="3">
        <v>0.12</v>
      </c>
      <c r="R23" s="3">
        <v>0</v>
      </c>
      <c r="S23" s="3">
        <v>18</v>
      </c>
      <c r="T23" s="3">
        <v>0</v>
      </c>
      <c r="U23" s="3">
        <v>91</v>
      </c>
      <c r="V23" s="3">
        <v>121</v>
      </c>
      <c r="W23" s="3">
        <v>381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f t="shared" si="1"/>
        <v>611</v>
      </c>
    </row>
    <row r="24" spans="1:30" ht="15">
      <c r="A24" s="3">
        <v>17</v>
      </c>
      <c r="B24" s="10" t="s">
        <v>24</v>
      </c>
      <c r="C24" s="4">
        <f t="shared" si="0"/>
        <v>482.6111428571428</v>
      </c>
      <c r="D24" s="3">
        <v>34</v>
      </c>
      <c r="E24" s="3">
        <v>129</v>
      </c>
      <c r="F24" s="3">
        <v>15</v>
      </c>
      <c r="G24" s="3">
        <v>115</v>
      </c>
      <c r="H24" s="3">
        <v>25</v>
      </c>
      <c r="I24" s="4">
        <v>36.107142857142854</v>
      </c>
      <c r="J24" s="3">
        <v>0.33</v>
      </c>
      <c r="K24" s="3">
        <v>0</v>
      </c>
      <c r="L24" s="3">
        <v>0</v>
      </c>
      <c r="M24" s="3">
        <v>4</v>
      </c>
      <c r="N24" s="3">
        <v>104</v>
      </c>
      <c r="O24" s="3">
        <v>11</v>
      </c>
      <c r="P24" s="4">
        <v>9.5040000000000013</v>
      </c>
      <c r="Q24" s="3">
        <v>0.12</v>
      </c>
      <c r="R24" s="3">
        <v>3</v>
      </c>
      <c r="S24" s="3">
        <v>16</v>
      </c>
      <c r="T24" s="3">
        <v>5</v>
      </c>
      <c r="U24" s="3">
        <v>73</v>
      </c>
      <c r="V24" s="3">
        <v>77</v>
      </c>
      <c r="W24" s="3">
        <v>337</v>
      </c>
      <c r="X24" s="3">
        <v>0</v>
      </c>
      <c r="Y24" s="3">
        <v>0</v>
      </c>
      <c r="Z24" s="3">
        <v>1</v>
      </c>
      <c r="AA24" s="3">
        <v>17</v>
      </c>
      <c r="AB24" s="3">
        <v>5</v>
      </c>
      <c r="AC24" s="3">
        <v>36</v>
      </c>
      <c r="AD24" s="3">
        <f t="shared" si="1"/>
        <v>570</v>
      </c>
    </row>
    <row r="25" spans="1:30" ht="15">
      <c r="A25" s="3">
        <v>18</v>
      </c>
      <c r="B25" s="10" t="s">
        <v>25</v>
      </c>
      <c r="C25" s="4">
        <f t="shared" si="0"/>
        <v>779.26461538461535</v>
      </c>
      <c r="D25" s="3">
        <v>0</v>
      </c>
      <c r="E25" s="3">
        <v>188</v>
      </c>
      <c r="F25" s="3">
        <v>60</v>
      </c>
      <c r="G25" s="3">
        <v>83</v>
      </c>
      <c r="H25" s="3">
        <v>56</v>
      </c>
      <c r="I25" s="4">
        <v>146.41846153846154</v>
      </c>
      <c r="J25" s="3">
        <v>0.33</v>
      </c>
      <c r="K25" s="3">
        <v>0</v>
      </c>
      <c r="L25" s="3">
        <v>0</v>
      </c>
      <c r="M25" s="3">
        <v>79</v>
      </c>
      <c r="N25" s="3">
        <v>85</v>
      </c>
      <c r="O25" s="3">
        <v>50</v>
      </c>
      <c r="P25" s="4">
        <v>31.846153846153843</v>
      </c>
      <c r="Q25" s="3">
        <v>0.12</v>
      </c>
      <c r="R25" s="3">
        <v>0</v>
      </c>
      <c r="S25" s="3">
        <v>22</v>
      </c>
      <c r="T25" s="3">
        <v>13</v>
      </c>
      <c r="U25" s="3">
        <v>42</v>
      </c>
      <c r="V25" s="3">
        <v>91</v>
      </c>
      <c r="W25" s="3">
        <v>721</v>
      </c>
      <c r="X25" s="3">
        <v>0</v>
      </c>
      <c r="Y25" s="3">
        <v>0</v>
      </c>
      <c r="Z25" s="3">
        <v>5</v>
      </c>
      <c r="AA25" s="3">
        <v>10</v>
      </c>
      <c r="AB25" s="3">
        <v>13</v>
      </c>
      <c r="AC25" s="3">
        <v>69</v>
      </c>
      <c r="AD25" s="3">
        <f t="shared" si="1"/>
        <v>986</v>
      </c>
    </row>
    <row r="26" spans="1:30" ht="15">
      <c r="A26" s="3">
        <v>19</v>
      </c>
      <c r="B26" s="10" t="s">
        <v>26</v>
      </c>
      <c r="C26" s="4">
        <f t="shared" si="0"/>
        <v>2326.08</v>
      </c>
      <c r="D26" s="3">
        <v>0</v>
      </c>
      <c r="E26" s="3">
        <v>81</v>
      </c>
      <c r="F26" s="3">
        <v>60</v>
      </c>
      <c r="G26" s="3">
        <v>26</v>
      </c>
      <c r="H26" s="3">
        <v>17</v>
      </c>
      <c r="I26" s="4">
        <v>36.72</v>
      </c>
      <c r="J26" s="3">
        <v>0.33</v>
      </c>
      <c r="K26" s="3">
        <v>695</v>
      </c>
      <c r="L26" s="3">
        <v>23</v>
      </c>
      <c r="M26" s="3">
        <v>520</v>
      </c>
      <c r="N26" s="3">
        <v>156</v>
      </c>
      <c r="O26" s="3">
        <v>162</v>
      </c>
      <c r="P26" s="4">
        <v>549.36</v>
      </c>
      <c r="Q26" s="3">
        <v>0.28000000000000003</v>
      </c>
      <c r="R26" s="3">
        <v>0</v>
      </c>
      <c r="S26" s="3">
        <v>8</v>
      </c>
      <c r="T26" s="3">
        <v>9</v>
      </c>
      <c r="U26" s="3">
        <v>21</v>
      </c>
      <c r="V26" s="3">
        <v>33</v>
      </c>
      <c r="W26" s="3">
        <v>216</v>
      </c>
      <c r="X26" s="3">
        <v>10</v>
      </c>
      <c r="Y26" s="3">
        <v>1</v>
      </c>
      <c r="Z26" s="3">
        <v>33</v>
      </c>
      <c r="AA26" s="3">
        <v>30</v>
      </c>
      <c r="AB26" s="3">
        <v>36</v>
      </c>
      <c r="AC26" s="3">
        <v>436</v>
      </c>
      <c r="AD26" s="3">
        <f t="shared" si="1"/>
        <v>833</v>
      </c>
    </row>
    <row r="27" spans="1:30" ht="15">
      <c r="A27" s="3">
        <v>20</v>
      </c>
      <c r="B27" s="10" t="s">
        <v>27</v>
      </c>
      <c r="C27" s="4">
        <f t="shared" si="0"/>
        <v>144.37951219512195</v>
      </c>
      <c r="D27" s="3">
        <v>0</v>
      </c>
      <c r="E27" s="3">
        <v>31</v>
      </c>
      <c r="F27" s="3">
        <v>24</v>
      </c>
      <c r="G27" s="3">
        <v>57</v>
      </c>
      <c r="H27" s="3">
        <v>12</v>
      </c>
      <c r="I27" s="4">
        <v>20.379512195121954</v>
      </c>
      <c r="J27" s="3">
        <v>0.33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v>0</v>
      </c>
      <c r="Q27" s="3">
        <v>0.12</v>
      </c>
      <c r="R27" s="3">
        <v>0</v>
      </c>
      <c r="S27" s="3">
        <v>13</v>
      </c>
      <c r="T27" s="3">
        <v>19</v>
      </c>
      <c r="U27" s="3">
        <v>39</v>
      </c>
      <c r="V27" s="3">
        <v>41</v>
      </c>
      <c r="W27" s="3">
        <v>211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f t="shared" si="1"/>
        <v>323</v>
      </c>
    </row>
    <row r="28" spans="1:30" ht="15">
      <c r="A28" s="3">
        <v>21</v>
      </c>
      <c r="B28" s="10" t="s">
        <v>28</v>
      </c>
      <c r="C28" s="4">
        <f t="shared" si="0"/>
        <v>562.23580645161292</v>
      </c>
      <c r="D28" s="3">
        <v>337</v>
      </c>
      <c r="E28" s="3">
        <v>0</v>
      </c>
      <c r="F28" s="3">
        <v>0</v>
      </c>
      <c r="G28" s="3">
        <v>193</v>
      </c>
      <c r="H28" s="3">
        <v>13</v>
      </c>
      <c r="I28" s="4">
        <v>19.235806451612905</v>
      </c>
      <c r="J28" s="3">
        <v>0.33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v>0</v>
      </c>
      <c r="Q28" s="3">
        <v>0.12</v>
      </c>
      <c r="R28" s="3">
        <v>15</v>
      </c>
      <c r="S28" s="3">
        <v>0</v>
      </c>
      <c r="T28" s="3">
        <v>0</v>
      </c>
      <c r="U28" s="3">
        <v>63</v>
      </c>
      <c r="V28" s="3">
        <v>31</v>
      </c>
      <c r="W28" s="3">
        <v>139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f t="shared" si="1"/>
        <v>248</v>
      </c>
    </row>
    <row r="29" spans="1:30" ht="15">
      <c r="A29" s="3">
        <v>22</v>
      </c>
      <c r="B29" s="10" t="s">
        <v>29</v>
      </c>
      <c r="C29" s="4">
        <f t="shared" si="0"/>
        <v>1033.6737499999999</v>
      </c>
      <c r="D29" s="3">
        <v>441</v>
      </c>
      <c r="E29" s="3">
        <v>63</v>
      </c>
      <c r="F29" s="3">
        <v>56</v>
      </c>
      <c r="G29" s="3">
        <v>244</v>
      </c>
      <c r="H29" s="3">
        <v>86</v>
      </c>
      <c r="I29" s="4">
        <v>143.67375000000001</v>
      </c>
      <c r="J29" s="3">
        <v>0.33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v>0</v>
      </c>
      <c r="Q29" s="3">
        <v>0.12</v>
      </c>
      <c r="R29" s="3">
        <v>32</v>
      </c>
      <c r="S29" s="3">
        <v>19</v>
      </c>
      <c r="T29" s="3">
        <v>12</v>
      </c>
      <c r="U29" s="3">
        <v>85</v>
      </c>
      <c r="V29" s="3">
        <v>112</v>
      </c>
      <c r="W29" s="3">
        <v>567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f t="shared" si="1"/>
        <v>827</v>
      </c>
    </row>
    <row r="30" spans="1:30" ht="15">
      <c r="A30" s="3">
        <v>23</v>
      </c>
      <c r="B30" s="10" t="s">
        <v>30</v>
      </c>
      <c r="C30" s="4">
        <f t="shared" si="0"/>
        <v>368.1821875</v>
      </c>
      <c r="D30" s="3">
        <v>0</v>
      </c>
      <c r="E30" s="3">
        <v>96</v>
      </c>
      <c r="F30" s="3">
        <v>0</v>
      </c>
      <c r="G30" s="3">
        <v>133</v>
      </c>
      <c r="H30" s="3">
        <v>51</v>
      </c>
      <c r="I30" s="4">
        <v>88.182187499999998</v>
      </c>
      <c r="J30" s="3">
        <v>0.33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v>0</v>
      </c>
      <c r="Q30" s="3">
        <v>0.12</v>
      </c>
      <c r="R30" s="3">
        <v>0</v>
      </c>
      <c r="S30" s="3">
        <v>24</v>
      </c>
      <c r="T30" s="3">
        <v>0</v>
      </c>
      <c r="U30" s="3">
        <v>96</v>
      </c>
      <c r="V30" s="3">
        <v>96</v>
      </c>
      <c r="W30" s="3">
        <v>503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f t="shared" si="1"/>
        <v>719</v>
      </c>
    </row>
    <row r="31" spans="1:30" ht="15">
      <c r="A31" s="3">
        <v>24</v>
      </c>
      <c r="B31" s="10" t="s">
        <v>31</v>
      </c>
      <c r="C31" s="4">
        <f t="shared" si="0"/>
        <v>2095.3026829268292</v>
      </c>
      <c r="D31" s="3">
        <v>322</v>
      </c>
      <c r="E31" s="3">
        <v>404</v>
      </c>
      <c r="F31" s="3">
        <v>32</v>
      </c>
      <c r="G31" s="3">
        <v>186</v>
      </c>
      <c r="H31" s="3">
        <v>95</v>
      </c>
      <c r="I31" s="4">
        <v>109.34268292682927</v>
      </c>
      <c r="J31" s="3">
        <v>0.33</v>
      </c>
      <c r="K31" s="3">
        <v>91</v>
      </c>
      <c r="L31" s="3">
        <v>72</v>
      </c>
      <c r="M31" s="3">
        <v>252</v>
      </c>
      <c r="N31" s="3">
        <v>330</v>
      </c>
      <c r="O31" s="3">
        <v>108</v>
      </c>
      <c r="P31" s="4">
        <v>93.96</v>
      </c>
      <c r="Q31" s="3">
        <v>0.12</v>
      </c>
      <c r="R31" s="3">
        <v>20</v>
      </c>
      <c r="S31" s="3">
        <v>43</v>
      </c>
      <c r="T31" s="3">
        <v>8</v>
      </c>
      <c r="U31" s="3">
        <v>99</v>
      </c>
      <c r="V31" s="3">
        <v>164</v>
      </c>
      <c r="W31" s="3">
        <v>572</v>
      </c>
      <c r="X31" s="3">
        <v>4</v>
      </c>
      <c r="Y31" s="3">
        <v>5</v>
      </c>
      <c r="Z31" s="3">
        <v>23</v>
      </c>
      <c r="AA31" s="3">
        <v>46</v>
      </c>
      <c r="AB31" s="3">
        <v>24</v>
      </c>
      <c r="AC31" s="3">
        <v>174</v>
      </c>
      <c r="AD31" s="3">
        <f t="shared" si="1"/>
        <v>1182</v>
      </c>
    </row>
    <row r="32" spans="1:30" ht="15">
      <c r="A32" s="3">
        <v>25</v>
      </c>
      <c r="B32" s="10" t="s">
        <v>32</v>
      </c>
      <c r="C32" s="4">
        <f t="shared" si="0"/>
        <v>1200.1932528409093</v>
      </c>
      <c r="D32" s="3">
        <v>408</v>
      </c>
      <c r="E32" s="3">
        <v>188</v>
      </c>
      <c r="F32" s="3">
        <v>19</v>
      </c>
      <c r="G32" s="3">
        <v>128</v>
      </c>
      <c r="H32" s="3">
        <v>49</v>
      </c>
      <c r="I32" s="4">
        <v>56.342343749999998</v>
      </c>
      <c r="J32" s="3">
        <v>0.33</v>
      </c>
      <c r="K32" s="3">
        <v>98</v>
      </c>
      <c r="L32" s="3">
        <v>0</v>
      </c>
      <c r="M32" s="3">
        <v>60</v>
      </c>
      <c r="N32" s="3">
        <v>143</v>
      </c>
      <c r="O32" s="3">
        <v>32</v>
      </c>
      <c r="P32" s="4">
        <v>18.850909090909088</v>
      </c>
      <c r="Q32" s="3">
        <v>0.12</v>
      </c>
      <c r="R32" s="3">
        <v>12</v>
      </c>
      <c r="S32" s="3">
        <v>18</v>
      </c>
      <c r="T32" s="3">
        <v>6</v>
      </c>
      <c r="U32" s="3">
        <v>45</v>
      </c>
      <c r="V32" s="3">
        <v>64</v>
      </c>
      <c r="W32" s="3">
        <v>223</v>
      </c>
      <c r="X32" s="3">
        <v>3</v>
      </c>
      <c r="Y32" s="3">
        <v>0</v>
      </c>
      <c r="Z32" s="3">
        <v>4</v>
      </c>
      <c r="AA32" s="3">
        <v>14</v>
      </c>
      <c r="AB32" s="3">
        <v>11</v>
      </c>
      <c r="AC32" s="3">
        <v>54</v>
      </c>
      <c r="AD32" s="3">
        <f t="shared" si="1"/>
        <v>454</v>
      </c>
    </row>
    <row r="33" spans="1:30" ht="15">
      <c r="A33" s="3">
        <v>26</v>
      </c>
      <c r="B33" s="10" t="s">
        <v>33</v>
      </c>
      <c r="C33" s="4">
        <f t="shared" si="0"/>
        <v>645.84</v>
      </c>
      <c r="D33" s="3">
        <v>0</v>
      </c>
      <c r="E33" s="3">
        <v>179</v>
      </c>
      <c r="F33" s="3">
        <v>124</v>
      </c>
      <c r="G33" s="3">
        <v>156</v>
      </c>
      <c r="H33" s="3">
        <v>72</v>
      </c>
      <c r="I33" s="4">
        <v>114.84</v>
      </c>
      <c r="J33" s="3">
        <v>0.33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v>0</v>
      </c>
      <c r="Q33" s="3">
        <v>0.12</v>
      </c>
      <c r="R33" s="3">
        <v>0</v>
      </c>
      <c r="S33" s="3">
        <v>25</v>
      </c>
      <c r="T33" s="3">
        <v>16</v>
      </c>
      <c r="U33" s="3">
        <v>92</v>
      </c>
      <c r="V33" s="3">
        <v>90</v>
      </c>
      <c r="W33" s="3">
        <v>435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f t="shared" si="1"/>
        <v>658</v>
      </c>
    </row>
    <row r="34" spans="1:30" ht="15">
      <c r="A34" s="3">
        <v>27</v>
      </c>
      <c r="B34" s="10" t="s">
        <v>34</v>
      </c>
      <c r="C34" s="4">
        <f t="shared" si="0"/>
        <v>258.96220588235292</v>
      </c>
      <c r="D34" s="3">
        <v>0</v>
      </c>
      <c r="E34" s="3">
        <v>91</v>
      </c>
      <c r="F34" s="3">
        <v>42</v>
      </c>
      <c r="G34" s="3">
        <v>39</v>
      </c>
      <c r="H34" s="3">
        <v>41</v>
      </c>
      <c r="I34" s="4">
        <v>45.962205882352947</v>
      </c>
      <c r="J34" s="3">
        <v>0.33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0</v>
      </c>
      <c r="Q34" s="3">
        <v>0.12</v>
      </c>
      <c r="R34" s="3">
        <v>0</v>
      </c>
      <c r="S34" s="3">
        <v>21</v>
      </c>
      <c r="T34" s="3">
        <v>13</v>
      </c>
      <c r="U34" s="3">
        <v>21</v>
      </c>
      <c r="V34" s="3">
        <v>68</v>
      </c>
      <c r="W34" s="3">
        <v>231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f t="shared" si="1"/>
        <v>354</v>
      </c>
    </row>
    <row r="35" spans="1:30" ht="15">
      <c r="A35" s="3">
        <v>28</v>
      </c>
      <c r="B35" s="10" t="s">
        <v>35</v>
      </c>
      <c r="C35" s="4">
        <f t="shared" si="0"/>
        <v>229.19479452054793</v>
      </c>
      <c r="D35" s="3">
        <v>0</v>
      </c>
      <c r="E35" s="3">
        <v>0</v>
      </c>
      <c r="F35" s="3">
        <v>113</v>
      </c>
      <c r="G35" s="3">
        <v>48</v>
      </c>
      <c r="H35" s="3">
        <v>26</v>
      </c>
      <c r="I35" s="4">
        <v>42.194794520547944</v>
      </c>
      <c r="J35" s="3">
        <v>0.33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v>0</v>
      </c>
      <c r="Q35" s="3">
        <v>0.12</v>
      </c>
      <c r="R35" s="3">
        <v>0</v>
      </c>
      <c r="S35" s="3">
        <v>0</v>
      </c>
      <c r="T35" s="3">
        <v>31</v>
      </c>
      <c r="U35" s="3">
        <v>57</v>
      </c>
      <c r="V35" s="3">
        <v>73</v>
      </c>
      <c r="W35" s="3">
        <v>359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f t="shared" si="1"/>
        <v>520</v>
      </c>
    </row>
    <row r="36" spans="1:30" ht="15">
      <c r="A36" s="3">
        <v>29</v>
      </c>
      <c r="B36" s="10" t="s">
        <v>36</v>
      </c>
      <c r="C36" s="4">
        <f t="shared" si="0"/>
        <v>191.88800000000001</v>
      </c>
      <c r="D36" s="3">
        <v>0</v>
      </c>
      <c r="E36" s="3">
        <v>0</v>
      </c>
      <c r="F36" s="3">
        <v>113</v>
      </c>
      <c r="G36" s="3">
        <v>22</v>
      </c>
      <c r="H36" s="3">
        <v>26</v>
      </c>
      <c r="I36" s="4">
        <v>30.887999999999998</v>
      </c>
      <c r="J36" s="3">
        <v>0.33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v>0</v>
      </c>
      <c r="Q36" s="3">
        <v>0.12</v>
      </c>
      <c r="R36" s="3">
        <v>0</v>
      </c>
      <c r="S36" s="3">
        <v>0</v>
      </c>
      <c r="T36" s="3">
        <v>36</v>
      </c>
      <c r="U36" s="3">
        <v>21</v>
      </c>
      <c r="V36" s="3">
        <v>80</v>
      </c>
      <c r="W36" s="3">
        <v>288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f t="shared" si="1"/>
        <v>425</v>
      </c>
    </row>
    <row r="37" spans="1:30" ht="15">
      <c r="A37" s="3">
        <v>30</v>
      </c>
      <c r="B37" s="11" t="s">
        <v>139</v>
      </c>
      <c r="C37" s="13">
        <v>2185</v>
      </c>
      <c r="D37" s="3">
        <v>0</v>
      </c>
      <c r="E37" s="12">
        <v>226</v>
      </c>
      <c r="F37" s="12">
        <v>127</v>
      </c>
      <c r="G37" s="3">
        <v>249</v>
      </c>
      <c r="H37" s="3">
        <v>88</v>
      </c>
      <c r="I37" s="4">
        <v>155.04</v>
      </c>
      <c r="J37" s="3">
        <v>0.33</v>
      </c>
      <c r="K37" s="3">
        <v>0</v>
      </c>
      <c r="L37" s="3">
        <v>221</v>
      </c>
      <c r="M37" s="3">
        <v>453</v>
      </c>
      <c r="N37" s="3">
        <v>281</v>
      </c>
      <c r="O37" s="3">
        <v>176</v>
      </c>
      <c r="P37" s="4">
        <v>208.5804651162791</v>
      </c>
      <c r="Q37" s="3">
        <v>0.28000000000000003</v>
      </c>
      <c r="R37" s="3">
        <v>0</v>
      </c>
      <c r="S37" s="3">
        <v>28</v>
      </c>
      <c r="T37" s="3">
        <v>21</v>
      </c>
      <c r="U37" s="3">
        <v>68</v>
      </c>
      <c r="V37" s="3">
        <v>121</v>
      </c>
      <c r="W37" s="3">
        <v>646</v>
      </c>
      <c r="X37" s="3">
        <v>0</v>
      </c>
      <c r="Y37" s="3">
        <v>15</v>
      </c>
      <c r="Z37" s="3">
        <v>31</v>
      </c>
      <c r="AA37" s="3">
        <v>34</v>
      </c>
      <c r="AB37" s="3">
        <v>43</v>
      </c>
      <c r="AC37" s="3">
        <v>182</v>
      </c>
      <c r="AD37" s="3">
        <f t="shared" si="1"/>
        <v>1189</v>
      </c>
    </row>
    <row r="38" spans="1:30" ht="15">
      <c r="A38" s="3">
        <v>31</v>
      </c>
      <c r="B38" s="10" t="s">
        <v>37</v>
      </c>
      <c r="C38" s="4">
        <f t="shared" si="0"/>
        <v>292.46749999999997</v>
      </c>
      <c r="D38" s="3">
        <v>75</v>
      </c>
      <c r="E38" s="3">
        <v>0</v>
      </c>
      <c r="F38" s="3">
        <v>74</v>
      </c>
      <c r="G38" s="3">
        <v>66</v>
      </c>
      <c r="H38" s="3">
        <v>33</v>
      </c>
      <c r="I38" s="4">
        <v>44.467500000000001</v>
      </c>
      <c r="J38" s="3">
        <v>0.33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v>0</v>
      </c>
      <c r="Q38" s="3">
        <v>0.12</v>
      </c>
      <c r="R38" s="3">
        <v>3</v>
      </c>
      <c r="S38" s="3">
        <v>0</v>
      </c>
      <c r="T38" s="3">
        <v>20</v>
      </c>
      <c r="U38" s="3">
        <v>55</v>
      </c>
      <c r="V38" s="3">
        <v>72</v>
      </c>
      <c r="W38" s="3">
        <v>294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f t="shared" si="1"/>
        <v>444</v>
      </c>
    </row>
    <row r="39" spans="1:30" ht="15">
      <c r="A39" s="3">
        <v>32</v>
      </c>
      <c r="B39" s="10" t="s">
        <v>38</v>
      </c>
      <c r="C39" s="4">
        <f t="shared" si="0"/>
        <v>118.67396226415094</v>
      </c>
      <c r="D39" s="3">
        <v>0</v>
      </c>
      <c r="E39" s="3">
        <v>0</v>
      </c>
      <c r="F39" s="3">
        <v>44</v>
      </c>
      <c r="G39" s="3">
        <v>31</v>
      </c>
      <c r="H39" s="3">
        <v>17</v>
      </c>
      <c r="I39" s="4">
        <v>26.673962264150948</v>
      </c>
      <c r="J39" s="3">
        <v>0.33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0</v>
      </c>
      <c r="Q39" s="3">
        <v>0.12</v>
      </c>
      <c r="R39" s="3">
        <v>0</v>
      </c>
      <c r="S39" s="3">
        <v>0</v>
      </c>
      <c r="T39" s="3">
        <v>19</v>
      </c>
      <c r="U39" s="3">
        <v>51</v>
      </c>
      <c r="V39" s="3">
        <v>53</v>
      </c>
      <c r="W39" s="3">
        <v>252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f t="shared" si="1"/>
        <v>375</v>
      </c>
    </row>
    <row r="40" spans="1:30" ht="15">
      <c r="A40" s="3">
        <v>33</v>
      </c>
      <c r="B40" s="10" t="s">
        <v>39</v>
      </c>
      <c r="C40" s="4">
        <f t="shared" ref="C40:C71" si="2">SUM(D40:I40)+SUM(K40:P40)</f>
        <v>336.884776119403</v>
      </c>
      <c r="D40" s="3">
        <v>0</v>
      </c>
      <c r="E40" s="3">
        <v>0</v>
      </c>
      <c r="F40" s="3">
        <v>0</v>
      </c>
      <c r="G40" s="3">
        <v>206</v>
      </c>
      <c r="H40" s="3">
        <v>52</v>
      </c>
      <c r="I40" s="4">
        <v>78.884776119402986</v>
      </c>
      <c r="J40" s="3">
        <v>0.33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0</v>
      </c>
      <c r="Q40" s="3">
        <v>0.12</v>
      </c>
      <c r="R40" s="3">
        <v>0</v>
      </c>
      <c r="S40" s="3">
        <v>0</v>
      </c>
      <c r="T40" s="3">
        <v>0</v>
      </c>
      <c r="U40" s="3">
        <v>59</v>
      </c>
      <c r="V40" s="3">
        <v>67</v>
      </c>
      <c r="W40" s="3">
        <v>308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f t="shared" si="1"/>
        <v>434</v>
      </c>
    </row>
    <row r="41" spans="1:30" ht="15">
      <c r="A41" s="3">
        <v>34</v>
      </c>
      <c r="B41" s="10" t="s">
        <v>40</v>
      </c>
      <c r="C41" s="4">
        <f t="shared" si="2"/>
        <v>7170.9957232704401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4">
        <v>0</v>
      </c>
      <c r="J41" s="3">
        <v>0.33</v>
      </c>
      <c r="K41" s="4">
        <v>1672</v>
      </c>
      <c r="L41" s="3">
        <v>773</v>
      </c>
      <c r="M41" s="4">
        <v>1653</v>
      </c>
      <c r="N41" s="4">
        <v>1600</v>
      </c>
      <c r="O41" s="3">
        <v>643</v>
      </c>
      <c r="P41" s="4">
        <v>829.99572327044029</v>
      </c>
      <c r="Q41" s="3">
        <v>0.28000000000000003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35</v>
      </c>
      <c r="Y41" s="3">
        <v>14</v>
      </c>
      <c r="Z41" s="3">
        <v>57</v>
      </c>
      <c r="AA41" s="3">
        <v>142</v>
      </c>
      <c r="AB41" s="3">
        <v>159</v>
      </c>
      <c r="AC41" s="3">
        <v>733</v>
      </c>
      <c r="AD41" s="3">
        <f t="shared" si="1"/>
        <v>1140</v>
      </c>
    </row>
    <row r="42" spans="1:30" ht="15">
      <c r="A42" s="3">
        <v>35</v>
      </c>
      <c r="B42" s="10" t="s">
        <v>41</v>
      </c>
      <c r="C42" s="4">
        <f t="shared" si="2"/>
        <v>334.39211267605634</v>
      </c>
      <c r="D42" s="3">
        <v>0</v>
      </c>
      <c r="E42" s="3">
        <v>15</v>
      </c>
      <c r="F42" s="3">
        <v>129</v>
      </c>
      <c r="G42" s="3">
        <v>97</v>
      </c>
      <c r="H42" s="3">
        <v>36</v>
      </c>
      <c r="I42" s="4">
        <v>57.39211267605635</v>
      </c>
      <c r="J42" s="3">
        <v>0.33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v>0</v>
      </c>
      <c r="Q42" s="3">
        <v>0.12</v>
      </c>
      <c r="R42" s="3">
        <v>0</v>
      </c>
      <c r="S42" s="3">
        <v>5</v>
      </c>
      <c r="T42" s="3">
        <v>35</v>
      </c>
      <c r="U42" s="3">
        <v>52</v>
      </c>
      <c r="V42" s="3">
        <v>71</v>
      </c>
      <c r="W42" s="3">
        <v>343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f t="shared" si="1"/>
        <v>506</v>
      </c>
    </row>
    <row r="43" spans="1:30" ht="15">
      <c r="A43" s="3">
        <v>36</v>
      </c>
      <c r="B43" s="10" t="s">
        <v>42</v>
      </c>
      <c r="C43" s="4">
        <f t="shared" si="2"/>
        <v>1510.3926829268294</v>
      </c>
      <c r="D43" s="3">
        <v>0</v>
      </c>
      <c r="E43" s="3">
        <v>705</v>
      </c>
      <c r="F43" s="3">
        <v>37</v>
      </c>
      <c r="G43" s="3">
        <v>334</v>
      </c>
      <c r="H43" s="3">
        <v>198</v>
      </c>
      <c r="I43" s="4">
        <v>236.39268292682925</v>
      </c>
      <c r="J43" s="3">
        <v>0.33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v>0</v>
      </c>
      <c r="Q43" s="3">
        <v>0.12</v>
      </c>
      <c r="R43" s="3">
        <v>0</v>
      </c>
      <c r="S43" s="3">
        <v>48</v>
      </c>
      <c r="T43" s="3">
        <v>5</v>
      </c>
      <c r="U43" s="3">
        <v>101</v>
      </c>
      <c r="V43" s="3">
        <v>123</v>
      </c>
      <c r="W43" s="3">
        <v>445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f t="shared" si="1"/>
        <v>722</v>
      </c>
    </row>
    <row r="44" spans="1:30" ht="15">
      <c r="A44" s="3">
        <v>37</v>
      </c>
      <c r="B44" s="10" t="s">
        <v>43</v>
      </c>
      <c r="C44" s="4">
        <f t="shared" si="2"/>
        <v>1454.0119459459461</v>
      </c>
      <c r="D44" s="3">
        <v>430</v>
      </c>
      <c r="E44" s="3">
        <v>98</v>
      </c>
      <c r="F44" s="3">
        <v>118</v>
      </c>
      <c r="G44" s="3">
        <v>11</v>
      </c>
      <c r="H44" s="3">
        <v>58</v>
      </c>
      <c r="I44" s="4">
        <v>58.195945945945944</v>
      </c>
      <c r="J44" s="3">
        <v>0.33</v>
      </c>
      <c r="K44" s="3">
        <v>0</v>
      </c>
      <c r="L44" s="3">
        <v>0</v>
      </c>
      <c r="M44" s="3">
        <v>401</v>
      </c>
      <c r="N44" s="3">
        <v>159</v>
      </c>
      <c r="O44" s="3">
        <v>72</v>
      </c>
      <c r="P44" s="4">
        <v>48.815999999999995</v>
      </c>
      <c r="Q44" s="3">
        <v>0.12</v>
      </c>
      <c r="R44" s="3">
        <v>13</v>
      </c>
      <c r="S44" s="3">
        <v>5</v>
      </c>
      <c r="T44" s="3">
        <v>34</v>
      </c>
      <c r="U44" s="3">
        <v>3</v>
      </c>
      <c r="V44" s="3">
        <v>74</v>
      </c>
      <c r="W44" s="3">
        <v>225</v>
      </c>
      <c r="X44" s="3">
        <v>0</v>
      </c>
      <c r="Y44" s="3">
        <v>0</v>
      </c>
      <c r="Z44" s="3">
        <v>19</v>
      </c>
      <c r="AA44" s="3">
        <v>17</v>
      </c>
      <c r="AB44" s="3">
        <v>20</v>
      </c>
      <c r="AC44" s="3">
        <v>113</v>
      </c>
      <c r="AD44" s="3">
        <f t="shared" si="1"/>
        <v>523</v>
      </c>
    </row>
    <row r="45" spans="1:30" ht="15">
      <c r="A45" s="3">
        <v>38</v>
      </c>
      <c r="B45" s="10" t="s">
        <v>44</v>
      </c>
      <c r="C45" s="4">
        <f t="shared" si="2"/>
        <v>207.185</v>
      </c>
      <c r="D45" s="3">
        <v>0</v>
      </c>
      <c r="E45" s="3">
        <v>40</v>
      </c>
      <c r="F45" s="3">
        <v>28</v>
      </c>
      <c r="G45" s="3">
        <v>81</v>
      </c>
      <c r="H45" s="3">
        <v>27</v>
      </c>
      <c r="I45" s="4">
        <v>31.184999999999999</v>
      </c>
      <c r="J45" s="3">
        <v>0.33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  <c r="Q45" s="3">
        <v>0.12</v>
      </c>
      <c r="R45" s="3">
        <v>0</v>
      </c>
      <c r="S45" s="3">
        <v>9</v>
      </c>
      <c r="T45" s="3">
        <v>25</v>
      </c>
      <c r="U45" s="3">
        <v>43</v>
      </c>
      <c r="V45" s="3">
        <v>62</v>
      </c>
      <c r="W45" s="3">
        <v>217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f t="shared" si="1"/>
        <v>356</v>
      </c>
    </row>
    <row r="46" spans="1:30" ht="15">
      <c r="A46" s="3">
        <v>39</v>
      </c>
      <c r="B46" s="10" t="s">
        <v>45</v>
      </c>
      <c r="C46" s="4">
        <f t="shared" si="2"/>
        <v>525.51882352941175</v>
      </c>
      <c r="D46" s="3">
        <v>385</v>
      </c>
      <c r="E46" s="3">
        <v>0</v>
      </c>
      <c r="F46" s="3">
        <v>4</v>
      </c>
      <c r="G46" s="3">
        <v>100</v>
      </c>
      <c r="H46" s="3">
        <v>18</v>
      </c>
      <c r="I46" s="4">
        <v>18.518823529411769</v>
      </c>
      <c r="J46" s="3">
        <v>0.33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  <c r="Q46" s="3">
        <v>0.12</v>
      </c>
      <c r="R46" s="3">
        <v>16</v>
      </c>
      <c r="S46" s="3">
        <v>0</v>
      </c>
      <c r="T46" s="3">
        <v>2</v>
      </c>
      <c r="U46" s="3">
        <v>41</v>
      </c>
      <c r="V46" s="3">
        <v>34</v>
      </c>
      <c r="W46" s="3">
        <v>106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f t="shared" si="1"/>
        <v>199</v>
      </c>
    </row>
    <row r="47" spans="1:30" ht="15">
      <c r="A47" s="3">
        <v>40</v>
      </c>
      <c r="B47" s="10" t="s">
        <v>46</v>
      </c>
      <c r="C47" s="4">
        <f t="shared" si="2"/>
        <v>340.7954716981132</v>
      </c>
      <c r="D47" s="3">
        <v>0</v>
      </c>
      <c r="E47" s="3">
        <v>180</v>
      </c>
      <c r="F47" s="3">
        <v>63</v>
      </c>
      <c r="G47" s="3">
        <v>29</v>
      </c>
      <c r="H47" s="3">
        <v>28</v>
      </c>
      <c r="I47" s="4">
        <v>40.795471698113204</v>
      </c>
      <c r="J47" s="3">
        <v>0.33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  <c r="Q47" s="3">
        <v>0.12</v>
      </c>
      <c r="R47" s="3">
        <v>0</v>
      </c>
      <c r="S47" s="3">
        <v>18</v>
      </c>
      <c r="T47" s="3">
        <v>28</v>
      </c>
      <c r="U47" s="3">
        <v>24</v>
      </c>
      <c r="V47" s="3">
        <v>53</v>
      </c>
      <c r="W47" s="3">
        <v>234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f t="shared" si="1"/>
        <v>357</v>
      </c>
    </row>
    <row r="48" spans="1:30" ht="15">
      <c r="A48" s="3">
        <v>41</v>
      </c>
      <c r="B48" s="10" t="s">
        <v>47</v>
      </c>
      <c r="C48" s="4">
        <f t="shared" si="2"/>
        <v>1202.4563157894736</v>
      </c>
      <c r="D48" s="3">
        <v>842</v>
      </c>
      <c r="E48" s="3">
        <v>0</v>
      </c>
      <c r="F48" s="3">
        <v>0</v>
      </c>
      <c r="G48" s="3">
        <v>207</v>
      </c>
      <c r="H48" s="3">
        <v>51</v>
      </c>
      <c r="I48" s="4">
        <v>102.45631578947369</v>
      </c>
      <c r="J48" s="3">
        <v>0.33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  <c r="Q48" s="3">
        <v>0.12</v>
      </c>
      <c r="R48" s="3">
        <v>23</v>
      </c>
      <c r="S48" s="3">
        <v>0</v>
      </c>
      <c r="T48" s="3">
        <v>0</v>
      </c>
      <c r="U48" s="3">
        <v>72</v>
      </c>
      <c r="V48" s="3">
        <v>57</v>
      </c>
      <c r="W48" s="3">
        <v>347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f t="shared" si="1"/>
        <v>499</v>
      </c>
    </row>
    <row r="49" spans="1:30" ht="15">
      <c r="A49" s="3">
        <v>42</v>
      </c>
      <c r="B49" s="10" t="s">
        <v>48</v>
      </c>
      <c r="C49" s="4">
        <f t="shared" si="2"/>
        <v>1147.1112658227848</v>
      </c>
      <c r="D49" s="3">
        <v>0</v>
      </c>
      <c r="E49" s="3">
        <v>360</v>
      </c>
      <c r="F49" s="3">
        <v>63</v>
      </c>
      <c r="G49" s="3">
        <v>180</v>
      </c>
      <c r="H49" s="3">
        <v>131</v>
      </c>
      <c r="I49" s="4">
        <v>204.11126582278482</v>
      </c>
      <c r="J49" s="3">
        <v>0.33</v>
      </c>
      <c r="K49" s="3">
        <v>0</v>
      </c>
      <c r="L49" s="3">
        <v>51</v>
      </c>
      <c r="M49" s="3">
        <v>82</v>
      </c>
      <c r="N49" s="3">
        <v>36</v>
      </c>
      <c r="O49" s="3">
        <v>25</v>
      </c>
      <c r="P49" s="4">
        <v>15</v>
      </c>
      <c r="Q49" s="3">
        <v>0.12</v>
      </c>
      <c r="R49" s="3">
        <v>0</v>
      </c>
      <c r="S49" s="3">
        <v>44</v>
      </c>
      <c r="T49" s="3">
        <v>19</v>
      </c>
      <c r="U49" s="3">
        <v>106</v>
      </c>
      <c r="V49" s="3">
        <v>158</v>
      </c>
      <c r="W49" s="3">
        <v>746</v>
      </c>
      <c r="X49" s="3">
        <v>0</v>
      </c>
      <c r="Y49" s="3">
        <v>4</v>
      </c>
      <c r="Z49" s="3">
        <v>8</v>
      </c>
      <c r="AA49" s="3">
        <v>8</v>
      </c>
      <c r="AB49" s="3">
        <v>8</v>
      </c>
      <c r="AC49" s="3">
        <v>40</v>
      </c>
      <c r="AD49" s="3">
        <f t="shared" si="1"/>
        <v>1141</v>
      </c>
    </row>
    <row r="50" spans="1:30" ht="15">
      <c r="A50" s="3">
        <v>43</v>
      </c>
      <c r="B50" s="10" t="s">
        <v>49</v>
      </c>
      <c r="C50" s="4">
        <f t="shared" si="2"/>
        <v>886.50601941747573</v>
      </c>
      <c r="D50" s="3">
        <v>0</v>
      </c>
      <c r="E50" s="3">
        <v>287</v>
      </c>
      <c r="F50" s="3">
        <v>89</v>
      </c>
      <c r="G50" s="3">
        <v>234</v>
      </c>
      <c r="H50" s="3">
        <v>94</v>
      </c>
      <c r="I50" s="4">
        <v>182.50601941747576</v>
      </c>
      <c r="J50" s="3">
        <v>0.33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  <c r="Q50" s="3">
        <v>0.12</v>
      </c>
      <c r="R50" s="3">
        <v>0</v>
      </c>
      <c r="S50" s="3">
        <v>31</v>
      </c>
      <c r="T50" s="3">
        <v>22</v>
      </c>
      <c r="U50" s="3">
        <v>107</v>
      </c>
      <c r="V50" s="3">
        <v>103</v>
      </c>
      <c r="W50" s="3">
        <v>606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f t="shared" si="1"/>
        <v>869</v>
      </c>
    </row>
    <row r="51" spans="1:30" ht="15">
      <c r="A51" s="3">
        <v>44</v>
      </c>
      <c r="B51" s="10" t="s">
        <v>50</v>
      </c>
      <c r="C51" s="4">
        <f t="shared" si="2"/>
        <v>248.23538461538462</v>
      </c>
      <c r="D51" s="3">
        <v>0</v>
      </c>
      <c r="E51" s="3">
        <v>0</v>
      </c>
      <c r="F51" s="3">
        <v>94</v>
      </c>
      <c r="G51" s="3">
        <v>76</v>
      </c>
      <c r="H51" s="3">
        <v>33</v>
      </c>
      <c r="I51" s="4">
        <v>45.235384615384618</v>
      </c>
      <c r="J51" s="3">
        <v>0.33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  <c r="Q51" s="3">
        <v>0.12</v>
      </c>
      <c r="R51" s="3">
        <v>0</v>
      </c>
      <c r="S51" s="3">
        <v>0</v>
      </c>
      <c r="T51" s="3">
        <v>27</v>
      </c>
      <c r="U51" s="3">
        <v>38</v>
      </c>
      <c r="V51" s="3">
        <v>91</v>
      </c>
      <c r="W51" s="3">
        <v>378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f t="shared" si="1"/>
        <v>534</v>
      </c>
    </row>
    <row r="52" spans="1:30" ht="15">
      <c r="A52" s="3">
        <v>45</v>
      </c>
      <c r="B52" s="10" t="s">
        <v>51</v>
      </c>
      <c r="C52" s="4">
        <f t="shared" si="2"/>
        <v>936.46400000000006</v>
      </c>
      <c r="D52" s="3">
        <v>0</v>
      </c>
      <c r="E52" s="3">
        <v>280</v>
      </c>
      <c r="F52" s="3">
        <v>0</v>
      </c>
      <c r="G52" s="3">
        <v>132</v>
      </c>
      <c r="H52" s="3">
        <v>32</v>
      </c>
      <c r="I52" s="4">
        <v>74.894769230769228</v>
      </c>
      <c r="J52" s="3">
        <v>0.33</v>
      </c>
      <c r="K52" s="3">
        <v>0</v>
      </c>
      <c r="L52" s="3">
        <v>0</v>
      </c>
      <c r="M52" s="3">
        <v>156</v>
      </c>
      <c r="N52" s="3">
        <v>83</v>
      </c>
      <c r="O52" s="3">
        <v>53</v>
      </c>
      <c r="P52" s="4">
        <v>125.5692307692308</v>
      </c>
      <c r="Q52" s="3">
        <v>0.28000000000000003</v>
      </c>
      <c r="R52" s="3">
        <v>0</v>
      </c>
      <c r="S52" s="3">
        <v>37</v>
      </c>
      <c r="T52" s="3">
        <v>0</v>
      </c>
      <c r="U52" s="3">
        <v>75</v>
      </c>
      <c r="V52" s="3">
        <v>65</v>
      </c>
      <c r="W52" s="3">
        <v>461</v>
      </c>
      <c r="X52" s="3">
        <v>0</v>
      </c>
      <c r="Y52" s="3">
        <v>0</v>
      </c>
      <c r="Z52" s="3">
        <v>8</v>
      </c>
      <c r="AA52" s="3">
        <v>11</v>
      </c>
      <c r="AB52" s="3">
        <v>13</v>
      </c>
      <c r="AC52" s="3">
        <v>110</v>
      </c>
      <c r="AD52" s="3">
        <f t="shared" si="1"/>
        <v>780</v>
      </c>
    </row>
    <row r="53" spans="1:30" ht="15">
      <c r="A53" s="3">
        <v>46</v>
      </c>
      <c r="B53" s="10" t="s">
        <v>52</v>
      </c>
      <c r="C53" s="4">
        <f t="shared" si="2"/>
        <v>245.17544303797467</v>
      </c>
      <c r="D53" s="3">
        <v>0</v>
      </c>
      <c r="E53" s="3">
        <v>144</v>
      </c>
      <c r="F53" s="3">
        <v>0</v>
      </c>
      <c r="G53" s="3">
        <v>30</v>
      </c>
      <c r="H53" s="3">
        <v>38</v>
      </c>
      <c r="I53" s="4">
        <v>33.175443037974688</v>
      </c>
      <c r="J53" s="3">
        <v>0.33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  <c r="Q53" s="3">
        <v>0.12</v>
      </c>
      <c r="R53" s="3">
        <v>0</v>
      </c>
      <c r="S53" s="3">
        <v>19</v>
      </c>
      <c r="T53" s="3">
        <v>0</v>
      </c>
      <c r="U53" s="3">
        <v>24</v>
      </c>
      <c r="V53" s="3">
        <v>79</v>
      </c>
      <c r="W53" s="3">
        <v>209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f t="shared" si="1"/>
        <v>331</v>
      </c>
    </row>
    <row r="54" spans="1:30" ht="15">
      <c r="A54" s="3">
        <v>47</v>
      </c>
      <c r="B54" s="10" t="s">
        <v>53</v>
      </c>
      <c r="C54" s="4">
        <f t="shared" si="2"/>
        <v>3572.0062700608742</v>
      </c>
      <c r="D54" s="3">
        <v>772</v>
      </c>
      <c r="E54" s="3">
        <v>294</v>
      </c>
      <c r="F54" s="3">
        <v>95</v>
      </c>
      <c r="G54" s="3">
        <v>224</v>
      </c>
      <c r="H54" s="3">
        <v>166</v>
      </c>
      <c r="I54" s="4">
        <v>249.07165467625899</v>
      </c>
      <c r="J54" s="3">
        <v>0.33</v>
      </c>
      <c r="K54" s="3">
        <v>264</v>
      </c>
      <c r="L54" s="3">
        <v>120</v>
      </c>
      <c r="M54" s="3">
        <v>456</v>
      </c>
      <c r="N54" s="3">
        <v>576</v>
      </c>
      <c r="O54" s="3">
        <v>235</v>
      </c>
      <c r="P54" s="4">
        <v>120.93461538461537</v>
      </c>
      <c r="Q54" s="3">
        <v>0.12</v>
      </c>
      <c r="R54" s="3">
        <v>19</v>
      </c>
      <c r="S54" s="3">
        <v>25</v>
      </c>
      <c r="T54" s="3">
        <v>14</v>
      </c>
      <c r="U54" s="3">
        <v>79</v>
      </c>
      <c r="V54" s="3">
        <v>139</v>
      </c>
      <c r="W54" s="3">
        <v>632</v>
      </c>
      <c r="X54" s="3">
        <v>6</v>
      </c>
      <c r="Y54" s="3">
        <v>8</v>
      </c>
      <c r="Z54" s="3">
        <v>17</v>
      </c>
      <c r="AA54" s="3">
        <v>62</v>
      </c>
      <c r="AB54" s="3">
        <v>52</v>
      </c>
      <c r="AC54" s="3">
        <v>223</v>
      </c>
      <c r="AD54" s="3">
        <f t="shared" si="1"/>
        <v>1276</v>
      </c>
    </row>
    <row r="55" spans="1:30" ht="15">
      <c r="A55" s="3">
        <v>48</v>
      </c>
      <c r="B55" s="10" t="s">
        <v>54</v>
      </c>
      <c r="C55" s="4">
        <f t="shared" si="2"/>
        <v>866.36619718309862</v>
      </c>
      <c r="D55" s="3">
        <v>0</v>
      </c>
      <c r="E55" s="3">
        <v>232</v>
      </c>
      <c r="F55" s="3">
        <v>165</v>
      </c>
      <c r="G55" s="3">
        <v>229</v>
      </c>
      <c r="H55" s="3">
        <v>100</v>
      </c>
      <c r="I55" s="4">
        <v>140.36619718309862</v>
      </c>
      <c r="J55" s="3">
        <v>0.33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  <c r="Q55" s="3">
        <v>0.12</v>
      </c>
      <c r="R55" s="3">
        <v>0</v>
      </c>
      <c r="S55" s="3">
        <v>39</v>
      </c>
      <c r="T55" s="3">
        <v>28</v>
      </c>
      <c r="U55" s="3">
        <v>90</v>
      </c>
      <c r="V55" s="3">
        <v>71</v>
      </c>
      <c r="W55" s="3">
        <v>302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f t="shared" si="1"/>
        <v>530</v>
      </c>
    </row>
    <row r="56" spans="1:30" ht="15">
      <c r="A56" s="3">
        <v>49</v>
      </c>
      <c r="B56" s="10" t="s">
        <v>55</v>
      </c>
      <c r="C56" s="4">
        <f t="shared" si="2"/>
        <v>327.63720588235293</v>
      </c>
      <c r="D56" s="3">
        <v>0</v>
      </c>
      <c r="E56" s="3">
        <v>0</v>
      </c>
      <c r="F56" s="3">
        <v>61</v>
      </c>
      <c r="G56" s="3">
        <v>112</v>
      </c>
      <c r="H56" s="3">
        <v>41</v>
      </c>
      <c r="I56" s="4">
        <v>39.197205882352947</v>
      </c>
      <c r="J56" s="3">
        <v>0.33</v>
      </c>
      <c r="K56" s="3">
        <v>0</v>
      </c>
      <c r="L56" s="3">
        <v>0</v>
      </c>
      <c r="M56" s="3">
        <v>24</v>
      </c>
      <c r="N56" s="3">
        <v>21</v>
      </c>
      <c r="O56" s="3">
        <v>16</v>
      </c>
      <c r="P56" s="4">
        <v>13.44</v>
      </c>
      <c r="Q56" s="3">
        <v>0.12</v>
      </c>
      <c r="R56" s="3">
        <v>0</v>
      </c>
      <c r="S56" s="3">
        <v>0</v>
      </c>
      <c r="T56" s="3">
        <v>17</v>
      </c>
      <c r="U56" s="3">
        <v>55</v>
      </c>
      <c r="V56" s="3">
        <v>68</v>
      </c>
      <c r="W56" s="3">
        <v>197</v>
      </c>
      <c r="X56" s="3">
        <v>0</v>
      </c>
      <c r="Y56" s="3">
        <v>0</v>
      </c>
      <c r="Z56" s="3">
        <v>2</v>
      </c>
      <c r="AA56" s="3">
        <v>4</v>
      </c>
      <c r="AB56" s="3">
        <v>5</v>
      </c>
      <c r="AC56" s="3">
        <v>35</v>
      </c>
      <c r="AD56" s="3">
        <f t="shared" si="1"/>
        <v>383</v>
      </c>
    </row>
    <row r="57" spans="1:30" ht="15">
      <c r="A57" s="3">
        <v>50</v>
      </c>
      <c r="B57" s="10" t="s">
        <v>56</v>
      </c>
      <c r="C57" s="4">
        <f t="shared" si="2"/>
        <v>957.7888659793814</v>
      </c>
      <c r="D57" s="3">
        <v>604</v>
      </c>
      <c r="E57" s="3">
        <v>0</v>
      </c>
      <c r="F57" s="3">
        <v>0</v>
      </c>
      <c r="G57" s="3">
        <v>243</v>
      </c>
      <c r="H57" s="3">
        <v>46</v>
      </c>
      <c r="I57" s="4">
        <v>64.788865979381441</v>
      </c>
      <c r="J57" s="3">
        <v>0.33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  <c r="Q57" s="3">
        <v>0.12</v>
      </c>
      <c r="R57" s="3">
        <v>21</v>
      </c>
      <c r="S57" s="3">
        <v>0</v>
      </c>
      <c r="T57" s="3">
        <v>0</v>
      </c>
      <c r="U57" s="3">
        <v>114</v>
      </c>
      <c r="V57" s="3">
        <v>97</v>
      </c>
      <c r="W57" s="3">
        <v>414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f t="shared" si="1"/>
        <v>646</v>
      </c>
    </row>
    <row r="58" spans="1:30" ht="15">
      <c r="A58" s="3">
        <v>51</v>
      </c>
      <c r="B58" s="10" t="s">
        <v>57</v>
      </c>
      <c r="C58" s="4">
        <f t="shared" si="2"/>
        <v>1609.9468743509865</v>
      </c>
      <c r="D58" s="3">
        <v>0</v>
      </c>
      <c r="E58" s="3">
        <v>308</v>
      </c>
      <c r="F58" s="3">
        <v>103</v>
      </c>
      <c r="G58" s="3">
        <v>77</v>
      </c>
      <c r="H58" s="3">
        <v>68</v>
      </c>
      <c r="I58" s="4">
        <v>95.422429906542064</v>
      </c>
      <c r="J58" s="3">
        <v>0.33</v>
      </c>
      <c r="K58" s="3">
        <v>0</v>
      </c>
      <c r="L58" s="3">
        <v>166</v>
      </c>
      <c r="M58" s="3">
        <v>386</v>
      </c>
      <c r="N58" s="3">
        <v>204</v>
      </c>
      <c r="O58" s="3">
        <v>96</v>
      </c>
      <c r="P58" s="4">
        <v>106.52444444444446</v>
      </c>
      <c r="Q58" s="3">
        <v>0.28000000000000003</v>
      </c>
      <c r="R58" s="3">
        <v>0</v>
      </c>
      <c r="S58" s="3">
        <v>33</v>
      </c>
      <c r="T58" s="3">
        <v>24</v>
      </c>
      <c r="U58" s="3">
        <v>31</v>
      </c>
      <c r="V58" s="3">
        <v>107</v>
      </c>
      <c r="W58" s="3">
        <v>455</v>
      </c>
      <c r="X58" s="3">
        <v>0</v>
      </c>
      <c r="Y58" s="3">
        <v>7</v>
      </c>
      <c r="Z58" s="3">
        <v>18</v>
      </c>
      <c r="AA58" s="3">
        <v>27</v>
      </c>
      <c r="AB58" s="3">
        <v>27</v>
      </c>
      <c r="AC58" s="3">
        <v>107</v>
      </c>
      <c r="AD58" s="3">
        <f t="shared" si="1"/>
        <v>836</v>
      </c>
    </row>
    <row r="59" spans="1:30" ht="15">
      <c r="A59" s="3">
        <v>52</v>
      </c>
      <c r="B59" s="10" t="s">
        <v>58</v>
      </c>
      <c r="C59" s="4">
        <f t="shared" si="2"/>
        <v>846.14233644859814</v>
      </c>
      <c r="D59" s="3">
        <v>376</v>
      </c>
      <c r="E59" s="3">
        <v>0</v>
      </c>
      <c r="F59" s="3">
        <v>88</v>
      </c>
      <c r="G59" s="3">
        <v>100</v>
      </c>
      <c r="H59" s="3">
        <v>163</v>
      </c>
      <c r="I59" s="4">
        <v>119.14233644859814</v>
      </c>
      <c r="J59" s="3">
        <v>0.33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  <c r="Q59" s="3">
        <v>0.12</v>
      </c>
      <c r="R59" s="3">
        <v>13</v>
      </c>
      <c r="S59" s="3">
        <v>0</v>
      </c>
      <c r="T59" s="3">
        <v>30</v>
      </c>
      <c r="U59" s="3">
        <v>52</v>
      </c>
      <c r="V59" s="3">
        <v>107</v>
      </c>
      <c r="W59" s="3">
        <v>237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f t="shared" si="1"/>
        <v>439</v>
      </c>
    </row>
    <row r="60" spans="1:30" ht="15">
      <c r="A60" s="3">
        <v>53</v>
      </c>
      <c r="B60" s="10" t="s">
        <v>59</v>
      </c>
      <c r="C60" s="4">
        <f t="shared" si="2"/>
        <v>180.93200000000002</v>
      </c>
      <c r="D60" s="3">
        <v>0</v>
      </c>
      <c r="E60" s="3">
        <v>83</v>
      </c>
      <c r="F60" s="3">
        <v>10</v>
      </c>
      <c r="G60" s="3">
        <v>52</v>
      </c>
      <c r="H60" s="3">
        <v>13</v>
      </c>
      <c r="I60" s="4">
        <v>22.932000000000006</v>
      </c>
      <c r="J60" s="3">
        <v>0.33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  <c r="Q60" s="3">
        <v>0.12</v>
      </c>
      <c r="R60" s="3">
        <v>0</v>
      </c>
      <c r="S60" s="3">
        <v>19</v>
      </c>
      <c r="T60" s="3">
        <v>18</v>
      </c>
      <c r="U60" s="3">
        <v>47</v>
      </c>
      <c r="V60" s="3">
        <v>55</v>
      </c>
      <c r="W60" s="3">
        <v>294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f t="shared" si="1"/>
        <v>433</v>
      </c>
    </row>
    <row r="61" spans="1:30" ht="15">
      <c r="A61" s="3">
        <v>54</v>
      </c>
      <c r="B61" s="10" t="s">
        <v>60</v>
      </c>
      <c r="C61" s="4">
        <f t="shared" si="2"/>
        <v>1790.1833764495987</v>
      </c>
      <c r="D61" s="3">
        <v>0</v>
      </c>
      <c r="E61" s="3">
        <v>547</v>
      </c>
      <c r="F61" s="3">
        <v>75</v>
      </c>
      <c r="G61" s="3">
        <v>278</v>
      </c>
      <c r="H61" s="3">
        <v>119</v>
      </c>
      <c r="I61" s="4">
        <v>267.90127118644074</v>
      </c>
      <c r="J61" s="3">
        <v>0.33</v>
      </c>
      <c r="K61" s="3">
        <v>0</v>
      </c>
      <c r="L61" s="3">
        <v>141</v>
      </c>
      <c r="M61" s="3">
        <v>56</v>
      </c>
      <c r="N61" s="3">
        <v>186</v>
      </c>
      <c r="O61" s="3">
        <v>77</v>
      </c>
      <c r="P61" s="4">
        <v>43.282105263157895</v>
      </c>
      <c r="Q61" s="3">
        <v>0.12</v>
      </c>
      <c r="R61" s="3">
        <v>0</v>
      </c>
      <c r="S61" s="3">
        <v>42</v>
      </c>
      <c r="T61" s="3">
        <v>13</v>
      </c>
      <c r="U61" s="3">
        <v>93</v>
      </c>
      <c r="V61" s="3">
        <v>118</v>
      </c>
      <c r="W61" s="3">
        <v>805</v>
      </c>
      <c r="X61" s="3">
        <v>0</v>
      </c>
      <c r="Y61" s="3">
        <v>6</v>
      </c>
      <c r="Z61" s="3">
        <v>4</v>
      </c>
      <c r="AA61" s="3">
        <v>16</v>
      </c>
      <c r="AB61" s="3">
        <v>19</v>
      </c>
      <c r="AC61" s="3">
        <v>89</v>
      </c>
      <c r="AD61" s="3">
        <f t="shared" si="1"/>
        <v>1205</v>
      </c>
    </row>
    <row r="62" spans="1:30" ht="15">
      <c r="A62" s="3">
        <v>55</v>
      </c>
      <c r="B62" s="10" t="s">
        <v>61</v>
      </c>
      <c r="C62" s="4">
        <f t="shared" si="2"/>
        <v>280.4507142857143</v>
      </c>
      <c r="D62" s="3">
        <v>0</v>
      </c>
      <c r="E62" s="3">
        <v>0</v>
      </c>
      <c r="F62" s="3">
        <v>152</v>
      </c>
      <c r="G62" s="3">
        <v>34</v>
      </c>
      <c r="H62" s="3">
        <v>33</v>
      </c>
      <c r="I62" s="4">
        <v>61.450714285714291</v>
      </c>
      <c r="J62" s="3">
        <v>0.33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v>0</v>
      </c>
      <c r="Q62" s="3">
        <v>0.12</v>
      </c>
      <c r="R62" s="3">
        <v>0</v>
      </c>
      <c r="S62" s="3">
        <v>0</v>
      </c>
      <c r="T62" s="3">
        <v>51</v>
      </c>
      <c r="U62" s="3">
        <v>41</v>
      </c>
      <c r="V62" s="3">
        <v>84</v>
      </c>
      <c r="W62" s="3">
        <v>474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f t="shared" si="1"/>
        <v>650</v>
      </c>
    </row>
    <row r="63" spans="1:30" ht="15">
      <c r="A63" s="3">
        <v>56</v>
      </c>
      <c r="B63" s="10" t="s">
        <v>62</v>
      </c>
      <c r="C63" s="4">
        <f t="shared" si="2"/>
        <v>20712.493132075469</v>
      </c>
      <c r="D63" s="3">
        <v>132</v>
      </c>
      <c r="E63" s="3">
        <v>114</v>
      </c>
      <c r="F63" s="3">
        <v>97</v>
      </c>
      <c r="G63" s="3">
        <v>3</v>
      </c>
      <c r="H63" s="3">
        <v>21</v>
      </c>
      <c r="I63" s="4">
        <v>78.12</v>
      </c>
      <c r="J63" s="3">
        <v>0.33</v>
      </c>
      <c r="K63" s="4">
        <v>7716</v>
      </c>
      <c r="L63" s="3">
        <v>513</v>
      </c>
      <c r="M63" s="4">
        <v>3624</v>
      </c>
      <c r="N63" s="4">
        <v>3174</v>
      </c>
      <c r="O63" s="4">
        <v>1556</v>
      </c>
      <c r="P63" s="4">
        <v>3684.3731320754719</v>
      </c>
      <c r="Q63" s="3">
        <v>0.28000000000000003</v>
      </c>
      <c r="R63" s="3">
        <v>3</v>
      </c>
      <c r="S63" s="3">
        <v>5</v>
      </c>
      <c r="T63" s="3">
        <v>8</v>
      </c>
      <c r="U63" s="3">
        <v>0</v>
      </c>
      <c r="V63" s="3">
        <v>22</v>
      </c>
      <c r="W63" s="3">
        <v>248</v>
      </c>
      <c r="X63" s="3">
        <v>94</v>
      </c>
      <c r="Y63" s="3">
        <v>14</v>
      </c>
      <c r="Z63" s="3">
        <v>156</v>
      </c>
      <c r="AA63" s="3">
        <v>240</v>
      </c>
      <c r="AB63" s="3">
        <v>265</v>
      </c>
      <c r="AC63" s="4">
        <v>2241</v>
      </c>
      <c r="AD63" s="3">
        <f t="shared" si="1"/>
        <v>3296</v>
      </c>
    </row>
    <row r="64" spans="1:30" ht="15">
      <c r="A64" s="3">
        <v>57</v>
      </c>
      <c r="B64" s="10" t="s">
        <v>63</v>
      </c>
      <c r="C64" s="4">
        <f t="shared" si="2"/>
        <v>932.85655172413794</v>
      </c>
      <c r="D64" s="3">
        <v>0</v>
      </c>
      <c r="E64" s="3">
        <v>321</v>
      </c>
      <c r="F64" s="3">
        <v>78</v>
      </c>
      <c r="G64" s="3">
        <v>60</v>
      </c>
      <c r="H64" s="3">
        <v>68</v>
      </c>
      <c r="I64" s="4">
        <v>72.736551724137939</v>
      </c>
      <c r="J64" s="3">
        <v>0.33</v>
      </c>
      <c r="K64" s="3">
        <v>0</v>
      </c>
      <c r="L64" s="3">
        <v>0</v>
      </c>
      <c r="M64" s="3">
        <v>127</v>
      </c>
      <c r="N64" s="3">
        <v>121</v>
      </c>
      <c r="O64" s="3">
        <v>42</v>
      </c>
      <c r="P64" s="4">
        <v>43.12</v>
      </c>
      <c r="Q64" s="3">
        <v>0.28000000000000003</v>
      </c>
      <c r="R64" s="3">
        <v>0</v>
      </c>
      <c r="S64" s="3">
        <v>11</v>
      </c>
      <c r="T64" s="3">
        <v>11</v>
      </c>
      <c r="U64" s="3">
        <v>21</v>
      </c>
      <c r="V64" s="3">
        <v>58</v>
      </c>
      <c r="W64" s="3">
        <v>188</v>
      </c>
      <c r="X64" s="3">
        <v>0</v>
      </c>
      <c r="Y64" s="3">
        <v>0</v>
      </c>
      <c r="Z64" s="3">
        <v>6</v>
      </c>
      <c r="AA64" s="3">
        <v>11</v>
      </c>
      <c r="AB64" s="3">
        <v>15</v>
      </c>
      <c r="AC64" s="3">
        <v>55</v>
      </c>
      <c r="AD64" s="3">
        <f t="shared" si="1"/>
        <v>376</v>
      </c>
    </row>
    <row r="65" spans="1:30" ht="15">
      <c r="A65" s="3">
        <v>58</v>
      </c>
      <c r="B65" s="10" t="s">
        <v>64</v>
      </c>
      <c r="C65" s="4">
        <f t="shared" si="2"/>
        <v>650.76874999999995</v>
      </c>
      <c r="D65" s="3">
        <v>0</v>
      </c>
      <c r="E65" s="3">
        <v>221</v>
      </c>
      <c r="F65" s="3">
        <v>19</v>
      </c>
      <c r="G65" s="3">
        <v>226</v>
      </c>
      <c r="H65" s="3">
        <v>85</v>
      </c>
      <c r="I65" s="4">
        <v>99.768749999999997</v>
      </c>
      <c r="J65" s="3">
        <v>0.33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  <c r="Q65" s="3">
        <v>0.12</v>
      </c>
      <c r="R65" s="3">
        <v>0</v>
      </c>
      <c r="S65" s="3">
        <v>25</v>
      </c>
      <c r="T65" s="3">
        <v>5</v>
      </c>
      <c r="U65" s="3">
        <v>57</v>
      </c>
      <c r="V65" s="3">
        <v>88</v>
      </c>
      <c r="W65" s="3">
        <v>313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f t="shared" si="1"/>
        <v>488</v>
      </c>
    </row>
    <row r="66" spans="1:30" ht="15">
      <c r="A66" s="3">
        <v>59</v>
      </c>
      <c r="B66" s="10" t="s">
        <v>65</v>
      </c>
      <c r="C66" s="4">
        <f t="shared" si="2"/>
        <v>4133.6064367816089</v>
      </c>
      <c r="D66" s="3">
        <v>143</v>
      </c>
      <c r="E66" s="3">
        <v>0</v>
      </c>
      <c r="F66" s="3">
        <v>0</v>
      </c>
      <c r="G66" s="3">
        <v>107</v>
      </c>
      <c r="H66" s="3">
        <v>15</v>
      </c>
      <c r="I66" s="4">
        <v>18.093103448275862</v>
      </c>
      <c r="J66" s="3">
        <v>0.33</v>
      </c>
      <c r="K66" s="4">
        <v>1877</v>
      </c>
      <c r="L66" s="3">
        <v>0</v>
      </c>
      <c r="M66" s="3">
        <v>137</v>
      </c>
      <c r="N66" s="3">
        <v>761</v>
      </c>
      <c r="O66" s="3">
        <v>319</v>
      </c>
      <c r="P66" s="4">
        <v>756.51333333333343</v>
      </c>
      <c r="Q66" s="3">
        <v>0.28000000000000003</v>
      </c>
      <c r="R66" s="3">
        <v>3</v>
      </c>
      <c r="S66" s="3">
        <v>0</v>
      </c>
      <c r="T66" s="3">
        <v>0</v>
      </c>
      <c r="U66" s="3">
        <v>37</v>
      </c>
      <c r="V66" s="3">
        <v>29</v>
      </c>
      <c r="W66" s="3">
        <v>106</v>
      </c>
      <c r="X66" s="3">
        <v>16</v>
      </c>
      <c r="Y66" s="3">
        <v>0</v>
      </c>
      <c r="Z66" s="3">
        <v>12</v>
      </c>
      <c r="AA66" s="3">
        <v>68</v>
      </c>
      <c r="AB66" s="3">
        <v>66</v>
      </c>
      <c r="AC66" s="3">
        <v>559</v>
      </c>
      <c r="AD66" s="3">
        <f t="shared" si="1"/>
        <v>896</v>
      </c>
    </row>
    <row r="67" spans="1:30" ht="15">
      <c r="A67" s="3">
        <v>60</v>
      </c>
      <c r="B67" s="10" t="s">
        <v>66</v>
      </c>
      <c r="C67" s="4">
        <f t="shared" si="2"/>
        <v>555.79524752475243</v>
      </c>
      <c r="D67" s="3">
        <v>0</v>
      </c>
      <c r="E67" s="3">
        <v>202</v>
      </c>
      <c r="F67" s="3">
        <v>0</v>
      </c>
      <c r="G67" s="3">
        <v>173</v>
      </c>
      <c r="H67" s="3">
        <v>104</v>
      </c>
      <c r="I67" s="4">
        <v>76.795247524752469</v>
      </c>
      <c r="J67" s="3">
        <v>0.33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  <c r="Q67" s="3">
        <v>0.12</v>
      </c>
      <c r="R67" s="3">
        <v>0</v>
      </c>
      <c r="S67" s="3">
        <v>29</v>
      </c>
      <c r="T67" s="3">
        <v>0</v>
      </c>
      <c r="U67" s="3">
        <v>68</v>
      </c>
      <c r="V67" s="3">
        <v>101</v>
      </c>
      <c r="W67" s="3">
        <v>226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f t="shared" si="1"/>
        <v>424</v>
      </c>
    </row>
    <row r="68" spans="1:30" ht="15">
      <c r="A68" s="3">
        <v>61</v>
      </c>
      <c r="B68" s="10" t="s">
        <v>67</v>
      </c>
      <c r="C68" s="4">
        <f t="shared" si="2"/>
        <v>793.72274725274724</v>
      </c>
      <c r="D68" s="3">
        <v>0</v>
      </c>
      <c r="E68" s="3">
        <v>399</v>
      </c>
      <c r="F68" s="3">
        <v>0</v>
      </c>
      <c r="G68" s="3">
        <v>111</v>
      </c>
      <c r="H68" s="3">
        <v>85</v>
      </c>
      <c r="I68" s="4">
        <v>131.00274725274724</v>
      </c>
      <c r="J68" s="3">
        <v>0.33</v>
      </c>
      <c r="K68" s="3">
        <v>0</v>
      </c>
      <c r="L68" s="3">
        <v>0</v>
      </c>
      <c r="M68" s="3">
        <v>26</v>
      </c>
      <c r="N68" s="3">
        <v>25</v>
      </c>
      <c r="O68" s="3">
        <v>11</v>
      </c>
      <c r="P68" s="4">
        <v>5.72</v>
      </c>
      <c r="Q68" s="3">
        <v>0.12</v>
      </c>
      <c r="R68" s="3">
        <v>0</v>
      </c>
      <c r="S68" s="3">
        <v>29</v>
      </c>
      <c r="T68" s="3">
        <v>0</v>
      </c>
      <c r="U68" s="3">
        <v>64</v>
      </c>
      <c r="V68" s="3">
        <v>91</v>
      </c>
      <c r="W68" s="3">
        <v>425</v>
      </c>
      <c r="X68" s="3">
        <v>0</v>
      </c>
      <c r="Y68" s="3">
        <v>0</v>
      </c>
      <c r="Z68" s="3">
        <v>1</v>
      </c>
      <c r="AA68" s="3">
        <v>3</v>
      </c>
      <c r="AB68" s="3">
        <v>6</v>
      </c>
      <c r="AC68" s="3">
        <v>26</v>
      </c>
      <c r="AD68" s="3">
        <f t="shared" si="1"/>
        <v>645</v>
      </c>
    </row>
    <row r="69" spans="1:30" ht="15">
      <c r="A69" s="3">
        <v>62</v>
      </c>
      <c r="B69" s="10" t="s">
        <v>68</v>
      </c>
      <c r="C69" s="4">
        <f t="shared" si="2"/>
        <v>487.01</v>
      </c>
      <c r="D69" s="3">
        <v>132</v>
      </c>
      <c r="E69" s="3">
        <v>0</v>
      </c>
      <c r="F69" s="3">
        <v>141</v>
      </c>
      <c r="G69" s="3">
        <v>106</v>
      </c>
      <c r="H69" s="3">
        <v>49</v>
      </c>
      <c r="I69" s="4">
        <v>59.01</v>
      </c>
      <c r="J69" s="3">
        <v>0.33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  <c r="Q69" s="3">
        <v>0.12</v>
      </c>
      <c r="R69" s="3">
        <v>4</v>
      </c>
      <c r="S69" s="3">
        <v>0</v>
      </c>
      <c r="T69" s="3">
        <v>27</v>
      </c>
      <c r="U69" s="3">
        <v>46</v>
      </c>
      <c r="V69" s="3">
        <v>77</v>
      </c>
      <c r="W69" s="3">
        <v>281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f t="shared" si="1"/>
        <v>435</v>
      </c>
    </row>
    <row r="70" spans="1:30" ht="15">
      <c r="A70" s="3">
        <v>63</v>
      </c>
      <c r="B70" s="10" t="s">
        <v>69</v>
      </c>
      <c r="C70" s="4">
        <f t="shared" si="2"/>
        <v>1923.0090322580645</v>
      </c>
      <c r="D70" s="3">
        <v>629</v>
      </c>
      <c r="E70" s="3">
        <v>130</v>
      </c>
      <c r="F70" s="3">
        <v>62</v>
      </c>
      <c r="G70" s="3">
        <v>370</v>
      </c>
      <c r="H70" s="3">
        <v>70</v>
      </c>
      <c r="I70" s="4">
        <v>203.42903225806452</v>
      </c>
      <c r="J70" s="3">
        <v>0.33</v>
      </c>
      <c r="K70" s="3">
        <v>125</v>
      </c>
      <c r="L70" s="3">
        <v>0</v>
      </c>
      <c r="M70" s="3">
        <v>190</v>
      </c>
      <c r="N70" s="3">
        <v>111</v>
      </c>
      <c r="O70" s="3">
        <v>18</v>
      </c>
      <c r="P70" s="4">
        <v>14.58</v>
      </c>
      <c r="Q70" s="3">
        <v>0.12</v>
      </c>
      <c r="R70" s="3">
        <v>19</v>
      </c>
      <c r="S70" s="3">
        <v>16</v>
      </c>
      <c r="T70" s="3">
        <v>12</v>
      </c>
      <c r="U70" s="3">
        <v>102</v>
      </c>
      <c r="V70" s="3">
        <v>93</v>
      </c>
      <c r="W70" s="3">
        <v>819</v>
      </c>
      <c r="X70" s="3">
        <v>4</v>
      </c>
      <c r="Y70" s="3">
        <v>0</v>
      </c>
      <c r="Z70" s="3">
        <v>11</v>
      </c>
      <c r="AA70" s="3">
        <v>11</v>
      </c>
      <c r="AB70" s="3">
        <v>8</v>
      </c>
      <c r="AC70" s="3">
        <v>54</v>
      </c>
      <c r="AD70" s="3">
        <f t="shared" si="1"/>
        <v>1149</v>
      </c>
    </row>
    <row r="71" spans="1:30" ht="15">
      <c r="A71" s="3">
        <v>64</v>
      </c>
      <c r="B71" s="10" t="s">
        <v>70</v>
      </c>
      <c r="C71" s="4">
        <f t="shared" si="2"/>
        <v>582.69538461538468</v>
      </c>
      <c r="D71" s="3">
        <v>0</v>
      </c>
      <c r="E71" s="3">
        <v>304</v>
      </c>
      <c r="F71" s="3">
        <v>0</v>
      </c>
      <c r="G71" s="3">
        <v>126</v>
      </c>
      <c r="H71" s="3">
        <v>54</v>
      </c>
      <c r="I71" s="4">
        <v>98.695384615384626</v>
      </c>
      <c r="J71" s="3">
        <v>0.33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  <c r="Q71" s="3">
        <v>0.12</v>
      </c>
      <c r="R71" s="3">
        <v>0</v>
      </c>
      <c r="S71" s="3">
        <v>34</v>
      </c>
      <c r="T71" s="3">
        <v>0</v>
      </c>
      <c r="U71" s="3">
        <v>96</v>
      </c>
      <c r="V71" s="3">
        <v>65</v>
      </c>
      <c r="W71" s="3">
        <v>360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f t="shared" si="1"/>
        <v>555</v>
      </c>
    </row>
    <row r="72" spans="1:30" ht="15">
      <c r="A72" s="3">
        <v>65</v>
      </c>
      <c r="B72" s="10" t="s">
        <v>71</v>
      </c>
      <c r="C72" s="4">
        <f t="shared" ref="C72:C103" si="3">SUM(D72:I72)+SUM(K72:P72)</f>
        <v>181.5</v>
      </c>
      <c r="D72" s="3">
        <v>0</v>
      </c>
      <c r="E72" s="3">
        <v>0</v>
      </c>
      <c r="F72" s="3">
        <v>55</v>
      </c>
      <c r="G72" s="3">
        <v>58</v>
      </c>
      <c r="H72" s="3">
        <v>25</v>
      </c>
      <c r="I72" s="4">
        <v>43.5</v>
      </c>
      <c r="J72" s="3">
        <v>0.33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  <c r="Q72" s="3">
        <v>0.12</v>
      </c>
      <c r="R72" s="3">
        <v>0</v>
      </c>
      <c r="S72" s="3">
        <v>0</v>
      </c>
      <c r="T72" s="3">
        <v>15</v>
      </c>
      <c r="U72" s="3">
        <v>39</v>
      </c>
      <c r="V72" s="3">
        <v>55</v>
      </c>
      <c r="W72" s="3">
        <v>290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f t="shared" si="1"/>
        <v>399</v>
      </c>
    </row>
    <row r="73" spans="1:30" ht="15">
      <c r="A73" s="3">
        <v>66</v>
      </c>
      <c r="B73" s="10" t="s">
        <v>72</v>
      </c>
      <c r="C73" s="4">
        <f t="shared" si="3"/>
        <v>419.06333333333333</v>
      </c>
      <c r="D73" s="3">
        <v>0</v>
      </c>
      <c r="E73" s="3">
        <v>95</v>
      </c>
      <c r="F73" s="3">
        <v>95</v>
      </c>
      <c r="G73" s="3">
        <v>84</v>
      </c>
      <c r="H73" s="3">
        <v>56</v>
      </c>
      <c r="I73" s="4">
        <v>89.063333333333333</v>
      </c>
      <c r="J73" s="3">
        <v>0.33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  <c r="Q73" s="3">
        <v>0.12</v>
      </c>
      <c r="R73" s="3">
        <v>0</v>
      </c>
      <c r="S73" s="3">
        <v>15</v>
      </c>
      <c r="T73" s="3">
        <v>26</v>
      </c>
      <c r="U73" s="3">
        <v>43</v>
      </c>
      <c r="V73" s="3">
        <v>72</v>
      </c>
      <c r="W73" s="3">
        <v>347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f t="shared" ref="AD73:AD127" si="4">SUM(R73:AC73)</f>
        <v>503</v>
      </c>
    </row>
    <row r="74" spans="1:30" ht="15">
      <c r="A74" s="3">
        <v>67</v>
      </c>
      <c r="B74" s="10" t="s">
        <v>73</v>
      </c>
      <c r="C74" s="4">
        <f t="shared" si="3"/>
        <v>704.79657534246576</v>
      </c>
      <c r="D74" s="3">
        <v>0</v>
      </c>
      <c r="E74" s="3">
        <v>300</v>
      </c>
      <c r="F74" s="3">
        <v>0</v>
      </c>
      <c r="G74" s="3">
        <v>188</v>
      </c>
      <c r="H74" s="3">
        <v>85</v>
      </c>
      <c r="I74" s="4">
        <v>131.79657534246579</v>
      </c>
      <c r="J74" s="3">
        <v>0.33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  <c r="Q74" s="3">
        <v>0.12</v>
      </c>
      <c r="R74" s="3">
        <v>0</v>
      </c>
      <c r="S74" s="3">
        <v>46</v>
      </c>
      <c r="T74" s="3">
        <v>0</v>
      </c>
      <c r="U74" s="3">
        <v>90</v>
      </c>
      <c r="V74" s="3">
        <v>73</v>
      </c>
      <c r="W74" s="3">
        <v>343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f t="shared" si="4"/>
        <v>552</v>
      </c>
    </row>
    <row r="75" spans="1:30" ht="15">
      <c r="A75" s="3">
        <v>68</v>
      </c>
      <c r="B75" s="10" t="s">
        <v>74</v>
      </c>
      <c r="C75" s="4">
        <f t="shared" si="3"/>
        <v>393.75132530120482</v>
      </c>
      <c r="D75" s="3">
        <v>0</v>
      </c>
      <c r="E75" s="3">
        <v>194</v>
      </c>
      <c r="F75" s="3">
        <v>0</v>
      </c>
      <c r="G75" s="3">
        <v>87</v>
      </c>
      <c r="H75" s="3">
        <v>44</v>
      </c>
      <c r="I75" s="4">
        <v>68.751325301204815</v>
      </c>
      <c r="J75" s="3">
        <v>0.33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  <c r="Q75" s="3">
        <v>0.12</v>
      </c>
      <c r="R75" s="3">
        <v>0</v>
      </c>
      <c r="S75" s="3">
        <v>53</v>
      </c>
      <c r="T75" s="3">
        <v>0</v>
      </c>
      <c r="U75" s="3">
        <v>67</v>
      </c>
      <c r="V75" s="3">
        <v>83</v>
      </c>
      <c r="W75" s="3">
        <v>393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f t="shared" si="4"/>
        <v>596</v>
      </c>
    </row>
    <row r="76" spans="1:30" ht="15">
      <c r="A76" s="3">
        <v>69</v>
      </c>
      <c r="B76" s="10" t="s">
        <v>75</v>
      </c>
      <c r="C76" s="4">
        <f t="shared" si="3"/>
        <v>611.97375</v>
      </c>
      <c r="D76" s="3">
        <v>0</v>
      </c>
      <c r="E76" s="3">
        <v>322</v>
      </c>
      <c r="F76" s="3">
        <v>45</v>
      </c>
      <c r="G76" s="3">
        <v>72</v>
      </c>
      <c r="H76" s="3">
        <v>71</v>
      </c>
      <c r="I76" s="4">
        <v>101.97375</v>
      </c>
      <c r="J76" s="3">
        <v>0.33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  <c r="Q76" s="3">
        <v>0.12</v>
      </c>
      <c r="R76" s="3">
        <v>0</v>
      </c>
      <c r="S76" s="3">
        <v>38</v>
      </c>
      <c r="T76" s="3">
        <v>13</v>
      </c>
      <c r="U76" s="3">
        <v>58</v>
      </c>
      <c r="V76" s="3">
        <v>88</v>
      </c>
      <c r="W76" s="3">
        <v>383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f t="shared" si="4"/>
        <v>580</v>
      </c>
    </row>
    <row r="77" spans="1:30" ht="15">
      <c r="A77" s="3">
        <v>70</v>
      </c>
      <c r="B77" s="10" t="s">
        <v>76</v>
      </c>
      <c r="C77" s="4">
        <f t="shared" si="3"/>
        <v>371.3125</v>
      </c>
      <c r="D77" s="3">
        <v>107</v>
      </c>
      <c r="E77" s="3">
        <v>0</v>
      </c>
      <c r="F77" s="3">
        <v>139</v>
      </c>
      <c r="G77" s="3">
        <v>47</v>
      </c>
      <c r="H77" s="3">
        <v>35</v>
      </c>
      <c r="I77" s="4">
        <v>43.3125</v>
      </c>
      <c r="J77" s="3">
        <v>0.33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  <c r="Q77" s="3">
        <v>0.12</v>
      </c>
      <c r="R77" s="3">
        <v>5</v>
      </c>
      <c r="S77" s="3">
        <v>0</v>
      </c>
      <c r="T77" s="3">
        <v>32</v>
      </c>
      <c r="U77" s="3">
        <v>34</v>
      </c>
      <c r="V77" s="3">
        <v>88</v>
      </c>
      <c r="W77" s="3">
        <v>330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f t="shared" si="4"/>
        <v>489</v>
      </c>
    </row>
    <row r="78" spans="1:30" ht="15">
      <c r="A78" s="3">
        <v>71</v>
      </c>
      <c r="B78" s="10" t="s">
        <v>77</v>
      </c>
      <c r="C78" s="4">
        <f t="shared" si="3"/>
        <v>753.23963235294127</v>
      </c>
      <c r="D78" s="3">
        <v>0</v>
      </c>
      <c r="E78" s="3">
        <v>147</v>
      </c>
      <c r="F78" s="3">
        <v>170</v>
      </c>
      <c r="G78" s="3">
        <v>62</v>
      </c>
      <c r="H78" s="3">
        <v>73</v>
      </c>
      <c r="I78" s="4">
        <v>102.55963235294119</v>
      </c>
      <c r="J78" s="3">
        <v>0.33</v>
      </c>
      <c r="K78" s="3">
        <v>0</v>
      </c>
      <c r="L78" s="3">
        <v>0</v>
      </c>
      <c r="M78" s="3">
        <v>116</v>
      </c>
      <c r="N78" s="3">
        <v>50</v>
      </c>
      <c r="O78" s="3">
        <v>19</v>
      </c>
      <c r="P78" s="4">
        <v>13.68</v>
      </c>
      <c r="Q78" s="3">
        <v>0.12</v>
      </c>
      <c r="R78" s="3">
        <v>0</v>
      </c>
      <c r="S78" s="3">
        <v>25</v>
      </c>
      <c r="T78" s="3">
        <v>38</v>
      </c>
      <c r="U78" s="3">
        <v>54</v>
      </c>
      <c r="V78" s="3">
        <v>136</v>
      </c>
      <c r="W78" s="3">
        <v>579</v>
      </c>
      <c r="X78" s="3">
        <v>0</v>
      </c>
      <c r="Y78" s="3">
        <v>0</v>
      </c>
      <c r="Z78" s="3">
        <v>12</v>
      </c>
      <c r="AA78" s="3">
        <v>8</v>
      </c>
      <c r="AB78" s="3">
        <v>7</v>
      </c>
      <c r="AC78" s="3">
        <v>42</v>
      </c>
      <c r="AD78" s="3">
        <f t="shared" si="4"/>
        <v>901</v>
      </c>
    </row>
    <row r="79" spans="1:30" ht="15">
      <c r="A79" s="3">
        <v>72</v>
      </c>
      <c r="B79" s="10" t="s">
        <v>78</v>
      </c>
      <c r="C79" s="4">
        <f t="shared" si="3"/>
        <v>663.74896551724134</v>
      </c>
      <c r="D79" s="3">
        <v>348</v>
      </c>
      <c r="E79" s="3">
        <v>47</v>
      </c>
      <c r="F79" s="3">
        <v>87</v>
      </c>
      <c r="G79" s="3">
        <v>68</v>
      </c>
      <c r="H79" s="3">
        <v>32</v>
      </c>
      <c r="I79" s="4">
        <v>81.748965517241388</v>
      </c>
      <c r="J79" s="3">
        <v>0.33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  <c r="Q79" s="3">
        <v>0.12</v>
      </c>
      <c r="R79" s="3">
        <v>21</v>
      </c>
      <c r="S79" s="3">
        <v>6</v>
      </c>
      <c r="T79" s="3">
        <v>16</v>
      </c>
      <c r="U79" s="3">
        <v>42</v>
      </c>
      <c r="V79" s="3">
        <v>58</v>
      </c>
      <c r="W79" s="3">
        <v>449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f t="shared" si="4"/>
        <v>592</v>
      </c>
    </row>
    <row r="80" spans="1:30" ht="15">
      <c r="A80" s="3">
        <v>73</v>
      </c>
      <c r="B80" s="10" t="s">
        <v>79</v>
      </c>
      <c r="C80" s="4">
        <f t="shared" si="3"/>
        <v>1998.1223715415019</v>
      </c>
      <c r="D80" s="3">
        <v>192</v>
      </c>
      <c r="E80" s="3">
        <v>198</v>
      </c>
      <c r="F80" s="3">
        <v>0</v>
      </c>
      <c r="G80" s="3">
        <v>154</v>
      </c>
      <c r="H80" s="3">
        <v>60</v>
      </c>
      <c r="I80" s="4">
        <v>60.547826086956526</v>
      </c>
      <c r="J80" s="3">
        <v>0.33</v>
      </c>
      <c r="K80" s="3">
        <v>341</v>
      </c>
      <c r="L80" s="3">
        <v>0</v>
      </c>
      <c r="M80" s="3">
        <v>435</v>
      </c>
      <c r="N80" s="3">
        <v>304</v>
      </c>
      <c r="O80" s="3">
        <v>137</v>
      </c>
      <c r="P80" s="4">
        <v>116.57454545454544</v>
      </c>
      <c r="Q80" s="3">
        <v>0.12</v>
      </c>
      <c r="R80" s="3">
        <v>7</v>
      </c>
      <c r="S80" s="3">
        <v>18</v>
      </c>
      <c r="T80" s="3">
        <v>0</v>
      </c>
      <c r="U80" s="3">
        <v>58</v>
      </c>
      <c r="V80" s="3">
        <v>69</v>
      </c>
      <c r="W80" s="3">
        <v>211</v>
      </c>
      <c r="X80" s="3">
        <v>10</v>
      </c>
      <c r="Y80" s="3">
        <v>0</v>
      </c>
      <c r="Z80" s="3">
        <v>26</v>
      </c>
      <c r="AA80" s="3">
        <v>43</v>
      </c>
      <c r="AB80" s="3">
        <v>33</v>
      </c>
      <c r="AC80" s="3">
        <v>234</v>
      </c>
      <c r="AD80" s="3">
        <f t="shared" si="4"/>
        <v>709</v>
      </c>
    </row>
    <row r="81" spans="1:30" ht="15">
      <c r="A81" s="3">
        <v>74</v>
      </c>
      <c r="B81" s="10" t="s">
        <v>80</v>
      </c>
      <c r="C81" s="4">
        <f t="shared" si="3"/>
        <v>449.13718749999998</v>
      </c>
      <c r="D81" s="3">
        <v>0</v>
      </c>
      <c r="E81" s="3">
        <v>166</v>
      </c>
      <c r="F81" s="3">
        <v>13</v>
      </c>
      <c r="G81" s="3">
        <v>51</v>
      </c>
      <c r="H81" s="3">
        <v>77</v>
      </c>
      <c r="I81" s="4">
        <v>142.13718750000001</v>
      </c>
      <c r="J81" s="3">
        <v>0.33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v>0</v>
      </c>
      <c r="Q81" s="3">
        <v>0.12</v>
      </c>
      <c r="R81" s="3">
        <v>0</v>
      </c>
      <c r="S81" s="3">
        <v>22</v>
      </c>
      <c r="T81" s="3">
        <v>12</v>
      </c>
      <c r="U81" s="3">
        <v>36</v>
      </c>
      <c r="V81" s="3">
        <v>96</v>
      </c>
      <c r="W81" s="3">
        <v>537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f t="shared" si="4"/>
        <v>703</v>
      </c>
    </row>
    <row r="82" spans="1:30" ht="15">
      <c r="A82" s="3">
        <v>75</v>
      </c>
      <c r="B82" s="10" t="s">
        <v>81</v>
      </c>
      <c r="C82" s="4">
        <f t="shared" si="3"/>
        <v>289.71782608695651</v>
      </c>
      <c r="D82" s="3">
        <v>0</v>
      </c>
      <c r="E82" s="3">
        <v>0</v>
      </c>
      <c r="F82" s="3">
        <v>66</v>
      </c>
      <c r="G82" s="3">
        <v>147</v>
      </c>
      <c r="H82" s="3">
        <v>33</v>
      </c>
      <c r="I82" s="4">
        <v>43.717826086956528</v>
      </c>
      <c r="J82" s="3">
        <v>0.33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v>0</v>
      </c>
      <c r="Q82" s="3">
        <v>0.12</v>
      </c>
      <c r="R82" s="3">
        <v>0</v>
      </c>
      <c r="S82" s="3">
        <v>0</v>
      </c>
      <c r="T82" s="3">
        <v>12</v>
      </c>
      <c r="U82" s="3">
        <v>69</v>
      </c>
      <c r="V82" s="3">
        <v>69</v>
      </c>
      <c r="W82" s="3">
        <v>277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f t="shared" si="4"/>
        <v>427</v>
      </c>
    </row>
    <row r="83" spans="1:30" ht="15">
      <c r="A83" s="3">
        <v>76</v>
      </c>
      <c r="B83" s="10" t="s">
        <v>82</v>
      </c>
      <c r="C83" s="4">
        <f t="shared" si="3"/>
        <v>2392.9724999999999</v>
      </c>
      <c r="D83" s="3">
        <v>727</v>
      </c>
      <c r="E83" s="3">
        <v>86</v>
      </c>
      <c r="F83" s="3">
        <v>103</v>
      </c>
      <c r="G83" s="3">
        <v>220</v>
      </c>
      <c r="H83" s="3">
        <v>132</v>
      </c>
      <c r="I83" s="4">
        <v>174.24</v>
      </c>
      <c r="J83" s="3">
        <v>0.33</v>
      </c>
      <c r="K83" s="3">
        <v>389</v>
      </c>
      <c r="L83" s="3">
        <v>0</v>
      </c>
      <c r="M83" s="3">
        <v>188</v>
      </c>
      <c r="N83" s="3">
        <v>232</v>
      </c>
      <c r="O83" s="3">
        <v>89</v>
      </c>
      <c r="P83" s="4">
        <v>52.732500000000002</v>
      </c>
      <c r="Q83" s="3">
        <v>0.12</v>
      </c>
      <c r="R83" s="3">
        <v>15</v>
      </c>
      <c r="S83" s="3">
        <v>9</v>
      </c>
      <c r="T83" s="3">
        <v>25</v>
      </c>
      <c r="U83" s="3">
        <v>48</v>
      </c>
      <c r="V83" s="3">
        <v>106</v>
      </c>
      <c r="W83" s="3">
        <v>424</v>
      </c>
      <c r="X83" s="3">
        <v>9</v>
      </c>
      <c r="Y83" s="3">
        <v>0</v>
      </c>
      <c r="Z83" s="3">
        <v>11</v>
      </c>
      <c r="AA83" s="3">
        <v>23</v>
      </c>
      <c r="AB83" s="3">
        <v>16</v>
      </c>
      <c r="AC83" s="3">
        <v>79</v>
      </c>
      <c r="AD83" s="3">
        <f t="shared" si="4"/>
        <v>765</v>
      </c>
    </row>
    <row r="84" spans="1:30" ht="15">
      <c r="A84" s="3">
        <v>77</v>
      </c>
      <c r="B84" s="10" t="s">
        <v>83</v>
      </c>
      <c r="C84" s="4">
        <f t="shared" si="3"/>
        <v>377.94936708860757</v>
      </c>
      <c r="D84" s="3">
        <v>0</v>
      </c>
      <c r="E84" s="3">
        <v>147</v>
      </c>
      <c r="F84" s="3">
        <v>50</v>
      </c>
      <c r="G84" s="3">
        <v>95</v>
      </c>
      <c r="H84" s="3">
        <v>40</v>
      </c>
      <c r="I84" s="4">
        <v>45.949367088607595</v>
      </c>
      <c r="J84" s="3">
        <v>0.33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0</v>
      </c>
      <c r="Q84" s="3">
        <v>0.12</v>
      </c>
      <c r="R84" s="3">
        <v>0</v>
      </c>
      <c r="S84" s="3">
        <v>25</v>
      </c>
      <c r="T84" s="3">
        <v>13</v>
      </c>
      <c r="U84" s="3">
        <v>65</v>
      </c>
      <c r="V84" s="3">
        <v>79</v>
      </c>
      <c r="W84" s="3">
        <v>275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f t="shared" si="4"/>
        <v>457</v>
      </c>
    </row>
    <row r="85" spans="1:30" ht="15">
      <c r="A85" s="3">
        <v>78</v>
      </c>
      <c r="B85" s="10" t="s">
        <v>84</v>
      </c>
      <c r="C85" s="4">
        <f t="shared" si="3"/>
        <v>376.29765780730895</v>
      </c>
      <c r="D85" s="3">
        <v>0</v>
      </c>
      <c r="E85" s="3">
        <v>67</v>
      </c>
      <c r="F85" s="3">
        <v>0</v>
      </c>
      <c r="G85" s="3">
        <v>106</v>
      </c>
      <c r="H85" s="3">
        <v>63</v>
      </c>
      <c r="I85" s="4">
        <v>36.503372093023259</v>
      </c>
      <c r="J85" s="3">
        <v>0.33</v>
      </c>
      <c r="K85" s="3">
        <v>0</v>
      </c>
      <c r="L85" s="3">
        <v>0</v>
      </c>
      <c r="M85" s="3">
        <v>46</v>
      </c>
      <c r="N85" s="3">
        <v>39</v>
      </c>
      <c r="O85" s="3">
        <v>13</v>
      </c>
      <c r="P85" s="4">
        <v>5.7942857142857145</v>
      </c>
      <c r="Q85" s="3">
        <v>0.12</v>
      </c>
      <c r="R85" s="3">
        <v>0</v>
      </c>
      <c r="S85" s="3">
        <v>12</v>
      </c>
      <c r="T85" s="3">
        <v>0</v>
      </c>
      <c r="U85" s="3">
        <v>68</v>
      </c>
      <c r="V85" s="3">
        <v>86</v>
      </c>
      <c r="W85" s="3">
        <v>151</v>
      </c>
      <c r="X85" s="3">
        <v>0</v>
      </c>
      <c r="Y85" s="3">
        <v>0</v>
      </c>
      <c r="Z85" s="3">
        <v>4</v>
      </c>
      <c r="AA85" s="3">
        <v>8</v>
      </c>
      <c r="AB85" s="3">
        <v>7</v>
      </c>
      <c r="AC85" s="3">
        <v>26</v>
      </c>
      <c r="AD85" s="3">
        <f t="shared" si="4"/>
        <v>362</v>
      </c>
    </row>
    <row r="86" spans="1:30" ht="15">
      <c r="A86" s="3">
        <v>79</v>
      </c>
      <c r="B86" s="10" t="s">
        <v>85</v>
      </c>
      <c r="C86" s="4">
        <f t="shared" si="3"/>
        <v>1249.3173469387755</v>
      </c>
      <c r="D86" s="3">
        <v>307</v>
      </c>
      <c r="E86" s="3">
        <v>497</v>
      </c>
      <c r="F86" s="3">
        <v>101</v>
      </c>
      <c r="G86" s="3">
        <v>159</v>
      </c>
      <c r="H86" s="3">
        <v>45</v>
      </c>
      <c r="I86" s="4">
        <v>140.31734693877553</v>
      </c>
      <c r="J86" s="3">
        <v>0.33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0</v>
      </c>
      <c r="Q86" s="3">
        <v>0.12</v>
      </c>
      <c r="R86" s="3">
        <v>12</v>
      </c>
      <c r="S86" s="3">
        <v>69</v>
      </c>
      <c r="T86" s="3">
        <v>25</v>
      </c>
      <c r="U86" s="3">
        <v>48</v>
      </c>
      <c r="V86" s="3">
        <v>49</v>
      </c>
      <c r="W86" s="3">
        <v>463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f t="shared" si="4"/>
        <v>666</v>
      </c>
    </row>
    <row r="87" spans="1:30" ht="15">
      <c r="A87" s="3">
        <v>80</v>
      </c>
      <c r="B87" s="10" t="s">
        <v>86</v>
      </c>
      <c r="C87" s="4">
        <f t="shared" si="3"/>
        <v>444.50471698113211</v>
      </c>
      <c r="D87" s="3">
        <v>0</v>
      </c>
      <c r="E87" s="3">
        <v>144</v>
      </c>
      <c r="F87" s="3">
        <v>79</v>
      </c>
      <c r="G87" s="3">
        <v>90</v>
      </c>
      <c r="H87" s="3">
        <v>75</v>
      </c>
      <c r="I87" s="4">
        <v>56.504716981132077</v>
      </c>
      <c r="J87" s="3">
        <v>0.33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0</v>
      </c>
      <c r="Q87" s="3">
        <v>0.12</v>
      </c>
      <c r="R87" s="3">
        <v>0</v>
      </c>
      <c r="S87" s="3">
        <v>16</v>
      </c>
      <c r="T87" s="3">
        <v>10</v>
      </c>
      <c r="U87" s="3">
        <v>40</v>
      </c>
      <c r="V87" s="3">
        <v>53</v>
      </c>
      <c r="W87" s="3">
        <v>121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f t="shared" si="4"/>
        <v>240</v>
      </c>
    </row>
    <row r="88" spans="1:30" ht="15">
      <c r="A88" s="3">
        <v>81</v>
      </c>
      <c r="B88" s="10" t="s">
        <v>87</v>
      </c>
      <c r="C88" s="4">
        <f t="shared" si="3"/>
        <v>621.21096153846156</v>
      </c>
      <c r="D88" s="3">
        <v>0</v>
      </c>
      <c r="E88" s="3">
        <v>186</v>
      </c>
      <c r="F88" s="3">
        <v>47</v>
      </c>
      <c r="G88" s="3">
        <v>51</v>
      </c>
      <c r="H88" s="3">
        <v>28</v>
      </c>
      <c r="I88" s="4">
        <v>35.53846153846154</v>
      </c>
      <c r="J88" s="3">
        <v>0.33</v>
      </c>
      <c r="K88" s="3">
        <v>0</v>
      </c>
      <c r="L88" s="3">
        <v>0</v>
      </c>
      <c r="M88" s="3">
        <v>179</v>
      </c>
      <c r="N88" s="3">
        <v>54</v>
      </c>
      <c r="O88" s="3">
        <v>33</v>
      </c>
      <c r="P88" s="4">
        <v>7.6725000000000003</v>
      </c>
      <c r="Q88" s="3">
        <v>0.12</v>
      </c>
      <c r="R88" s="3">
        <v>0</v>
      </c>
      <c r="S88" s="3">
        <v>28</v>
      </c>
      <c r="T88" s="3">
        <v>8</v>
      </c>
      <c r="U88" s="3">
        <v>42</v>
      </c>
      <c r="V88" s="3">
        <v>52</v>
      </c>
      <c r="W88" s="3">
        <v>200</v>
      </c>
      <c r="X88" s="3">
        <v>0</v>
      </c>
      <c r="Y88" s="3">
        <v>0</v>
      </c>
      <c r="Z88" s="3">
        <v>13</v>
      </c>
      <c r="AA88" s="3">
        <v>12</v>
      </c>
      <c r="AB88" s="3">
        <v>16</v>
      </c>
      <c r="AC88" s="3">
        <v>31</v>
      </c>
      <c r="AD88" s="3">
        <f t="shared" si="4"/>
        <v>402</v>
      </c>
    </row>
    <row r="89" spans="1:30" ht="15">
      <c r="A89" s="3">
        <v>82</v>
      </c>
      <c r="B89" s="10" t="s">
        <v>88</v>
      </c>
      <c r="C89" s="4">
        <f t="shared" si="3"/>
        <v>661.9140697674419</v>
      </c>
      <c r="D89" s="3">
        <v>0</v>
      </c>
      <c r="E89" s="3">
        <v>140</v>
      </c>
      <c r="F89" s="3">
        <v>81</v>
      </c>
      <c r="G89" s="3">
        <v>214</v>
      </c>
      <c r="H89" s="3">
        <v>73</v>
      </c>
      <c r="I89" s="4">
        <v>82.074069767441856</v>
      </c>
      <c r="J89" s="3">
        <v>0.33</v>
      </c>
      <c r="K89" s="3">
        <v>0</v>
      </c>
      <c r="L89" s="3">
        <v>0</v>
      </c>
      <c r="M89" s="3">
        <v>41</v>
      </c>
      <c r="N89" s="3">
        <v>5</v>
      </c>
      <c r="O89" s="3">
        <v>19</v>
      </c>
      <c r="P89" s="4">
        <v>6.84</v>
      </c>
      <c r="Q89" s="3">
        <v>0.12</v>
      </c>
      <c r="R89" s="3">
        <v>0</v>
      </c>
      <c r="S89" s="3">
        <v>16</v>
      </c>
      <c r="T89" s="3">
        <v>12</v>
      </c>
      <c r="U89" s="3">
        <v>69</v>
      </c>
      <c r="V89" s="3">
        <v>86</v>
      </c>
      <c r="W89" s="3">
        <v>293</v>
      </c>
      <c r="X89" s="3">
        <v>0</v>
      </c>
      <c r="Y89" s="3">
        <v>0</v>
      </c>
      <c r="Z89" s="3">
        <v>3</v>
      </c>
      <c r="AA89" s="3">
        <v>2</v>
      </c>
      <c r="AB89" s="3">
        <v>3</v>
      </c>
      <c r="AC89" s="3">
        <v>9</v>
      </c>
      <c r="AD89" s="3">
        <f t="shared" si="4"/>
        <v>493</v>
      </c>
    </row>
    <row r="90" spans="1:30" ht="15">
      <c r="A90" s="3">
        <v>83</v>
      </c>
      <c r="B90" s="10" t="s">
        <v>89</v>
      </c>
      <c r="C90" s="4">
        <f t="shared" si="3"/>
        <v>133.97307692307692</v>
      </c>
      <c r="D90" s="3">
        <v>0</v>
      </c>
      <c r="E90" s="3">
        <v>0</v>
      </c>
      <c r="F90" s="3">
        <v>63</v>
      </c>
      <c r="G90" s="3">
        <v>33</v>
      </c>
      <c r="H90" s="3">
        <v>15</v>
      </c>
      <c r="I90" s="4">
        <v>22.973076923076924</v>
      </c>
      <c r="J90" s="3">
        <v>0.33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0</v>
      </c>
      <c r="Q90" s="3">
        <v>0.12</v>
      </c>
      <c r="R90" s="3">
        <v>0</v>
      </c>
      <c r="S90" s="3">
        <v>0</v>
      </c>
      <c r="T90" s="3">
        <v>20</v>
      </c>
      <c r="U90" s="3">
        <v>45</v>
      </c>
      <c r="V90" s="3">
        <v>39</v>
      </c>
      <c r="W90" s="3">
        <v>181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f t="shared" si="4"/>
        <v>285</v>
      </c>
    </row>
    <row r="91" spans="1:30" ht="15">
      <c r="A91" s="3">
        <v>84</v>
      </c>
      <c r="B91" s="10" t="s">
        <v>90</v>
      </c>
      <c r="C91" s="4">
        <f t="shared" si="3"/>
        <v>534.38380952380953</v>
      </c>
      <c r="D91" s="3">
        <v>0</v>
      </c>
      <c r="E91" s="3">
        <v>215</v>
      </c>
      <c r="F91" s="3">
        <v>30</v>
      </c>
      <c r="G91" s="3">
        <v>73</v>
      </c>
      <c r="H91" s="3">
        <v>29</v>
      </c>
      <c r="I91" s="4">
        <v>38.583809523809528</v>
      </c>
      <c r="J91" s="3">
        <v>0.33</v>
      </c>
      <c r="K91" s="3">
        <v>0</v>
      </c>
      <c r="L91" s="3">
        <v>0</v>
      </c>
      <c r="M91" s="3">
        <v>75</v>
      </c>
      <c r="N91" s="3">
        <v>21</v>
      </c>
      <c r="O91" s="3">
        <v>33</v>
      </c>
      <c r="P91" s="4">
        <v>19.8</v>
      </c>
      <c r="Q91" s="3">
        <v>0.12</v>
      </c>
      <c r="R91" s="3">
        <v>0</v>
      </c>
      <c r="S91" s="3">
        <v>18</v>
      </c>
      <c r="T91" s="3">
        <v>12</v>
      </c>
      <c r="U91" s="3">
        <v>43</v>
      </c>
      <c r="V91" s="3">
        <v>63</v>
      </c>
      <c r="W91" s="3">
        <v>254</v>
      </c>
      <c r="X91" s="3">
        <v>0</v>
      </c>
      <c r="Y91" s="3">
        <v>0</v>
      </c>
      <c r="Z91" s="3">
        <v>5</v>
      </c>
      <c r="AA91" s="3">
        <v>5</v>
      </c>
      <c r="AB91" s="3">
        <v>7</v>
      </c>
      <c r="AC91" s="3">
        <v>35</v>
      </c>
      <c r="AD91" s="3">
        <f t="shared" si="4"/>
        <v>442</v>
      </c>
    </row>
    <row r="92" spans="1:30" ht="15">
      <c r="A92" s="3">
        <v>85</v>
      </c>
      <c r="B92" s="10" t="s">
        <v>91</v>
      </c>
      <c r="C92" s="4">
        <f t="shared" si="3"/>
        <v>362.03571428571428</v>
      </c>
      <c r="D92" s="3">
        <v>0</v>
      </c>
      <c r="E92" s="3">
        <v>68</v>
      </c>
      <c r="F92" s="3">
        <v>37</v>
      </c>
      <c r="G92" s="3">
        <v>116</v>
      </c>
      <c r="H92" s="3">
        <v>55</v>
      </c>
      <c r="I92" s="4">
        <v>86.035714285714292</v>
      </c>
      <c r="J92" s="3">
        <v>0.33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  <c r="Q92" s="3">
        <v>0.12</v>
      </c>
      <c r="R92" s="3">
        <v>0</v>
      </c>
      <c r="S92" s="3">
        <v>14</v>
      </c>
      <c r="T92" s="3">
        <v>12</v>
      </c>
      <c r="U92" s="3">
        <v>52</v>
      </c>
      <c r="V92" s="3">
        <v>77</v>
      </c>
      <c r="W92" s="3">
        <v>365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f t="shared" si="4"/>
        <v>520</v>
      </c>
    </row>
    <row r="93" spans="1:30" ht="15">
      <c r="A93" s="3">
        <v>86</v>
      </c>
      <c r="B93" s="10" t="s">
        <v>92</v>
      </c>
      <c r="C93" s="4">
        <f t="shared" si="3"/>
        <v>276.83677419354842</v>
      </c>
      <c r="D93" s="3">
        <v>0</v>
      </c>
      <c r="E93" s="3">
        <v>0</v>
      </c>
      <c r="F93" s="3">
        <v>0</v>
      </c>
      <c r="G93" s="3">
        <v>146</v>
      </c>
      <c r="H93" s="3">
        <v>54</v>
      </c>
      <c r="I93" s="4">
        <v>76.836774193548393</v>
      </c>
      <c r="J93" s="3">
        <v>0.33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  <c r="Q93" s="3">
        <v>0.12</v>
      </c>
      <c r="R93" s="3">
        <v>0</v>
      </c>
      <c r="S93" s="3">
        <v>0</v>
      </c>
      <c r="T93" s="3">
        <v>0</v>
      </c>
      <c r="U93" s="3">
        <v>75</v>
      </c>
      <c r="V93" s="3">
        <v>93</v>
      </c>
      <c r="W93" s="3">
        <v>401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f t="shared" si="4"/>
        <v>569</v>
      </c>
    </row>
    <row r="94" spans="1:30" ht="15">
      <c r="A94" s="3">
        <v>87</v>
      </c>
      <c r="B94" s="10" t="s">
        <v>93</v>
      </c>
      <c r="C94" s="4">
        <f t="shared" si="3"/>
        <v>668.07500000000005</v>
      </c>
      <c r="D94" s="3">
        <v>225</v>
      </c>
      <c r="E94" s="3">
        <v>0</v>
      </c>
      <c r="F94" s="3">
        <v>125</v>
      </c>
      <c r="G94" s="3">
        <v>77</v>
      </c>
      <c r="H94" s="3">
        <v>33</v>
      </c>
      <c r="I94" s="4">
        <v>39.6</v>
      </c>
      <c r="J94" s="3">
        <v>0.33</v>
      </c>
      <c r="K94" s="3">
        <v>0</v>
      </c>
      <c r="L94" s="3">
        <v>0</v>
      </c>
      <c r="M94" s="3">
        <v>55</v>
      </c>
      <c r="N94" s="3">
        <v>87</v>
      </c>
      <c r="O94" s="3">
        <v>15</v>
      </c>
      <c r="P94" s="4">
        <v>11.475</v>
      </c>
      <c r="Q94" s="3">
        <v>0.12</v>
      </c>
      <c r="R94" s="3">
        <v>11</v>
      </c>
      <c r="S94" s="3">
        <v>0</v>
      </c>
      <c r="T94" s="3">
        <v>25</v>
      </c>
      <c r="U94" s="3">
        <v>30</v>
      </c>
      <c r="V94" s="3">
        <v>44</v>
      </c>
      <c r="W94" s="3">
        <v>160</v>
      </c>
      <c r="X94" s="3">
        <v>0</v>
      </c>
      <c r="Y94" s="3">
        <v>0</v>
      </c>
      <c r="Z94" s="3">
        <v>4</v>
      </c>
      <c r="AA94" s="3">
        <v>15</v>
      </c>
      <c r="AB94" s="3">
        <v>8</v>
      </c>
      <c r="AC94" s="3">
        <v>51</v>
      </c>
      <c r="AD94" s="3">
        <f t="shared" si="4"/>
        <v>348</v>
      </c>
    </row>
    <row r="95" spans="1:30" ht="15">
      <c r="A95" s="3">
        <v>88</v>
      </c>
      <c r="B95" s="10" t="s">
        <v>94</v>
      </c>
      <c r="C95" s="4">
        <f t="shared" si="3"/>
        <v>319.2</v>
      </c>
      <c r="D95" s="3">
        <v>0</v>
      </c>
      <c r="E95" s="3">
        <v>22</v>
      </c>
      <c r="F95" s="3">
        <v>118</v>
      </c>
      <c r="G95" s="3">
        <v>105</v>
      </c>
      <c r="H95" s="3">
        <v>28</v>
      </c>
      <c r="I95" s="4">
        <v>46.2</v>
      </c>
      <c r="J95" s="3">
        <v>0.33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4">
        <v>0</v>
      </c>
      <c r="Q95" s="3">
        <v>0.12</v>
      </c>
      <c r="R95" s="3">
        <v>0</v>
      </c>
      <c r="S95" s="3">
        <v>5</v>
      </c>
      <c r="T95" s="3">
        <v>44</v>
      </c>
      <c r="U95" s="3">
        <v>56</v>
      </c>
      <c r="V95" s="3">
        <v>79</v>
      </c>
      <c r="W95" s="3">
        <v>395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f t="shared" si="4"/>
        <v>579</v>
      </c>
    </row>
    <row r="96" spans="1:30" ht="15">
      <c r="A96" s="3">
        <v>89</v>
      </c>
      <c r="B96" s="10" t="s">
        <v>95</v>
      </c>
      <c r="C96" s="4">
        <f t="shared" si="3"/>
        <v>1056.7541463414634</v>
      </c>
      <c r="D96" s="3">
        <v>0</v>
      </c>
      <c r="E96" s="3">
        <v>205</v>
      </c>
      <c r="F96" s="3">
        <v>127</v>
      </c>
      <c r="G96" s="3">
        <v>344</v>
      </c>
      <c r="H96" s="3">
        <v>156</v>
      </c>
      <c r="I96" s="4">
        <v>224.75414634146344</v>
      </c>
      <c r="J96" s="3">
        <v>0.33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4">
        <v>0</v>
      </c>
      <c r="Q96" s="3">
        <v>0.12</v>
      </c>
      <c r="R96" s="3">
        <v>0</v>
      </c>
      <c r="S96" s="3">
        <v>22</v>
      </c>
      <c r="T96" s="3">
        <v>28</v>
      </c>
      <c r="U96" s="3">
        <v>89</v>
      </c>
      <c r="V96" s="3">
        <v>123</v>
      </c>
      <c r="W96" s="3">
        <v>537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24</v>
      </c>
      <c r="AD96" s="3">
        <f t="shared" si="4"/>
        <v>823</v>
      </c>
    </row>
    <row r="97" spans="1:30" ht="15">
      <c r="A97" s="3">
        <v>90</v>
      </c>
      <c r="B97" s="10" t="s">
        <v>96</v>
      </c>
      <c r="C97" s="4">
        <f t="shared" si="3"/>
        <v>1118.8765714285714</v>
      </c>
      <c r="D97" s="3">
        <v>0</v>
      </c>
      <c r="E97" s="3">
        <v>214</v>
      </c>
      <c r="F97" s="3">
        <v>173</v>
      </c>
      <c r="G97" s="3">
        <v>238</v>
      </c>
      <c r="H97" s="3">
        <v>69</v>
      </c>
      <c r="I97" s="4">
        <v>76.333714285714294</v>
      </c>
      <c r="J97" s="3">
        <v>0.33</v>
      </c>
      <c r="K97" s="3">
        <v>0</v>
      </c>
      <c r="L97" s="3">
        <v>62</v>
      </c>
      <c r="M97" s="3">
        <v>100</v>
      </c>
      <c r="N97" s="3">
        <v>161</v>
      </c>
      <c r="O97" s="3">
        <v>15</v>
      </c>
      <c r="P97" s="4">
        <v>10.542857142857143</v>
      </c>
      <c r="Q97" s="3">
        <v>0.12</v>
      </c>
      <c r="R97" s="3">
        <v>0</v>
      </c>
      <c r="S97" s="3">
        <v>24</v>
      </c>
      <c r="T97" s="3">
        <v>28</v>
      </c>
      <c r="U97" s="3">
        <v>89</v>
      </c>
      <c r="V97" s="3">
        <v>105</v>
      </c>
      <c r="W97" s="3">
        <v>352</v>
      </c>
      <c r="X97" s="3">
        <v>0</v>
      </c>
      <c r="Y97" s="3">
        <v>6</v>
      </c>
      <c r="Z97" s="3">
        <v>8</v>
      </c>
      <c r="AA97" s="3">
        <v>15</v>
      </c>
      <c r="AB97" s="3">
        <v>7</v>
      </c>
      <c r="AC97" s="3">
        <v>41</v>
      </c>
      <c r="AD97" s="3">
        <f t="shared" si="4"/>
        <v>675</v>
      </c>
    </row>
    <row r="98" spans="1:30" ht="15">
      <c r="A98" s="3">
        <v>91</v>
      </c>
      <c r="B98" s="10" t="s">
        <v>97</v>
      </c>
      <c r="C98" s="4">
        <f t="shared" si="3"/>
        <v>157.88943396226415</v>
      </c>
      <c r="D98" s="3">
        <v>0</v>
      </c>
      <c r="E98" s="3">
        <v>53</v>
      </c>
      <c r="F98" s="3">
        <v>0</v>
      </c>
      <c r="G98" s="3">
        <v>58</v>
      </c>
      <c r="H98" s="3">
        <v>21</v>
      </c>
      <c r="I98" s="4">
        <v>25.889433962264153</v>
      </c>
      <c r="J98" s="3">
        <v>0.33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4">
        <v>0</v>
      </c>
      <c r="Q98" s="3">
        <v>0.12</v>
      </c>
      <c r="R98" s="3">
        <v>0</v>
      </c>
      <c r="S98" s="3">
        <v>12</v>
      </c>
      <c r="T98" s="3">
        <v>0</v>
      </c>
      <c r="U98" s="3">
        <v>28</v>
      </c>
      <c r="V98" s="3">
        <v>53</v>
      </c>
      <c r="W98" s="3">
        <v>198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f t="shared" si="4"/>
        <v>291</v>
      </c>
    </row>
    <row r="99" spans="1:30" ht="15">
      <c r="A99" s="3">
        <v>92</v>
      </c>
      <c r="B99" s="10" t="s">
        <v>98</v>
      </c>
      <c r="C99" s="4">
        <f t="shared" si="3"/>
        <v>889.70550847457628</v>
      </c>
      <c r="D99" s="3">
        <v>0</v>
      </c>
      <c r="E99" s="3">
        <v>298</v>
      </c>
      <c r="F99" s="3">
        <v>0</v>
      </c>
      <c r="G99" s="3">
        <v>381</v>
      </c>
      <c r="H99" s="3">
        <v>75</v>
      </c>
      <c r="I99" s="4">
        <v>135.70550847457628</v>
      </c>
      <c r="J99" s="3">
        <v>0.33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4">
        <v>0</v>
      </c>
      <c r="Q99" s="3">
        <v>0.12</v>
      </c>
      <c r="R99" s="3">
        <v>0</v>
      </c>
      <c r="S99" s="3">
        <v>46</v>
      </c>
      <c r="T99" s="3">
        <v>0</v>
      </c>
      <c r="U99" s="3">
        <v>120</v>
      </c>
      <c r="V99" s="3">
        <v>118</v>
      </c>
      <c r="W99" s="3">
        <v>647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f t="shared" si="4"/>
        <v>931</v>
      </c>
    </row>
    <row r="100" spans="1:30" ht="15">
      <c r="A100" s="3">
        <v>93</v>
      </c>
      <c r="B100" s="10" t="s">
        <v>99</v>
      </c>
      <c r="C100" s="4">
        <f t="shared" si="3"/>
        <v>1249.2778873239436</v>
      </c>
      <c r="D100" s="3">
        <v>600</v>
      </c>
      <c r="E100" s="3">
        <v>0</v>
      </c>
      <c r="F100" s="3">
        <v>187</v>
      </c>
      <c r="G100" s="3">
        <v>101</v>
      </c>
      <c r="H100" s="3">
        <v>86</v>
      </c>
      <c r="I100" s="4">
        <v>130.70788732394365</v>
      </c>
      <c r="J100" s="3">
        <v>0.33</v>
      </c>
      <c r="K100" s="3">
        <v>0</v>
      </c>
      <c r="L100" s="3">
        <v>0</v>
      </c>
      <c r="M100" s="3">
        <v>0</v>
      </c>
      <c r="N100" s="3">
        <v>68</v>
      </c>
      <c r="O100" s="3">
        <v>31</v>
      </c>
      <c r="P100" s="4">
        <v>45.57</v>
      </c>
      <c r="Q100" s="3">
        <v>0.28000000000000003</v>
      </c>
      <c r="R100" s="3">
        <v>13</v>
      </c>
      <c r="S100" s="3">
        <v>0</v>
      </c>
      <c r="T100" s="3">
        <v>25</v>
      </c>
      <c r="U100" s="3">
        <v>38</v>
      </c>
      <c r="V100" s="3">
        <v>71</v>
      </c>
      <c r="W100" s="3">
        <v>327</v>
      </c>
      <c r="X100" s="3">
        <v>0</v>
      </c>
      <c r="Y100" s="3">
        <v>0</v>
      </c>
      <c r="Z100" s="3">
        <v>0</v>
      </c>
      <c r="AA100" s="3">
        <v>8</v>
      </c>
      <c r="AB100" s="3">
        <v>8</v>
      </c>
      <c r="AC100" s="3">
        <v>42</v>
      </c>
      <c r="AD100" s="3">
        <f t="shared" si="4"/>
        <v>532</v>
      </c>
    </row>
    <row r="101" spans="1:30" ht="15">
      <c r="A101" s="3">
        <v>94</v>
      </c>
      <c r="B101" s="10" t="s">
        <v>100</v>
      </c>
      <c r="C101" s="4">
        <f t="shared" si="3"/>
        <v>218.36</v>
      </c>
      <c r="D101" s="3">
        <v>0</v>
      </c>
      <c r="E101" s="3">
        <v>0</v>
      </c>
      <c r="F101" s="3">
        <v>65</v>
      </c>
      <c r="G101" s="3">
        <v>87</v>
      </c>
      <c r="H101" s="3">
        <v>28</v>
      </c>
      <c r="I101" s="4">
        <v>38.36</v>
      </c>
      <c r="J101" s="3">
        <v>0.33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4">
        <v>0</v>
      </c>
      <c r="Q101" s="3">
        <v>0.12</v>
      </c>
      <c r="R101" s="3">
        <v>0</v>
      </c>
      <c r="S101" s="3">
        <v>0</v>
      </c>
      <c r="T101" s="3">
        <v>29</v>
      </c>
      <c r="U101" s="3">
        <v>89</v>
      </c>
      <c r="V101" s="3">
        <v>66</v>
      </c>
      <c r="W101" s="3">
        <v>274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f t="shared" si="4"/>
        <v>458</v>
      </c>
    </row>
    <row r="102" spans="1:30" ht="15">
      <c r="A102" s="3">
        <v>95</v>
      </c>
      <c r="B102" s="10" t="s">
        <v>101</v>
      </c>
      <c r="C102" s="4">
        <f t="shared" si="3"/>
        <v>109.38826086956522</v>
      </c>
      <c r="D102" s="3">
        <v>0</v>
      </c>
      <c r="E102" s="3">
        <v>0</v>
      </c>
      <c r="F102" s="3">
        <v>18</v>
      </c>
      <c r="G102" s="3">
        <v>57</v>
      </c>
      <c r="H102" s="3">
        <v>14</v>
      </c>
      <c r="I102" s="4">
        <v>20.388260869565219</v>
      </c>
      <c r="J102" s="3">
        <v>0.33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4">
        <v>0</v>
      </c>
      <c r="Q102" s="3">
        <v>0.12</v>
      </c>
      <c r="R102" s="3">
        <v>0</v>
      </c>
      <c r="S102" s="3">
        <v>0</v>
      </c>
      <c r="T102" s="3">
        <v>14</v>
      </c>
      <c r="U102" s="3">
        <v>41</v>
      </c>
      <c r="V102" s="3">
        <v>46</v>
      </c>
      <c r="W102" s="3">
        <v>203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f t="shared" si="4"/>
        <v>304</v>
      </c>
    </row>
    <row r="103" spans="1:30" ht="15">
      <c r="A103" s="3">
        <v>96</v>
      </c>
      <c r="B103" s="10" t="s">
        <v>102</v>
      </c>
      <c r="C103" s="4">
        <f t="shared" si="3"/>
        <v>286.83368421052631</v>
      </c>
      <c r="D103" s="3">
        <v>0</v>
      </c>
      <c r="E103" s="3">
        <v>21</v>
      </c>
      <c r="F103" s="3">
        <v>105</v>
      </c>
      <c r="G103" s="3">
        <v>42</v>
      </c>
      <c r="H103" s="3">
        <v>52</v>
      </c>
      <c r="I103" s="4">
        <v>66.833684210526329</v>
      </c>
      <c r="J103" s="3">
        <v>0.33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4">
        <v>0</v>
      </c>
      <c r="Q103" s="3">
        <v>0.12</v>
      </c>
      <c r="R103" s="3">
        <v>0</v>
      </c>
      <c r="S103" s="3">
        <v>4</v>
      </c>
      <c r="T103" s="3">
        <v>19</v>
      </c>
      <c r="U103" s="3">
        <v>44</v>
      </c>
      <c r="V103" s="3">
        <v>76</v>
      </c>
      <c r="W103" s="3">
        <v>296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f t="shared" si="4"/>
        <v>439</v>
      </c>
    </row>
    <row r="104" spans="1:30" ht="15">
      <c r="A104" s="3">
        <v>97</v>
      </c>
      <c r="B104" s="10" t="s">
        <v>103</v>
      </c>
      <c r="C104" s="4">
        <f t="shared" ref="C104:C127" si="5">SUM(D104:I104)+SUM(K104:P104)</f>
        <v>953.95431578947364</v>
      </c>
      <c r="D104" s="3">
        <v>0</v>
      </c>
      <c r="E104" s="3">
        <v>332</v>
      </c>
      <c r="F104" s="3">
        <v>0</v>
      </c>
      <c r="G104" s="3">
        <v>191</v>
      </c>
      <c r="H104" s="3">
        <v>97</v>
      </c>
      <c r="I104" s="4">
        <v>113.21431578947369</v>
      </c>
      <c r="J104" s="3">
        <v>0.33</v>
      </c>
      <c r="K104" s="3">
        <v>0</v>
      </c>
      <c r="L104" s="3">
        <v>0</v>
      </c>
      <c r="M104" s="3">
        <v>110</v>
      </c>
      <c r="N104" s="3">
        <v>76</v>
      </c>
      <c r="O104" s="3">
        <v>18</v>
      </c>
      <c r="P104" s="4">
        <v>16.739999999999998</v>
      </c>
      <c r="Q104" s="3">
        <v>0.12</v>
      </c>
      <c r="R104" s="3">
        <v>0</v>
      </c>
      <c r="S104" s="3">
        <v>35</v>
      </c>
      <c r="T104" s="3">
        <v>0</v>
      </c>
      <c r="U104" s="3">
        <v>82</v>
      </c>
      <c r="V104" s="3">
        <v>95</v>
      </c>
      <c r="W104" s="3">
        <v>336</v>
      </c>
      <c r="X104" s="3">
        <v>0</v>
      </c>
      <c r="Y104" s="3">
        <v>0</v>
      </c>
      <c r="Z104" s="3">
        <v>6</v>
      </c>
      <c r="AA104" s="3">
        <v>11</v>
      </c>
      <c r="AB104" s="3">
        <v>4</v>
      </c>
      <c r="AC104" s="3">
        <v>31</v>
      </c>
      <c r="AD104" s="3">
        <f t="shared" si="4"/>
        <v>600</v>
      </c>
    </row>
    <row r="105" spans="1:30" ht="15">
      <c r="A105" s="3">
        <v>98</v>
      </c>
      <c r="B105" s="10" t="s">
        <v>104</v>
      </c>
      <c r="C105" s="4">
        <f t="shared" si="5"/>
        <v>2217.3845783132529</v>
      </c>
      <c r="D105" s="3">
        <v>0</v>
      </c>
      <c r="E105" s="3">
        <v>870</v>
      </c>
      <c r="F105" s="3">
        <v>0</v>
      </c>
      <c r="G105" s="3">
        <v>446</v>
      </c>
      <c r="H105" s="3">
        <v>274</v>
      </c>
      <c r="I105" s="4">
        <v>371.48457831325305</v>
      </c>
      <c r="J105" s="3">
        <v>0.33</v>
      </c>
      <c r="K105" s="3">
        <v>0</v>
      </c>
      <c r="L105" s="3">
        <v>0</v>
      </c>
      <c r="M105" s="3">
        <v>149</v>
      </c>
      <c r="N105" s="3">
        <v>90</v>
      </c>
      <c r="O105" s="3">
        <v>13</v>
      </c>
      <c r="P105" s="4">
        <v>3.9</v>
      </c>
      <c r="Q105" s="3">
        <v>0.12</v>
      </c>
      <c r="R105" s="3">
        <v>0</v>
      </c>
      <c r="S105" s="3">
        <v>83</v>
      </c>
      <c r="T105" s="3">
        <v>0</v>
      </c>
      <c r="U105" s="3">
        <v>145</v>
      </c>
      <c r="V105" s="3">
        <v>166</v>
      </c>
      <c r="W105" s="3">
        <v>682</v>
      </c>
      <c r="X105" s="3">
        <v>0</v>
      </c>
      <c r="Y105" s="3">
        <v>0</v>
      </c>
      <c r="Z105" s="3">
        <v>6</v>
      </c>
      <c r="AA105" s="3">
        <v>11</v>
      </c>
      <c r="AB105" s="3">
        <v>6</v>
      </c>
      <c r="AC105" s="3">
        <v>15</v>
      </c>
      <c r="AD105" s="3">
        <f t="shared" si="4"/>
        <v>1114</v>
      </c>
    </row>
    <row r="106" spans="1:30" ht="15">
      <c r="A106" s="3">
        <v>99</v>
      </c>
      <c r="B106" s="10" t="s">
        <v>105</v>
      </c>
      <c r="C106" s="4">
        <f t="shared" si="5"/>
        <v>478.03103448275863</v>
      </c>
      <c r="D106" s="3">
        <v>0</v>
      </c>
      <c r="E106" s="3">
        <v>252</v>
      </c>
      <c r="F106" s="3">
        <v>8</v>
      </c>
      <c r="G106" s="3">
        <v>144</v>
      </c>
      <c r="H106" s="3">
        <v>35</v>
      </c>
      <c r="I106" s="4">
        <v>39.031034482758621</v>
      </c>
      <c r="J106" s="3">
        <v>0.33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  <c r="Q106" s="3">
        <v>0.12</v>
      </c>
      <c r="R106" s="3">
        <v>0</v>
      </c>
      <c r="S106" s="3">
        <v>24</v>
      </c>
      <c r="T106" s="3">
        <v>4</v>
      </c>
      <c r="U106" s="3">
        <v>50</v>
      </c>
      <c r="V106" s="3">
        <v>58</v>
      </c>
      <c r="W106" s="3">
        <v>196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f t="shared" si="4"/>
        <v>332</v>
      </c>
    </row>
    <row r="107" spans="1:30" ht="15">
      <c r="A107" s="3">
        <v>100</v>
      </c>
      <c r="B107" s="10" t="s">
        <v>106</v>
      </c>
      <c r="C107" s="4">
        <f t="shared" si="5"/>
        <v>1604.5906666666667</v>
      </c>
      <c r="D107" s="3">
        <v>0</v>
      </c>
      <c r="E107" s="3">
        <v>509</v>
      </c>
      <c r="F107" s="3">
        <v>38</v>
      </c>
      <c r="G107" s="3">
        <v>207</v>
      </c>
      <c r="H107" s="3">
        <v>87</v>
      </c>
      <c r="I107" s="4">
        <v>230.53066666666669</v>
      </c>
      <c r="J107" s="3">
        <v>0.33</v>
      </c>
      <c r="K107" s="3">
        <v>0</v>
      </c>
      <c r="L107" s="3">
        <v>12</v>
      </c>
      <c r="M107" s="3">
        <v>291</v>
      </c>
      <c r="N107" s="3">
        <v>105</v>
      </c>
      <c r="O107" s="3">
        <v>65</v>
      </c>
      <c r="P107" s="4">
        <v>60.06</v>
      </c>
      <c r="Q107" s="3">
        <v>0.12</v>
      </c>
      <c r="R107" s="3">
        <v>0</v>
      </c>
      <c r="S107" s="3">
        <v>69</v>
      </c>
      <c r="T107" s="3">
        <v>4</v>
      </c>
      <c r="U107" s="3">
        <v>96</v>
      </c>
      <c r="V107" s="3">
        <v>135</v>
      </c>
      <c r="W107" s="4">
        <v>1084</v>
      </c>
      <c r="X107" s="3">
        <v>0</v>
      </c>
      <c r="Y107" s="3">
        <v>1</v>
      </c>
      <c r="Z107" s="3">
        <v>14</v>
      </c>
      <c r="AA107" s="3">
        <v>15</v>
      </c>
      <c r="AB107" s="3">
        <v>10</v>
      </c>
      <c r="AC107" s="3">
        <v>77</v>
      </c>
      <c r="AD107" s="3">
        <f t="shared" si="4"/>
        <v>1505</v>
      </c>
    </row>
    <row r="108" spans="1:30" ht="15">
      <c r="A108" s="3">
        <v>101</v>
      </c>
      <c r="B108" s="10" t="s">
        <v>107</v>
      </c>
      <c r="C108" s="4">
        <f t="shared" si="5"/>
        <v>38.7028125</v>
      </c>
      <c r="D108" s="3">
        <v>0</v>
      </c>
      <c r="E108" s="3">
        <v>3</v>
      </c>
      <c r="F108" s="3">
        <v>0</v>
      </c>
      <c r="G108" s="3">
        <v>23</v>
      </c>
      <c r="H108" s="3">
        <v>7</v>
      </c>
      <c r="I108" s="4">
        <v>5.7028125000000003</v>
      </c>
      <c r="J108" s="3">
        <v>0.33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  <c r="Q108" s="3">
        <v>0.12</v>
      </c>
      <c r="R108" s="3">
        <v>0</v>
      </c>
      <c r="S108" s="3">
        <v>1</v>
      </c>
      <c r="T108" s="3">
        <v>0</v>
      </c>
      <c r="U108" s="3">
        <v>32</v>
      </c>
      <c r="V108" s="3">
        <v>32</v>
      </c>
      <c r="W108" s="3">
        <v>79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f t="shared" si="4"/>
        <v>144</v>
      </c>
    </row>
    <row r="109" spans="1:30" ht="15">
      <c r="A109" s="3">
        <v>102</v>
      </c>
      <c r="B109" s="10" t="s">
        <v>108</v>
      </c>
      <c r="C109" s="4">
        <f t="shared" si="5"/>
        <v>1137.4287999999999</v>
      </c>
      <c r="D109" s="3">
        <v>782</v>
      </c>
      <c r="E109" s="3">
        <v>71</v>
      </c>
      <c r="F109" s="3">
        <v>90</v>
      </c>
      <c r="G109" s="3">
        <v>90</v>
      </c>
      <c r="H109" s="3">
        <v>36</v>
      </c>
      <c r="I109" s="4">
        <v>68.428799999999995</v>
      </c>
      <c r="J109" s="3">
        <v>0.33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4">
        <v>0</v>
      </c>
      <c r="Q109" s="3">
        <v>0.12</v>
      </c>
      <c r="R109" s="3">
        <v>23</v>
      </c>
      <c r="S109" s="3">
        <v>10</v>
      </c>
      <c r="T109" s="3">
        <v>14</v>
      </c>
      <c r="U109" s="3">
        <v>51</v>
      </c>
      <c r="V109" s="3">
        <v>75</v>
      </c>
      <c r="W109" s="3">
        <v>432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f t="shared" si="4"/>
        <v>605</v>
      </c>
    </row>
    <row r="110" spans="1:30" ht="15">
      <c r="A110" s="3">
        <v>103</v>
      </c>
      <c r="B110" s="10" t="s">
        <v>109</v>
      </c>
      <c r="C110" s="4">
        <f t="shared" si="5"/>
        <v>774.28043478260872</v>
      </c>
      <c r="D110" s="3">
        <v>226</v>
      </c>
      <c r="E110" s="3">
        <v>0</v>
      </c>
      <c r="F110" s="3">
        <v>43</v>
      </c>
      <c r="G110" s="3">
        <v>197</v>
      </c>
      <c r="H110" s="3">
        <v>38</v>
      </c>
      <c r="I110" s="4">
        <v>70.060434782608695</v>
      </c>
      <c r="J110" s="3">
        <v>0.33</v>
      </c>
      <c r="K110" s="3">
        <v>21</v>
      </c>
      <c r="L110" s="3">
        <v>0</v>
      </c>
      <c r="M110" s="3">
        <v>99</v>
      </c>
      <c r="N110" s="3">
        <v>30</v>
      </c>
      <c r="O110" s="3">
        <v>27</v>
      </c>
      <c r="P110" s="4">
        <v>23.22</v>
      </c>
      <c r="Q110" s="3">
        <v>0.12</v>
      </c>
      <c r="R110" s="3">
        <v>18</v>
      </c>
      <c r="S110" s="3">
        <v>0</v>
      </c>
      <c r="T110" s="3">
        <v>5</v>
      </c>
      <c r="U110" s="3">
        <v>72</v>
      </c>
      <c r="V110" s="3">
        <v>46</v>
      </c>
      <c r="W110" s="3">
        <v>257</v>
      </c>
      <c r="X110" s="3">
        <v>2</v>
      </c>
      <c r="Y110" s="3">
        <v>0</v>
      </c>
      <c r="Z110" s="3">
        <v>5</v>
      </c>
      <c r="AA110" s="3">
        <v>5</v>
      </c>
      <c r="AB110" s="3">
        <v>6</v>
      </c>
      <c r="AC110" s="3">
        <v>43</v>
      </c>
      <c r="AD110" s="3">
        <f t="shared" si="4"/>
        <v>459</v>
      </c>
    </row>
    <row r="111" spans="1:30" ht="15">
      <c r="A111" s="3">
        <v>104</v>
      </c>
      <c r="B111" s="10" t="s">
        <v>110</v>
      </c>
      <c r="C111" s="4">
        <f t="shared" si="5"/>
        <v>513.58851351351348</v>
      </c>
      <c r="D111" s="3">
        <v>0</v>
      </c>
      <c r="E111" s="3">
        <v>206</v>
      </c>
      <c r="F111" s="3">
        <v>0</v>
      </c>
      <c r="G111" s="3">
        <v>106</v>
      </c>
      <c r="H111" s="3">
        <v>73</v>
      </c>
      <c r="I111" s="4">
        <v>128.5885135135135</v>
      </c>
      <c r="J111" s="3">
        <v>0.33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4">
        <v>0</v>
      </c>
      <c r="Q111" s="3">
        <v>0.12</v>
      </c>
      <c r="R111" s="3">
        <v>0</v>
      </c>
      <c r="S111" s="3">
        <v>41</v>
      </c>
      <c r="T111" s="3">
        <v>0</v>
      </c>
      <c r="U111" s="3">
        <v>45</v>
      </c>
      <c r="V111" s="3">
        <v>74</v>
      </c>
      <c r="W111" s="3">
        <v>395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f t="shared" si="4"/>
        <v>555</v>
      </c>
    </row>
    <row r="112" spans="1:30" ht="15">
      <c r="A112" s="3">
        <v>105</v>
      </c>
      <c r="B112" s="10" t="s">
        <v>111</v>
      </c>
      <c r="C112" s="4">
        <f t="shared" si="5"/>
        <v>1919.3928571428573</v>
      </c>
      <c r="D112" s="4">
        <v>1060</v>
      </c>
      <c r="E112" s="3">
        <v>44</v>
      </c>
      <c r="F112" s="3">
        <v>83</v>
      </c>
      <c r="G112" s="3">
        <v>150</v>
      </c>
      <c r="H112" s="3">
        <v>70</v>
      </c>
      <c r="I112" s="4">
        <v>111.65</v>
      </c>
      <c r="J112" s="3">
        <v>0.33</v>
      </c>
      <c r="K112" s="3">
        <v>124</v>
      </c>
      <c r="L112" s="3">
        <v>0</v>
      </c>
      <c r="M112" s="3">
        <v>108</v>
      </c>
      <c r="N112" s="3">
        <v>126</v>
      </c>
      <c r="O112" s="3">
        <v>22</v>
      </c>
      <c r="P112" s="4">
        <v>20.74285714285714</v>
      </c>
      <c r="Q112" s="3">
        <v>0.12</v>
      </c>
      <c r="R112" s="3">
        <v>24</v>
      </c>
      <c r="S112" s="3">
        <v>2</v>
      </c>
      <c r="T112" s="3">
        <v>15</v>
      </c>
      <c r="U112" s="3">
        <v>57</v>
      </c>
      <c r="V112" s="3">
        <v>60</v>
      </c>
      <c r="W112" s="3">
        <v>290</v>
      </c>
      <c r="X112" s="3">
        <v>3</v>
      </c>
      <c r="Y112" s="3">
        <v>0</v>
      </c>
      <c r="Z112" s="3">
        <v>9</v>
      </c>
      <c r="AA112" s="3">
        <v>12</v>
      </c>
      <c r="AB112" s="3">
        <v>7</v>
      </c>
      <c r="AC112" s="3">
        <v>55</v>
      </c>
      <c r="AD112" s="3">
        <f t="shared" si="4"/>
        <v>534</v>
      </c>
    </row>
    <row r="113" spans="1:30" ht="15">
      <c r="A113" s="3">
        <v>106</v>
      </c>
      <c r="B113" s="10" t="s">
        <v>112</v>
      </c>
      <c r="C113" s="4">
        <f t="shared" si="5"/>
        <v>1344.6313095238095</v>
      </c>
      <c r="D113" s="3">
        <v>796</v>
      </c>
      <c r="E113" s="3">
        <v>0</v>
      </c>
      <c r="F113" s="3">
        <v>119</v>
      </c>
      <c r="G113" s="3">
        <v>116</v>
      </c>
      <c r="H113" s="3">
        <v>73</v>
      </c>
      <c r="I113" s="4">
        <v>59.364642857142861</v>
      </c>
      <c r="J113" s="3">
        <v>0.33</v>
      </c>
      <c r="K113" s="3">
        <v>0</v>
      </c>
      <c r="L113" s="3">
        <v>0</v>
      </c>
      <c r="M113" s="3">
        <v>134</v>
      </c>
      <c r="N113" s="3">
        <v>12</v>
      </c>
      <c r="O113" s="3">
        <v>23</v>
      </c>
      <c r="P113" s="4">
        <v>12.266666666666666</v>
      </c>
      <c r="Q113" s="3">
        <v>0.12</v>
      </c>
      <c r="R113" s="3">
        <v>22</v>
      </c>
      <c r="S113" s="3">
        <v>0</v>
      </c>
      <c r="T113" s="3">
        <v>28</v>
      </c>
      <c r="U113" s="3">
        <v>58</v>
      </c>
      <c r="V113" s="3">
        <v>112</v>
      </c>
      <c r="W113" s="3">
        <v>276</v>
      </c>
      <c r="X113" s="3">
        <v>0</v>
      </c>
      <c r="Y113" s="3">
        <v>0</v>
      </c>
      <c r="Z113" s="3">
        <v>12</v>
      </c>
      <c r="AA113" s="3">
        <v>2</v>
      </c>
      <c r="AB113" s="3">
        <v>9</v>
      </c>
      <c r="AC113" s="3">
        <v>40</v>
      </c>
      <c r="AD113" s="3">
        <f t="shared" si="4"/>
        <v>559</v>
      </c>
    </row>
    <row r="114" spans="1:30" ht="15">
      <c r="A114" s="3">
        <v>107</v>
      </c>
      <c r="B114" s="10" t="s">
        <v>113</v>
      </c>
      <c r="C114" s="4">
        <f t="shared" si="5"/>
        <v>851.38809954751139</v>
      </c>
      <c r="D114" s="3">
        <v>489</v>
      </c>
      <c r="E114" s="3">
        <v>0</v>
      </c>
      <c r="F114" s="3">
        <v>37</v>
      </c>
      <c r="G114" s="3">
        <v>93</v>
      </c>
      <c r="H114" s="3">
        <v>37</v>
      </c>
      <c r="I114" s="4">
        <v>52.431176470588241</v>
      </c>
      <c r="J114" s="3">
        <v>0.33</v>
      </c>
      <c r="K114" s="3">
        <v>0</v>
      </c>
      <c r="L114" s="3">
        <v>0</v>
      </c>
      <c r="M114" s="3">
        <v>0</v>
      </c>
      <c r="N114" s="3">
        <v>76</v>
      </c>
      <c r="O114" s="3">
        <v>47</v>
      </c>
      <c r="P114" s="4">
        <v>19.956923076923076</v>
      </c>
      <c r="Q114" s="3">
        <v>0.12</v>
      </c>
      <c r="R114" s="3">
        <v>14</v>
      </c>
      <c r="S114" s="3">
        <v>0</v>
      </c>
      <c r="T114" s="3">
        <v>5</v>
      </c>
      <c r="U114" s="3">
        <v>47</v>
      </c>
      <c r="V114" s="3">
        <v>68</v>
      </c>
      <c r="W114" s="3">
        <v>292</v>
      </c>
      <c r="X114" s="3">
        <v>0</v>
      </c>
      <c r="Y114" s="3">
        <v>0</v>
      </c>
      <c r="Z114" s="3">
        <v>0</v>
      </c>
      <c r="AA114" s="3">
        <v>12</v>
      </c>
      <c r="AB114" s="3">
        <v>13</v>
      </c>
      <c r="AC114" s="3">
        <v>46</v>
      </c>
      <c r="AD114" s="3">
        <f t="shared" si="4"/>
        <v>497</v>
      </c>
    </row>
    <row r="115" spans="1:30" ht="15">
      <c r="A115" s="3">
        <v>108</v>
      </c>
      <c r="B115" s="10" t="s">
        <v>114</v>
      </c>
      <c r="C115" s="4">
        <f t="shared" si="5"/>
        <v>218.244</v>
      </c>
      <c r="D115" s="3">
        <v>0</v>
      </c>
      <c r="E115" s="3">
        <v>0</v>
      </c>
      <c r="F115" s="3">
        <v>71</v>
      </c>
      <c r="G115" s="3">
        <v>82</v>
      </c>
      <c r="H115" s="3">
        <v>30</v>
      </c>
      <c r="I115" s="4">
        <v>35.244</v>
      </c>
      <c r="J115" s="3">
        <v>0.33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4">
        <v>0</v>
      </c>
      <c r="Q115" s="3">
        <v>0.12</v>
      </c>
      <c r="R115" s="3">
        <v>0</v>
      </c>
      <c r="S115" s="3">
        <v>0</v>
      </c>
      <c r="T115" s="3">
        <v>12</v>
      </c>
      <c r="U115" s="3">
        <v>43</v>
      </c>
      <c r="V115" s="3">
        <v>50</v>
      </c>
      <c r="W115" s="3">
        <v>178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f t="shared" si="4"/>
        <v>283</v>
      </c>
    </row>
    <row r="116" spans="1:30" ht="15">
      <c r="A116" s="3">
        <v>109</v>
      </c>
      <c r="B116" s="10" t="s">
        <v>115</v>
      </c>
      <c r="C116" s="4">
        <f t="shared" si="5"/>
        <v>541.67661971830989</v>
      </c>
      <c r="D116" s="3">
        <v>0</v>
      </c>
      <c r="E116" s="3">
        <v>102</v>
      </c>
      <c r="F116" s="3">
        <v>0</v>
      </c>
      <c r="G116" s="3">
        <v>131</v>
      </c>
      <c r="H116" s="3">
        <v>48</v>
      </c>
      <c r="I116" s="4">
        <v>76.076619718309871</v>
      </c>
      <c r="J116" s="3">
        <v>0.33</v>
      </c>
      <c r="K116" s="3">
        <v>0</v>
      </c>
      <c r="L116" s="3">
        <v>0</v>
      </c>
      <c r="M116" s="3">
        <v>59</v>
      </c>
      <c r="N116" s="3">
        <v>85</v>
      </c>
      <c r="O116" s="3">
        <v>29</v>
      </c>
      <c r="P116" s="4">
        <v>11.6</v>
      </c>
      <c r="Q116" s="3">
        <v>0.12</v>
      </c>
      <c r="R116" s="3">
        <v>0</v>
      </c>
      <c r="S116" s="3">
        <v>15</v>
      </c>
      <c r="T116" s="3">
        <v>0</v>
      </c>
      <c r="U116" s="3">
        <v>51</v>
      </c>
      <c r="V116" s="3">
        <v>71</v>
      </c>
      <c r="W116" s="3">
        <v>341</v>
      </c>
      <c r="X116" s="3">
        <v>0</v>
      </c>
      <c r="Y116" s="3">
        <v>0</v>
      </c>
      <c r="Z116" s="3">
        <v>4</v>
      </c>
      <c r="AA116" s="3">
        <v>11</v>
      </c>
      <c r="AB116" s="3">
        <v>9</v>
      </c>
      <c r="AC116" s="3">
        <v>30</v>
      </c>
      <c r="AD116" s="3">
        <f t="shared" si="4"/>
        <v>532</v>
      </c>
    </row>
    <row r="117" spans="1:30" ht="15">
      <c r="A117" s="3">
        <v>110</v>
      </c>
      <c r="B117" s="10" t="s">
        <v>116</v>
      </c>
      <c r="C117" s="4">
        <f t="shared" si="5"/>
        <v>305.29756097560977</v>
      </c>
      <c r="D117" s="3">
        <v>0</v>
      </c>
      <c r="E117" s="3">
        <v>61</v>
      </c>
      <c r="F117" s="3">
        <v>61</v>
      </c>
      <c r="G117" s="3">
        <v>78</v>
      </c>
      <c r="H117" s="3">
        <v>43</v>
      </c>
      <c r="I117" s="4">
        <v>62.297560975609763</v>
      </c>
      <c r="J117" s="3">
        <v>0.33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4">
        <v>0</v>
      </c>
      <c r="Q117" s="3">
        <v>0.12</v>
      </c>
      <c r="R117" s="3">
        <v>0</v>
      </c>
      <c r="S117" s="3">
        <v>14</v>
      </c>
      <c r="T117" s="3">
        <v>23</v>
      </c>
      <c r="U117" s="3">
        <v>48</v>
      </c>
      <c r="V117" s="3">
        <v>82</v>
      </c>
      <c r="W117" s="3">
        <v>360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f t="shared" si="4"/>
        <v>527</v>
      </c>
    </row>
    <row r="118" spans="1:30" ht="15">
      <c r="A118" s="3">
        <v>111</v>
      </c>
      <c r="B118" s="10" t="s">
        <v>117</v>
      </c>
      <c r="C118" s="4">
        <f t="shared" si="5"/>
        <v>535.00704347826081</v>
      </c>
      <c r="D118" s="3">
        <v>164</v>
      </c>
      <c r="E118" s="3">
        <v>126</v>
      </c>
      <c r="F118" s="3">
        <v>0</v>
      </c>
      <c r="G118" s="3">
        <v>49</v>
      </c>
      <c r="H118" s="3">
        <v>67</v>
      </c>
      <c r="I118" s="4">
        <v>129.00704347826087</v>
      </c>
      <c r="J118" s="3">
        <v>0.33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4">
        <v>0</v>
      </c>
      <c r="Q118" s="3">
        <v>0.12</v>
      </c>
      <c r="R118" s="3">
        <v>12</v>
      </c>
      <c r="S118" s="3">
        <v>28</v>
      </c>
      <c r="T118" s="3">
        <v>0</v>
      </c>
      <c r="U118" s="3">
        <v>47</v>
      </c>
      <c r="V118" s="3">
        <v>115</v>
      </c>
      <c r="W118" s="3">
        <v>671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f t="shared" si="4"/>
        <v>873</v>
      </c>
    </row>
    <row r="119" spans="1:30" ht="15">
      <c r="A119" s="3">
        <v>112</v>
      </c>
      <c r="B119" s="10" t="s">
        <v>118</v>
      </c>
      <c r="C119" s="4">
        <f t="shared" si="5"/>
        <v>183.10399999999998</v>
      </c>
      <c r="D119" s="3">
        <v>18</v>
      </c>
      <c r="E119" s="3">
        <v>0</v>
      </c>
      <c r="F119" s="3">
        <v>64</v>
      </c>
      <c r="G119" s="3">
        <v>38</v>
      </c>
      <c r="H119" s="3">
        <v>32</v>
      </c>
      <c r="I119" s="4">
        <v>31.103999999999999</v>
      </c>
      <c r="J119" s="3">
        <v>0.33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4">
        <v>0</v>
      </c>
      <c r="Q119" s="3">
        <v>0.12</v>
      </c>
      <c r="R119" s="3">
        <v>1</v>
      </c>
      <c r="S119" s="3">
        <v>0</v>
      </c>
      <c r="T119" s="3">
        <v>19</v>
      </c>
      <c r="U119" s="3">
        <v>18</v>
      </c>
      <c r="V119" s="3">
        <v>55</v>
      </c>
      <c r="W119" s="3">
        <v>162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f t="shared" si="4"/>
        <v>255</v>
      </c>
    </row>
    <row r="120" spans="1:30" ht="15">
      <c r="A120" s="3">
        <v>113</v>
      </c>
      <c r="B120" s="10" t="s">
        <v>119</v>
      </c>
      <c r="C120" s="4">
        <f t="shared" si="5"/>
        <v>440.86417582417585</v>
      </c>
      <c r="D120" s="3">
        <v>0</v>
      </c>
      <c r="E120" s="3">
        <v>116</v>
      </c>
      <c r="F120" s="3">
        <v>83</v>
      </c>
      <c r="G120" s="3">
        <v>83</v>
      </c>
      <c r="H120" s="3">
        <v>66</v>
      </c>
      <c r="I120" s="4">
        <v>92.864175824175817</v>
      </c>
      <c r="J120" s="3">
        <v>0.33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4">
        <v>0</v>
      </c>
      <c r="Q120" s="3">
        <v>0.12</v>
      </c>
      <c r="R120" s="3">
        <v>0</v>
      </c>
      <c r="S120" s="3">
        <v>23</v>
      </c>
      <c r="T120" s="3">
        <v>18</v>
      </c>
      <c r="U120" s="3">
        <v>51</v>
      </c>
      <c r="V120" s="3">
        <v>91</v>
      </c>
      <c r="W120" s="3">
        <v>388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f t="shared" si="4"/>
        <v>571</v>
      </c>
    </row>
    <row r="121" spans="1:30" ht="15">
      <c r="A121" s="3">
        <v>114</v>
      </c>
      <c r="B121" s="10" t="s">
        <v>120</v>
      </c>
      <c r="C121" s="4">
        <f t="shared" si="5"/>
        <v>3211.3526691729321</v>
      </c>
      <c r="D121" s="3">
        <v>832</v>
      </c>
      <c r="E121" s="3">
        <v>240</v>
      </c>
      <c r="F121" s="3">
        <v>47</v>
      </c>
      <c r="G121" s="3">
        <v>279</v>
      </c>
      <c r="H121" s="3">
        <v>145</v>
      </c>
      <c r="I121" s="4">
        <v>226.26214285714286</v>
      </c>
      <c r="J121" s="3">
        <v>0.33</v>
      </c>
      <c r="K121" s="3">
        <v>300</v>
      </c>
      <c r="L121" s="3">
        <v>56</v>
      </c>
      <c r="M121" s="3">
        <v>388</v>
      </c>
      <c r="N121" s="3">
        <v>319</v>
      </c>
      <c r="O121" s="3">
        <v>236</v>
      </c>
      <c r="P121" s="4">
        <v>143.09052631578948</v>
      </c>
      <c r="Q121" s="3">
        <v>0.12</v>
      </c>
      <c r="R121" s="3">
        <v>22</v>
      </c>
      <c r="S121" s="3">
        <v>28</v>
      </c>
      <c r="T121" s="3">
        <v>7</v>
      </c>
      <c r="U121" s="3">
        <v>70</v>
      </c>
      <c r="V121" s="3">
        <v>140</v>
      </c>
      <c r="W121" s="3">
        <v>662</v>
      </c>
      <c r="X121" s="3">
        <v>7</v>
      </c>
      <c r="Y121" s="3">
        <v>6</v>
      </c>
      <c r="Z121" s="3">
        <v>19</v>
      </c>
      <c r="AA121" s="3">
        <v>25</v>
      </c>
      <c r="AB121" s="3">
        <v>38</v>
      </c>
      <c r="AC121" s="3">
        <v>192</v>
      </c>
      <c r="AD121" s="3">
        <f t="shared" si="4"/>
        <v>1216</v>
      </c>
    </row>
    <row r="122" spans="1:30" ht="15">
      <c r="A122" s="3">
        <v>115</v>
      </c>
      <c r="B122" s="10" t="s">
        <v>121</v>
      </c>
      <c r="C122" s="4">
        <f t="shared" si="5"/>
        <v>340.86315217391302</v>
      </c>
      <c r="D122" s="3">
        <v>0</v>
      </c>
      <c r="E122" s="3">
        <v>133</v>
      </c>
      <c r="F122" s="3">
        <v>92</v>
      </c>
      <c r="G122" s="3">
        <v>36</v>
      </c>
      <c r="H122" s="3">
        <v>43</v>
      </c>
      <c r="I122" s="4">
        <v>36.863152173913043</v>
      </c>
      <c r="J122" s="3">
        <v>0.33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4">
        <v>0</v>
      </c>
      <c r="Q122" s="3">
        <v>0.12</v>
      </c>
      <c r="R122" s="3">
        <v>0</v>
      </c>
      <c r="S122" s="3">
        <v>25</v>
      </c>
      <c r="T122" s="3">
        <v>21</v>
      </c>
      <c r="U122" s="3">
        <v>39</v>
      </c>
      <c r="V122" s="3">
        <v>92</v>
      </c>
      <c r="W122" s="3">
        <v>239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f t="shared" si="4"/>
        <v>416</v>
      </c>
    </row>
    <row r="123" spans="1:30" ht="15">
      <c r="A123" s="3">
        <v>116</v>
      </c>
      <c r="B123" s="10" t="s">
        <v>122</v>
      </c>
      <c r="C123" s="4">
        <f t="shared" si="5"/>
        <v>447.38970873786411</v>
      </c>
      <c r="D123" s="3">
        <v>0</v>
      </c>
      <c r="E123" s="3">
        <v>0</v>
      </c>
      <c r="F123" s="3">
        <v>133</v>
      </c>
      <c r="G123" s="3">
        <v>52</v>
      </c>
      <c r="H123" s="3">
        <v>59</v>
      </c>
      <c r="I123" s="4">
        <v>75.989708737864078</v>
      </c>
      <c r="J123" s="3">
        <v>0.33</v>
      </c>
      <c r="K123" s="3">
        <v>0</v>
      </c>
      <c r="L123" s="3">
        <v>0</v>
      </c>
      <c r="M123" s="3">
        <v>48</v>
      </c>
      <c r="N123" s="3">
        <v>69</v>
      </c>
      <c r="O123" s="3">
        <v>8</v>
      </c>
      <c r="P123" s="4">
        <v>2.4</v>
      </c>
      <c r="Q123" s="3">
        <v>0.12</v>
      </c>
      <c r="R123" s="3">
        <v>0</v>
      </c>
      <c r="S123" s="3">
        <v>0</v>
      </c>
      <c r="T123" s="3">
        <v>20</v>
      </c>
      <c r="U123" s="3">
        <v>54</v>
      </c>
      <c r="V123" s="3">
        <v>103</v>
      </c>
      <c r="W123" s="3">
        <v>402</v>
      </c>
      <c r="X123" s="3">
        <v>0</v>
      </c>
      <c r="Y123" s="3">
        <v>0</v>
      </c>
      <c r="Z123" s="3">
        <v>5</v>
      </c>
      <c r="AA123" s="3">
        <v>6</v>
      </c>
      <c r="AB123" s="3">
        <v>6</v>
      </c>
      <c r="AC123" s="3">
        <v>15</v>
      </c>
      <c r="AD123" s="3">
        <f t="shared" si="4"/>
        <v>611</v>
      </c>
    </row>
    <row r="124" spans="1:30" ht="15">
      <c r="A124" s="3">
        <v>117</v>
      </c>
      <c r="B124" s="10" t="s">
        <v>123</v>
      </c>
      <c r="C124" s="4">
        <f t="shared" si="5"/>
        <v>533.2465979381443</v>
      </c>
      <c r="D124" s="3">
        <v>0</v>
      </c>
      <c r="E124" s="3">
        <v>105</v>
      </c>
      <c r="F124" s="3">
        <v>165</v>
      </c>
      <c r="G124" s="3">
        <v>125</v>
      </c>
      <c r="H124" s="3">
        <v>64</v>
      </c>
      <c r="I124" s="4">
        <v>74.246597938144333</v>
      </c>
      <c r="J124" s="3">
        <v>0.33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4">
        <v>0</v>
      </c>
      <c r="Q124" s="3">
        <v>0.12</v>
      </c>
      <c r="R124" s="3">
        <v>0</v>
      </c>
      <c r="S124" s="3">
        <v>10</v>
      </c>
      <c r="T124" s="3">
        <v>34</v>
      </c>
      <c r="U124" s="3">
        <v>60</v>
      </c>
      <c r="V124" s="3">
        <v>97</v>
      </c>
      <c r="W124" s="3">
        <v>341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f t="shared" si="4"/>
        <v>542</v>
      </c>
    </row>
    <row r="125" spans="1:30" ht="15">
      <c r="A125" s="3">
        <v>118</v>
      </c>
      <c r="B125" s="10" t="s">
        <v>124</v>
      </c>
      <c r="C125" s="4">
        <f t="shared" si="5"/>
        <v>1555.9473235294117</v>
      </c>
      <c r="D125" s="3">
        <v>642</v>
      </c>
      <c r="E125" s="3">
        <v>9</v>
      </c>
      <c r="F125" s="3">
        <v>68</v>
      </c>
      <c r="G125" s="3">
        <v>213</v>
      </c>
      <c r="H125" s="3">
        <v>83</v>
      </c>
      <c r="I125" s="4">
        <v>173.68482352941177</v>
      </c>
      <c r="J125" s="3">
        <v>0.33</v>
      </c>
      <c r="K125" s="3">
        <v>161</v>
      </c>
      <c r="L125" s="3">
        <v>0</v>
      </c>
      <c r="M125" s="3">
        <v>9</v>
      </c>
      <c r="N125" s="3">
        <v>145</v>
      </c>
      <c r="O125" s="3">
        <v>37</v>
      </c>
      <c r="P125" s="4">
        <v>15.262499999999999</v>
      </c>
      <c r="Q125" s="3">
        <v>0.12</v>
      </c>
      <c r="R125" s="3">
        <v>22</v>
      </c>
      <c r="S125" s="3">
        <v>2</v>
      </c>
      <c r="T125" s="3">
        <v>15</v>
      </c>
      <c r="U125" s="3">
        <v>75</v>
      </c>
      <c r="V125" s="3">
        <v>85</v>
      </c>
      <c r="W125" s="3">
        <v>539</v>
      </c>
      <c r="X125" s="3">
        <v>6</v>
      </c>
      <c r="Y125" s="3">
        <v>0</v>
      </c>
      <c r="Z125" s="3">
        <v>1</v>
      </c>
      <c r="AA125" s="3">
        <v>17</v>
      </c>
      <c r="AB125" s="3">
        <v>16</v>
      </c>
      <c r="AC125" s="3">
        <v>55</v>
      </c>
      <c r="AD125" s="3">
        <f t="shared" si="4"/>
        <v>833</v>
      </c>
    </row>
    <row r="126" spans="1:30" ht="15">
      <c r="A126" s="3">
        <v>119</v>
      </c>
      <c r="B126" s="10" t="s">
        <v>125</v>
      </c>
      <c r="C126" s="4">
        <f t="shared" si="5"/>
        <v>317.8618367346939</v>
      </c>
      <c r="D126" s="3">
        <v>0</v>
      </c>
      <c r="E126" s="3">
        <v>183</v>
      </c>
      <c r="F126" s="3">
        <v>34</v>
      </c>
      <c r="G126" s="3">
        <v>50</v>
      </c>
      <c r="H126" s="3">
        <v>19</v>
      </c>
      <c r="I126" s="4">
        <v>31.861836734693878</v>
      </c>
      <c r="J126" s="3">
        <v>0.33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4">
        <v>0</v>
      </c>
      <c r="Q126" s="3">
        <v>0.12</v>
      </c>
      <c r="R126" s="3">
        <v>0</v>
      </c>
      <c r="S126" s="3">
        <v>33</v>
      </c>
      <c r="T126" s="3">
        <v>17</v>
      </c>
      <c r="U126" s="3">
        <v>51</v>
      </c>
      <c r="V126" s="3">
        <v>49</v>
      </c>
      <c r="W126" s="3">
        <v>249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f t="shared" si="4"/>
        <v>399</v>
      </c>
    </row>
    <row r="127" spans="1:30" ht="15">
      <c r="A127" s="3">
        <v>120</v>
      </c>
      <c r="B127" s="10" t="s">
        <v>126</v>
      </c>
      <c r="C127" s="4">
        <f t="shared" si="5"/>
        <v>994.6426923076923</v>
      </c>
      <c r="D127" s="3">
        <v>224</v>
      </c>
      <c r="E127" s="3">
        <v>356</v>
      </c>
      <c r="F127" s="3">
        <v>0</v>
      </c>
      <c r="G127" s="3">
        <v>140</v>
      </c>
      <c r="H127" s="3">
        <v>54</v>
      </c>
      <c r="I127" s="4">
        <v>53.802692307692311</v>
      </c>
      <c r="J127" s="3">
        <v>0.33</v>
      </c>
      <c r="K127" s="3">
        <v>0</v>
      </c>
      <c r="L127" s="3">
        <v>0</v>
      </c>
      <c r="M127" s="3">
        <v>61</v>
      </c>
      <c r="N127" s="3">
        <v>58</v>
      </c>
      <c r="O127" s="3">
        <v>23</v>
      </c>
      <c r="P127" s="4">
        <v>24.84</v>
      </c>
      <c r="Q127" s="3">
        <v>0.12</v>
      </c>
      <c r="R127" s="3">
        <v>8</v>
      </c>
      <c r="S127" s="3">
        <v>20</v>
      </c>
      <c r="T127" s="3">
        <v>0</v>
      </c>
      <c r="U127" s="3">
        <v>48</v>
      </c>
      <c r="V127" s="3">
        <v>52</v>
      </c>
      <c r="W127" s="3">
        <v>157</v>
      </c>
      <c r="X127" s="3">
        <v>0</v>
      </c>
      <c r="Y127" s="3">
        <v>0</v>
      </c>
      <c r="Z127" s="3">
        <v>3</v>
      </c>
      <c r="AA127" s="3">
        <v>7</v>
      </c>
      <c r="AB127" s="3">
        <v>5</v>
      </c>
      <c r="AC127" s="3">
        <v>45</v>
      </c>
      <c r="AD127" s="3">
        <f t="shared" si="4"/>
        <v>345</v>
      </c>
    </row>
    <row r="128" spans="1:30" ht="15">
      <c r="A128" s="3"/>
      <c r="B128" s="10"/>
      <c r="C128" s="4"/>
      <c r="D128" s="4"/>
      <c r="E128" s="4"/>
      <c r="F128" s="4"/>
      <c r="G128" s="4"/>
      <c r="H128" s="4"/>
      <c r="I128" s="4"/>
      <c r="J128" s="3"/>
      <c r="K128" s="4"/>
      <c r="L128" s="4"/>
      <c r="M128" s="4"/>
      <c r="N128" s="4"/>
      <c r="O128" s="4"/>
      <c r="P128" s="4"/>
      <c r="Q128" s="3"/>
      <c r="R128" s="3"/>
      <c r="S128" s="4"/>
      <c r="T128" s="4"/>
      <c r="U128" s="4"/>
      <c r="V128" s="4"/>
      <c r="W128" s="4"/>
      <c r="X128" s="3"/>
      <c r="Y128" s="3"/>
      <c r="Z128" s="3"/>
      <c r="AA128" s="4"/>
      <c r="AB128" s="4"/>
      <c r="AC128" s="4"/>
      <c r="AD128" s="4"/>
    </row>
    <row r="129" spans="1:30" ht="15">
      <c r="A129" s="3"/>
      <c r="B129" s="3" t="s">
        <v>136</v>
      </c>
      <c r="C129" s="4">
        <f>SUM(C8:C128)</f>
        <v>127519.40457781791</v>
      </c>
      <c r="D129" s="4">
        <f>SUM(D8:D127)</f>
        <v>16181</v>
      </c>
      <c r="E129" s="4">
        <f t="shared" ref="E129:AD129" si="6">SUM(E8:E127)</f>
        <v>16541</v>
      </c>
      <c r="F129" s="4">
        <f t="shared" si="6"/>
        <v>6685</v>
      </c>
      <c r="G129" s="4">
        <f t="shared" si="6"/>
        <v>15102</v>
      </c>
      <c r="H129" s="4">
        <f t="shared" si="6"/>
        <v>6869</v>
      </c>
      <c r="I129" s="4">
        <f t="shared" si="6"/>
        <v>9980.0529463366402</v>
      </c>
      <c r="J129" s="4">
        <f t="shared" si="6"/>
        <v>39.599999999999881</v>
      </c>
      <c r="K129" s="4">
        <f t="shared" si="6"/>
        <v>15385</v>
      </c>
      <c r="L129" s="4">
        <f t="shared" si="6"/>
        <v>2242</v>
      </c>
      <c r="M129" s="4">
        <f t="shared" si="6"/>
        <v>12451</v>
      </c>
      <c r="N129" s="4">
        <f t="shared" si="6"/>
        <v>11567</v>
      </c>
      <c r="O129" s="4">
        <f t="shared" si="6"/>
        <v>5271</v>
      </c>
      <c r="P129" s="4">
        <f t="shared" si="6"/>
        <v>9244.9720965975594</v>
      </c>
      <c r="Q129" s="4"/>
      <c r="R129" s="4">
        <f t="shared" si="6"/>
        <v>536</v>
      </c>
      <c r="S129" s="4">
        <f t="shared" si="6"/>
        <v>2046</v>
      </c>
      <c r="T129" s="4">
        <f t="shared" si="6"/>
        <v>1612</v>
      </c>
      <c r="U129" s="4">
        <f t="shared" si="6"/>
        <v>6986</v>
      </c>
      <c r="V129" s="4">
        <f t="shared" si="6"/>
        <v>9485</v>
      </c>
      <c r="W129" s="4">
        <f t="shared" si="6"/>
        <v>41951</v>
      </c>
      <c r="X129" s="4">
        <f t="shared" si="6"/>
        <v>228</v>
      </c>
      <c r="Y129" s="4">
        <f t="shared" si="6"/>
        <v>91</v>
      </c>
      <c r="Z129" s="4">
        <f t="shared" si="6"/>
        <v>654</v>
      </c>
      <c r="AA129" s="4">
        <f t="shared" si="6"/>
        <v>1165</v>
      </c>
      <c r="AB129" s="4">
        <f t="shared" si="6"/>
        <v>1154</v>
      </c>
      <c r="AC129" s="4">
        <f t="shared" si="6"/>
        <v>7735</v>
      </c>
      <c r="AD129" s="4">
        <f t="shared" si="6"/>
        <v>73643</v>
      </c>
    </row>
  </sheetData>
  <customSheetViews>
    <customSheetView guid="{B4189DEE-840B-4E8F-8634-CBCD83879A98}">
      <pane xSplit="2" ySplit="7" topLeftCell="C8" activePane="bottomRight" state="frozen"/>
      <selection pane="bottomRight" activeCell="I111" sqref="I111"/>
      <pageMargins left="0.77" right="0.73" top="0.46" bottom="0.25" header="0.22" footer="0"/>
      <pageSetup paperSize="5" pageOrder="overThenDown" orientation="landscape" horizontalDpi="300" verticalDpi="300" r:id="rId1"/>
      <headerFooter alignWithMargins="0">
        <oddHeader>Page &amp;P&amp;R&amp;F</oddHeader>
      </headerFooter>
    </customSheetView>
    <customSheetView guid="{42EEE160-96A8-11D3-9088-00C04FACEB10}" showPageBreaks="1" showRuler="0">
      <pane xSplit="2" ySplit="7" topLeftCell="C8" activePane="bottomRight" state="frozen"/>
      <selection pane="bottomRight" activeCell="I111" sqref="I111"/>
      <pageMargins left="0.77" right="0.73" top="0.46" bottom="0.25" header="0.22" footer="0"/>
      <pageSetup paperSize="5" pageOrder="overThenDown" orientation="landscape" horizontalDpi="300" verticalDpi="300" r:id="rId2"/>
      <headerFooter alignWithMargins="0">
        <oddHeader>Page &amp;P&amp;R&amp;F</oddHeader>
      </headerFooter>
    </customSheetView>
  </customSheetViews>
  <mergeCells count="4">
    <mergeCell ref="D5:I5"/>
    <mergeCell ref="K5:P5"/>
    <mergeCell ref="R5:W5"/>
    <mergeCell ref="X5:AC5"/>
  </mergeCells>
  <phoneticPr fontId="3" type="noConversion"/>
  <pageMargins left="0.77" right="0.73" top="0.46" bottom="0.25" header="0.22" footer="0"/>
  <pageSetup paperSize="5" pageOrder="overThenDown" orientation="landscape" horizontalDpi="300" verticalDpi="300" r:id="rId3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DDCFA5-BE49-4966-A962-B859E875FABE}"/>
</file>

<file path=customXml/itemProps2.xml><?xml version="1.0" encoding="utf-8"?>
<ds:datastoreItem xmlns:ds="http://schemas.openxmlformats.org/officeDocument/2006/customXml" ds:itemID="{B168D952-11A0-41CE-84F8-4B3C4362D3FC}"/>
</file>

<file path=customXml/itemProps3.xml><?xml version="1.0" encoding="utf-8"?>
<ds:datastoreItem xmlns:ds="http://schemas.openxmlformats.org/officeDocument/2006/customXml" ds:itemID="{7322A61D-9955-493A-A627-9A589DA30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VMT1</vt:lpstr>
      <vt:lpstr>VMT1!Print_Titles</vt:lpstr>
    </vt:vector>
  </TitlesOfParts>
  <Company>TRANSPORTATION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KYTC</dc:creator>
  <cp:lastModifiedBy>Sanford, Gretchen (KYTC)</cp:lastModifiedBy>
  <cp:lastPrinted>1999-11-22T15:15:04Z</cp:lastPrinted>
  <dcterms:created xsi:type="dcterms:W3CDTF">1998-10-28T23:30:11Z</dcterms:created>
  <dcterms:modified xsi:type="dcterms:W3CDTF">2013-08-20T20:18:48Z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