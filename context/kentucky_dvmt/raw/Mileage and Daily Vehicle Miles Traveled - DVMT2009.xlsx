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595" yWindow="15" windowWidth="18210" windowHeight="10260"/>
  </bookViews>
  <sheets>
    <sheet name="2009" sheetId="6" r:id="rId1"/>
  </sheets>
  <definedNames>
    <definedName name="_xlnm._FilterDatabase" localSheetId="0" hidden="1">'2009'!$A$1:$AF$130</definedName>
    <definedName name="_xlnm.Print_Titles" localSheetId="0">'2009'!$A:$B,'2009'!$5:$7</definedName>
    <definedName name="Z_42EEE160_96A8_11D3_9088_00C04FACEB10_.wvu.PrintTitles" localSheetId="0" hidden="1">'2009'!$A:$B,'2009'!$5:$7</definedName>
    <definedName name="Z_9B35B1A4_5380_11D4_9606_00B0D02CABC0_.wvu.FilterData" localSheetId="0" hidden="1">'2009'!$A$2:$AF$127</definedName>
    <definedName name="Z_9B35B1A4_5380_11D4_9606_00B0D02CABC0_.wvu.PrintTitles" localSheetId="0" hidden="1">'2009'!$A:$B,'2009'!$5:$7</definedName>
  </definedNames>
  <calcPr calcId="125725" fullCalcOnLoad="1"/>
</workbook>
</file>

<file path=xl/calcChain.xml><?xml version="1.0" encoding="utf-8"?>
<calcChain xmlns="http://schemas.openxmlformats.org/spreadsheetml/2006/main">
  <c r="S129" i="6"/>
  <c r="T129"/>
  <c r="U129"/>
  <c r="V129"/>
  <c r="W129"/>
  <c r="X129"/>
  <c r="Z129"/>
  <c r="AA129"/>
  <c r="AB129"/>
  <c r="AC129"/>
  <c r="AD129"/>
  <c r="AE129"/>
  <c r="F129"/>
  <c r="G129"/>
  <c r="H129"/>
  <c r="I129"/>
  <c r="E129"/>
  <c r="L129"/>
  <c r="M129"/>
  <c r="N129"/>
  <c r="O129"/>
  <c r="P129"/>
  <c r="AF8"/>
  <c r="AF9"/>
  <c r="AF10"/>
  <c r="AF129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D22"/>
  <c r="D39"/>
  <c r="D9"/>
  <c r="D31"/>
  <c r="D17"/>
  <c r="D15"/>
  <c r="D69"/>
  <c r="D61"/>
  <c r="D53"/>
  <c r="D43"/>
  <c r="D36"/>
  <c r="D35"/>
  <c r="D32"/>
  <c r="D28"/>
  <c r="D27"/>
  <c r="D24"/>
  <c r="D21"/>
  <c r="D19"/>
  <c r="D11"/>
  <c r="Q129"/>
  <c r="D20"/>
  <c r="D41"/>
  <c r="D23"/>
  <c r="D12"/>
  <c r="D127"/>
  <c r="D125"/>
  <c r="D123"/>
  <c r="D121"/>
  <c r="D119"/>
  <c r="D117"/>
  <c r="D115"/>
  <c r="D113"/>
  <c r="D111"/>
  <c r="D109"/>
  <c r="D107"/>
  <c r="D105"/>
  <c r="D103"/>
  <c r="D101"/>
  <c r="D99"/>
  <c r="D97"/>
  <c r="D95"/>
  <c r="D93"/>
  <c r="D91"/>
  <c r="D89"/>
  <c r="D87"/>
  <c r="D85"/>
  <c r="D83"/>
  <c r="D81"/>
  <c r="D79"/>
  <c r="D77"/>
  <c r="D75"/>
  <c r="D73"/>
  <c r="D71"/>
  <c r="D63"/>
  <c r="D59"/>
  <c r="D55"/>
  <c r="D16"/>
  <c r="D126"/>
  <c r="D124"/>
  <c r="D122"/>
  <c r="D120"/>
  <c r="D118"/>
  <c r="D116"/>
  <c r="D114"/>
  <c r="D112"/>
  <c r="D110"/>
  <c r="D108"/>
  <c r="D106"/>
  <c r="D104"/>
  <c r="D102"/>
  <c r="D100"/>
  <c r="D98"/>
  <c r="D96"/>
  <c r="D94"/>
  <c r="D92"/>
  <c r="D90"/>
  <c r="D88"/>
  <c r="D86"/>
  <c r="D84"/>
  <c r="D82"/>
  <c r="D80"/>
  <c r="D78"/>
  <c r="D76"/>
  <c r="D74"/>
  <c r="D72"/>
  <c r="D70"/>
  <c r="D66"/>
  <c r="D62"/>
  <c r="D54"/>
  <c r="D8"/>
  <c r="D49"/>
  <c r="D37"/>
  <c r="D33"/>
  <c r="D29"/>
  <c r="D25"/>
  <c r="D14"/>
  <c r="D48"/>
  <c r="D44"/>
  <c r="D34"/>
  <c r="D30"/>
  <c r="D26"/>
  <c r="D18"/>
  <c r="D10"/>
  <c r="D68"/>
  <c r="D64"/>
  <c r="D60"/>
  <c r="D56"/>
  <c r="D52"/>
  <c r="D47"/>
  <c r="D65"/>
  <c r="D57"/>
  <c r="D50"/>
  <c r="D46"/>
  <c r="D40"/>
  <c r="J129"/>
  <c r="D58"/>
  <c r="D45"/>
  <c r="D67"/>
  <c r="D51"/>
  <c r="D42"/>
  <c r="D38"/>
  <c r="D13"/>
  <c r="D129"/>
  <c r="J130"/>
  <c r="M130"/>
  <c r="G130"/>
  <c r="N130"/>
  <c r="I130"/>
  <c r="F130"/>
  <c r="L130"/>
  <c r="E130"/>
  <c r="O130"/>
  <c r="Q130"/>
  <c r="H130"/>
  <c r="P130"/>
  <c r="T130"/>
  <c r="AD130"/>
  <c r="Z130"/>
  <c r="U130"/>
  <c r="AE130"/>
  <c r="AA130"/>
  <c r="V130"/>
  <c r="S130"/>
  <c r="AB130"/>
  <c r="W130"/>
  <c r="AC130"/>
  <c r="X130"/>
</calcChain>
</file>

<file path=xl/sharedStrings.xml><?xml version="1.0" encoding="utf-8"?>
<sst xmlns="http://schemas.openxmlformats.org/spreadsheetml/2006/main" count="373" uniqueCount="162">
  <si>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</si>
  <si>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</si>
  <si>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</si>
  <si>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</si>
  <si>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</si>
  <si>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</si>
  <si>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</si>
  <si>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</si>
  <si>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</si>
  <si>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</si>
  <si>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</si>
  <si>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</si>
  <si>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</si>
  <si>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</si>
  <si>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</t>
  </si>
  <si>
    <t>2</t>
  </si>
  <si>
    <t>6</t>
  </si>
  <si>
    <t>7</t>
  </si>
  <si>
    <t>8</t>
  </si>
  <si>
    <t>11</t>
  </si>
  <si>
    <t>12</t>
  </si>
  <si>
    <t>14</t>
  </si>
  <si>
    <t>16</t>
  </si>
  <si>
    <t>17</t>
  </si>
  <si>
    <t>9</t>
  </si>
  <si>
    <t>19</t>
  </si>
  <si>
    <t>ADAIR</t>
  </si>
  <si>
    <t/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</si>
  <si>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</si>
  <si>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</si>
  <si>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</si>
  <si>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</si>
  <si>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</si>
  <si>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</si>
  <si>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</si>
  <si>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</si>
  <si>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</si>
  <si>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</si>
  <si>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</si>
  <si>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</si>
  <si>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</si>
  <si>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</si>
  <si>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</si>
  <si>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</si>
  <si>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</si>
  <si>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</si>
  <si>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</si>
  <si>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</si>
  <si>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</si>
  <si>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</si>
  <si>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</si>
  <si>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</si>
  <si>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</si>
  <si>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</si>
  <si>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</si>
  <si>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</si>
  <si>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</si>
  <si>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</si>
  <si>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</si>
  <si>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</si>
  <si>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</si>
  <si>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</si>
  <si>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</si>
  <si>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</si>
  <si>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</si>
  <si>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</si>
  <si>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</si>
  <si>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</si>
  <si>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</si>
  <si>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</si>
  <si>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</si>
  <si>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</si>
  <si>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</si>
  <si>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</si>
  <si>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</si>
  <si>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</si>
  <si>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</si>
  <si>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</si>
  <si>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</si>
  <si>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</si>
  <si>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</si>
  <si>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</si>
  <si>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</si>
  <si>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</si>
  <si>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</si>
  <si>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</si>
  <si>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</si>
  <si>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</si>
  <si>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</si>
  <si>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</si>
  <si>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</si>
  <si>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</si>
  <si>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</si>
  <si>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</si>
  <si>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</si>
  <si>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</si>
  <si>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</si>
  <si>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</si>
  <si>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</si>
  <si>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</si>
  <si>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</si>
  <si>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</si>
  <si>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</si>
  <si>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</si>
  <si>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</si>
  <si>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</si>
  <si>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</si>
  <si>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</si>
  <si>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</si>
  <si>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</si>
  <si>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</si>
  <si>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</si>
  <si>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</si>
  <si>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</si>
  <si>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</si>
  <si>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</si>
  <si>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</si>
  <si>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</si>
  <si>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</si>
  <si>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</si>
  <si>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</si>
  <si>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</si>
  <si>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</si>
  <si>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</si>
  <si>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</si>
  <si>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</si>
  <si>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</si>
  <si>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</si>
  <si>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</si>
  <si>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</si>
  <si>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</si>
  <si>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</si>
  <si>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</si>
  <si>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</si>
  <si>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</si>
  <si>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</si>
  <si>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</si>
  <si>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</si>
  <si>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</si>
  <si>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</si>
  <si>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</si>
  <si>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</si>
  <si>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</si>
  <si>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</si>
  <si>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</si>
  <si>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</si>
  <si>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</si>
  <si>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</si>
  <si>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</si>
  <si>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09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</si>
  <si>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</si>
  <si>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</si>
  <si>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</si>
  <si>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</si>
  <si>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</si>
  <si>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</si>
  <si>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</si>
  <si>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</si>
  <si>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</si>
  <si>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Uz</t>
  </si>
  <si>
    <t>Percent of Total</t>
  </si>
  <si>
    <t>2009 DVMT (in thousands) and Mileage by County and Functional Class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</si>
</sst>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9" formatCode="[$-409]mmmm\ d\,\ yyyy;@"/>
  </numFmts>
  <fonts count="19">
    <font>
      <sz val="10"/>
      <name val="Arial"/>
    </font>
    <font>
      <sz val="10"/>
      <color indexed="8"/>
      <name val="MS Sans Serif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4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8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1" fillId="0" borderId="0"/>
  </cellStyleXfs>
  <cellXfs count="60">
    <xf numFmtId="0" fontId="0" fillId="0" borderId="0" xfId="0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/>
    <xf numFmtId="3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1" fontId="8" fillId="0" borderId="0" xfId="0" applyNumberFormat="1" applyFont="1"/>
    <xf numFmtId="164" fontId="7" fillId="0" borderId="0" xfId="0" applyNumberFormat="1" applyFont="1"/>
    <xf numFmtId="3" fontId="3" fillId="0" borderId="0" xfId="0" applyNumberFormat="1" applyFont="1"/>
    <xf numFmtId="3" fontId="6" fillId="0" borderId="0" xfId="0" applyNumberFormat="1" applyFont="1"/>
    <xf numFmtId="0" fontId="9" fillId="0" borderId="0" xfId="0" applyFont="1"/>
    <xf numFmtId="0" fontId="10" fillId="0" borderId="0" xfId="0" applyFont="1"/>
    <xf numFmtId="15" fontId="10" fillId="0" borderId="0" xfId="0" quotePrefix="1" applyNumberFormat="1" applyFont="1"/>
    <xf numFmtId="0" fontId="11" fillId="0" borderId="0" xfId="0" applyFont="1"/>
    <xf numFmtId="49" fontId="11" fillId="0" borderId="0" xfId="0" applyNumberFormat="1" applyFont="1" applyAlignment="1">
      <alignment horizontal="left"/>
    </xf>
    <xf numFmtId="49" fontId="10" fillId="0" borderId="0" xfId="0" applyNumberFormat="1" applyFont="1"/>
    <xf numFmtId="49" fontId="11" fillId="0" borderId="0" xfId="0" applyNumberFormat="1" applyFont="1"/>
    <xf numFmtId="0" fontId="12" fillId="0" borderId="0" xfId="0" applyFont="1"/>
    <xf numFmtId="15" fontId="13" fillId="0" borderId="0" xfId="0" applyNumberFormat="1" applyFont="1"/>
    <xf numFmtId="3" fontId="2" fillId="0" borderId="0" xfId="0" applyNumberFormat="1" applyFont="1" applyAlignment="1">
      <alignment horizontal="center"/>
    </xf>
    <xf numFmtId="3" fontId="5" fillId="0" borderId="1" xfId="2" applyNumberFormat="1" applyFont="1" applyFill="1" applyBorder="1" applyAlignment="1">
      <alignment horizontal="right" wrapText="1"/>
    </xf>
    <xf numFmtId="0" fontId="2" fillId="0" borderId="0" xfId="0" applyFont="1" applyBorder="1"/>
    <xf numFmtId="49" fontId="2" fillId="0" borderId="0" xfId="0" applyNumberFormat="1" applyFont="1" applyBorder="1"/>
    <xf numFmtId="49" fontId="10" fillId="0" borderId="0" xfId="0" applyNumberFormat="1" applyFont="1" applyBorder="1"/>
    <xf numFmtId="3" fontId="4" fillId="0" borderId="0" xfId="1" applyNumberFormat="1" applyFont="1" applyFill="1" applyBorder="1" applyAlignment="1">
      <alignment horizontal="right" wrapText="1"/>
    </xf>
    <xf numFmtId="164" fontId="7" fillId="0" borderId="0" xfId="0" applyNumberFormat="1" applyFont="1" applyBorder="1"/>
    <xf numFmtId="3" fontId="2" fillId="0" borderId="0" xfId="0" applyNumberFormat="1" applyFont="1" applyBorder="1"/>
    <xf numFmtId="3" fontId="5" fillId="0" borderId="0" xfId="3" applyNumberFormat="1" applyFont="1" applyFill="1" applyBorder="1" applyAlignment="1">
      <alignment horizontal="right" wrapText="1"/>
    </xf>
    <xf numFmtId="3" fontId="4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16" fillId="0" borderId="0" xfId="0" applyFont="1"/>
    <xf numFmtId="3" fontId="5" fillId="0" borderId="2" xfId="2" applyNumberFormat="1" applyFont="1" applyFill="1" applyBorder="1" applyAlignment="1">
      <alignment horizontal="center"/>
    </xf>
    <xf numFmtId="169" fontId="2" fillId="0" borderId="0" xfId="0" applyNumberFormat="1" applyFont="1"/>
    <xf numFmtId="0" fontId="3" fillId="2" borderId="0" xfId="0" applyFont="1" applyFill="1" applyAlignment="1">
      <alignment horizontal="right"/>
    </xf>
    <xf numFmtId="3" fontId="3" fillId="2" borderId="0" xfId="0" applyNumberFormat="1" applyFont="1" applyFill="1"/>
    <xf numFmtId="3" fontId="3" fillId="2" borderId="0" xfId="0" applyNumberFormat="1" applyFont="1" applyFill="1" applyBorder="1"/>
    <xf numFmtId="3" fontId="2" fillId="2" borderId="0" xfId="0" applyNumberFormat="1" applyFont="1" applyFill="1" applyAlignment="1">
      <alignment horizontal="right"/>
    </xf>
    <xf numFmtId="3" fontId="2" fillId="2" borderId="0" xfId="0" applyNumberFormat="1" applyFont="1" applyFill="1" applyAlignment="1">
      <alignment horizontal="center"/>
    </xf>
    <xf numFmtId="3" fontId="2" fillId="2" borderId="0" xfId="0" applyNumberFormat="1" applyFont="1" applyFill="1"/>
    <xf numFmtId="3" fontId="0" fillId="2" borderId="0" xfId="0" applyNumberFormat="1" applyFill="1" applyBorder="1"/>
    <xf numFmtId="1" fontId="3" fillId="2" borderId="0" xfId="0" quotePrefix="1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14" fillId="2" borderId="0" xfId="0" applyNumberFormat="1" applyFont="1" applyFill="1"/>
    <xf numFmtId="0" fontId="3" fillId="2" borderId="0" xfId="0" applyFont="1" applyFill="1"/>
    <xf numFmtId="0" fontId="10" fillId="2" borderId="0" xfId="0" applyFont="1" applyFill="1"/>
    <xf numFmtId="3" fontId="15" fillId="2" borderId="0" xfId="0" applyNumberFormat="1" applyFont="1" applyFill="1"/>
    <xf numFmtId="0" fontId="7" fillId="2" borderId="0" xfId="0" applyFont="1" applyFill="1" applyAlignment="1">
      <alignment horizontal="right"/>
    </xf>
    <xf numFmtId="165" fontId="7" fillId="2" borderId="0" xfId="0" applyNumberFormat="1" applyFont="1" applyFill="1"/>
    <xf numFmtId="3" fontId="7" fillId="2" borderId="0" xfId="0" applyNumberFormat="1" applyFont="1" applyFill="1"/>
    <xf numFmtId="0" fontId="17" fillId="3" borderId="2" xfId="2" applyFont="1" applyFill="1" applyBorder="1" applyAlignment="1">
      <alignment horizontal="center"/>
    </xf>
    <xf numFmtId="0" fontId="4" fillId="0" borderId="0" xfId="2"/>
    <xf numFmtId="2" fontId="17" fillId="0" borderId="1" xfId="2" applyNumberFormat="1" applyFont="1" applyFill="1" applyBorder="1" applyAlignment="1">
      <alignment horizontal="right" wrapText="1"/>
    </xf>
    <xf numFmtId="3" fontId="2" fillId="0" borderId="0" xfId="0" applyNumberFormat="1" applyFont="1" applyAlignment="1">
      <alignment horizontal="center"/>
    </xf>
  </cellXfs>
  <cellStyles count="4">
    <cellStyle name="Normal" xfId="0" builtinId="0"/>
    <cellStyle name="Normal_2000_1" xfId="1"/>
    <cellStyle name="Normal_Curr" xfId="2"/>
    <cellStyle name="Normal_VMT1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3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W134" sqref="W134"/>
    </sheetView>
  </sheetViews>
  <sheetFormatPr defaultRowHeight="15"/>
  <cols>
    <col min="1" max="1" width="5.140625" customWidth="1"/>
    <col min="2" max="2" width="18.28515625" customWidth="1"/>
    <col min="3" max="3" width="5.7109375" style="24" customWidth="1"/>
    <col min="4" max="4" width="11.5703125" style="16" customWidth="1"/>
    <col min="5" max="10" width="9.7109375" style="9" customWidth="1"/>
    <col min="11" max="11" width="5.7109375" style="11" customWidth="1"/>
    <col min="12" max="17" width="9.7109375" style="9" customWidth="1"/>
    <col min="18" max="18" width="5.7109375" style="14" customWidth="1"/>
    <col min="19" max="24" width="9.7109375" style="2" customWidth="1"/>
    <col min="25" max="25" width="4.140625" style="2" customWidth="1"/>
    <col min="26" max="31" width="9.7109375" style="2" customWidth="1"/>
    <col min="32" max="32" width="13.7109375" style="10" customWidth="1"/>
  </cols>
  <sheetData>
    <row r="1" spans="1:32" ht="15.75">
      <c r="A1" s="25"/>
      <c r="B1" s="37"/>
      <c r="C1" s="17"/>
      <c r="D1" s="15"/>
      <c r="E1" s="2"/>
      <c r="F1" s="2"/>
      <c r="G1" s="2"/>
      <c r="H1" s="2"/>
      <c r="I1" s="2"/>
      <c r="J1" s="2"/>
      <c r="L1" s="2"/>
      <c r="M1" s="2"/>
      <c r="N1" s="2"/>
      <c r="O1" s="2"/>
      <c r="P1" s="2"/>
      <c r="Q1" s="2"/>
      <c r="AF1" s="1"/>
    </row>
    <row r="2" spans="1:32" ht="15.75">
      <c r="A2" s="1" t="s">
        <v>161</v>
      </c>
      <c r="B2" s="3"/>
      <c r="C2" s="18"/>
      <c r="D2" s="15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AF2" s="1"/>
    </row>
    <row r="3" spans="1:32" ht="15.75">
      <c r="A3" s="11" t="s">
        <v>148</v>
      </c>
      <c r="B3" s="3"/>
      <c r="C3" s="18"/>
      <c r="D3" s="15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AF3" s="1"/>
    </row>
    <row r="4" spans="1:32" ht="15.75">
      <c r="A4" s="3"/>
      <c r="B4" s="39">
        <v>40344</v>
      </c>
      <c r="C4" s="19"/>
      <c r="D4" s="15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AF4" s="1"/>
    </row>
    <row r="5" spans="1:32" ht="15.75">
      <c r="A5" s="3"/>
      <c r="B5" s="3"/>
      <c r="C5" s="20" t="s">
        <v>153</v>
      </c>
      <c r="D5" s="47">
        <v>2009</v>
      </c>
      <c r="E5" s="59" t="s">
        <v>0</v>
      </c>
      <c r="F5" s="59"/>
      <c r="G5" s="59"/>
      <c r="H5" s="59"/>
      <c r="I5" s="59"/>
      <c r="J5" s="59"/>
      <c r="K5" s="12"/>
      <c r="L5" s="59" t="s">
        <v>1</v>
      </c>
      <c r="M5" s="59"/>
      <c r="N5" s="59"/>
      <c r="O5" s="59"/>
      <c r="P5" s="59"/>
      <c r="Q5" s="59"/>
      <c r="R5" s="12"/>
      <c r="S5" s="59" t="s">
        <v>2</v>
      </c>
      <c r="T5" s="59"/>
      <c r="U5" s="59"/>
      <c r="V5" s="59"/>
      <c r="W5" s="59"/>
      <c r="X5" s="59"/>
      <c r="Y5" s="26"/>
      <c r="Z5" s="59" t="s">
        <v>3</v>
      </c>
      <c r="AA5" s="59"/>
      <c r="AB5" s="59"/>
      <c r="AC5" s="59"/>
      <c r="AD5" s="59"/>
      <c r="AE5" s="59"/>
      <c r="AF5" s="1"/>
    </row>
    <row r="6" spans="1:32" s="7" customFormat="1" ht="15.75">
      <c r="A6" s="4"/>
      <c r="B6" s="5" t="s">
        <v>4</v>
      </c>
      <c r="C6" s="21" t="s">
        <v>154</v>
      </c>
      <c r="D6" s="40" t="s">
        <v>157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43" t="s">
        <v>10</v>
      </c>
      <c r="K6" s="12"/>
      <c r="L6" s="6" t="s">
        <v>5</v>
      </c>
      <c r="M6" s="6" t="s">
        <v>11</v>
      </c>
      <c r="N6" s="6" t="s">
        <v>6</v>
      </c>
      <c r="O6" s="6" t="s">
        <v>7</v>
      </c>
      <c r="P6" s="6" t="s">
        <v>12</v>
      </c>
      <c r="Q6" s="43" t="s">
        <v>10</v>
      </c>
      <c r="R6" s="12"/>
      <c r="S6" s="6" t="s">
        <v>5</v>
      </c>
      <c r="T6" s="6" t="s">
        <v>6</v>
      </c>
      <c r="U6" s="6" t="s">
        <v>7</v>
      </c>
      <c r="V6" s="6" t="s">
        <v>8</v>
      </c>
      <c r="W6" s="6" t="s">
        <v>9</v>
      </c>
      <c r="X6" s="6" t="s">
        <v>10</v>
      </c>
      <c r="Y6" s="6"/>
      <c r="Z6" s="6" t="s">
        <v>5</v>
      </c>
      <c r="AA6" s="6" t="s">
        <v>11</v>
      </c>
      <c r="AB6" s="6" t="s">
        <v>6</v>
      </c>
      <c r="AC6" s="6" t="s">
        <v>7</v>
      </c>
      <c r="AD6" s="6" t="s">
        <v>12</v>
      </c>
      <c r="AE6" s="6" t="s">
        <v>10</v>
      </c>
      <c r="AF6" s="40" t="s">
        <v>13</v>
      </c>
    </row>
    <row r="7" spans="1:32" ht="15" customHeight="1">
      <c r="A7" s="3"/>
      <c r="B7" s="8"/>
      <c r="C7" s="22"/>
      <c r="D7" s="48" t="s">
        <v>155</v>
      </c>
      <c r="E7" s="56" t="s">
        <v>14</v>
      </c>
      <c r="F7" s="56" t="s">
        <v>15</v>
      </c>
      <c r="G7" s="56" t="s">
        <v>16</v>
      </c>
      <c r="H7" s="56" t="s">
        <v>17</v>
      </c>
      <c r="I7" s="56" t="s">
        <v>18</v>
      </c>
      <c r="J7" s="44" t="s">
        <v>149</v>
      </c>
      <c r="K7" s="12"/>
      <c r="L7" s="56" t="s">
        <v>19</v>
      </c>
      <c r="M7" s="56" t="s">
        <v>20</v>
      </c>
      <c r="N7" s="56" t="s">
        <v>21</v>
      </c>
      <c r="O7" s="56" t="s">
        <v>22</v>
      </c>
      <c r="P7" s="56" t="s">
        <v>23</v>
      </c>
      <c r="Q7" s="44" t="s">
        <v>25</v>
      </c>
      <c r="R7" s="12"/>
      <c r="S7" s="56" t="s">
        <v>14</v>
      </c>
      <c r="T7" s="56" t="s">
        <v>15</v>
      </c>
      <c r="U7" s="56" t="s">
        <v>16</v>
      </c>
      <c r="V7" s="56" t="s">
        <v>17</v>
      </c>
      <c r="W7" s="56" t="s">
        <v>18</v>
      </c>
      <c r="X7" s="56" t="s">
        <v>24</v>
      </c>
      <c r="Y7" s="38"/>
      <c r="Z7" s="56" t="s">
        <v>19</v>
      </c>
      <c r="AA7" s="56" t="s">
        <v>20</v>
      </c>
      <c r="AB7" s="56" t="s">
        <v>21</v>
      </c>
      <c r="AC7" s="56" t="s">
        <v>22</v>
      </c>
      <c r="AD7" s="56" t="s">
        <v>23</v>
      </c>
      <c r="AE7" s="56" t="s">
        <v>25</v>
      </c>
      <c r="AF7" s="40" t="s">
        <v>156</v>
      </c>
    </row>
    <row r="8" spans="1:32" ht="15" customHeight="1">
      <c r="A8" s="3">
        <v>1</v>
      </c>
      <c r="B8" s="8" t="s">
        <v>26</v>
      </c>
      <c r="C8" s="23" t="s">
        <v>150</v>
      </c>
      <c r="D8" s="41">
        <f t="shared" ref="D8:D39" si="0">SUM(E8:J8)+SUM(L8:Q8)</f>
        <v>573.6661315180362</v>
      </c>
      <c r="E8" s="57"/>
      <c r="F8" s="58">
        <v>170.93021754932403</v>
      </c>
      <c r="G8" s="58">
        <v>69.848059180676941</v>
      </c>
      <c r="H8" s="58">
        <v>141.53331949922443</v>
      </c>
      <c r="I8" s="58">
        <v>70.666133741080756</v>
      </c>
      <c r="J8" s="45">
        <v>120.68840154773004</v>
      </c>
      <c r="K8" s="13"/>
      <c r="L8" s="57"/>
      <c r="M8" s="57"/>
      <c r="N8" s="57"/>
      <c r="O8" s="57"/>
      <c r="P8" s="57"/>
      <c r="Q8" s="45" t="s">
        <v>27</v>
      </c>
      <c r="R8" s="13"/>
      <c r="S8" s="57"/>
      <c r="T8" s="58">
        <v>33.256999909877777</v>
      </c>
      <c r="U8" s="58">
        <v>14.608000099658966</v>
      </c>
      <c r="V8" s="58">
        <v>70.546000704169273</v>
      </c>
      <c r="W8" s="58">
        <v>113.78100028634071</v>
      </c>
      <c r="X8" s="58">
        <v>649.01897266507149</v>
      </c>
      <c r="Y8" s="27"/>
      <c r="Z8" s="57"/>
      <c r="AA8" s="57"/>
      <c r="AB8" s="57"/>
      <c r="AC8" s="57"/>
      <c r="AD8" s="57"/>
      <c r="AE8" s="57"/>
      <c r="AF8" s="41">
        <f t="shared" ref="AF8:AF39" si="1">SUM(S8:AE8)</f>
        <v>881.21097366511822</v>
      </c>
    </row>
    <row r="9" spans="1:32" ht="15" customHeight="1">
      <c r="A9" s="3">
        <v>2</v>
      </c>
      <c r="B9" s="8" t="s">
        <v>28</v>
      </c>
      <c r="C9" s="23" t="s">
        <v>150</v>
      </c>
      <c r="D9" s="41">
        <f t="shared" si="0"/>
        <v>449.70632208129695</v>
      </c>
      <c r="E9" s="57"/>
      <c r="F9" s="58">
        <v>108.86467630600929</v>
      </c>
      <c r="G9" s="58">
        <v>50.417570384740827</v>
      </c>
      <c r="H9" s="58">
        <v>144.98256504911186</v>
      </c>
      <c r="I9" s="58">
        <v>46.857329280495641</v>
      </c>
      <c r="J9" s="45">
        <v>98.584181060939287</v>
      </c>
      <c r="K9" s="13"/>
      <c r="L9" s="57"/>
      <c r="M9" s="57"/>
      <c r="N9" s="57"/>
      <c r="O9" s="57"/>
      <c r="P9" s="57"/>
      <c r="Q9" s="45" t="s">
        <v>27</v>
      </c>
      <c r="R9" s="13"/>
      <c r="S9" s="57"/>
      <c r="T9" s="58">
        <v>17.176000118255615</v>
      </c>
      <c r="U9" s="58">
        <v>10.582000076770782</v>
      </c>
      <c r="V9" s="58">
        <v>66.953001260757446</v>
      </c>
      <c r="W9" s="58">
        <v>74.906998872756958</v>
      </c>
      <c r="X9" s="58">
        <v>527.78099077939987</v>
      </c>
      <c r="Y9" s="27"/>
      <c r="Z9" s="57"/>
      <c r="AA9" s="57"/>
      <c r="AB9" s="57"/>
      <c r="AC9" s="57"/>
      <c r="AD9" s="57"/>
      <c r="AE9" s="57"/>
      <c r="AF9" s="41">
        <f t="shared" si="1"/>
        <v>697.39899110794067</v>
      </c>
    </row>
    <row r="10" spans="1:32" ht="15" customHeight="1">
      <c r="A10" s="3">
        <v>3</v>
      </c>
      <c r="B10" s="8" t="s">
        <v>29</v>
      </c>
      <c r="C10" s="23" t="s">
        <v>151</v>
      </c>
      <c r="D10" s="41">
        <f t="shared" si="0"/>
        <v>626.35742031198936</v>
      </c>
      <c r="E10" s="57"/>
      <c r="F10" s="58">
        <v>281.57361613178256</v>
      </c>
      <c r="G10" s="58">
        <v>27.663873716115951</v>
      </c>
      <c r="H10" s="58">
        <v>59.554651705741882</v>
      </c>
      <c r="I10" s="58">
        <v>21.955330538809299</v>
      </c>
      <c r="J10" s="45">
        <v>45.140240037383656</v>
      </c>
      <c r="K10" s="13"/>
      <c r="L10" s="57"/>
      <c r="M10" s="57"/>
      <c r="N10" s="58">
        <v>73.290119491815574</v>
      </c>
      <c r="O10" s="57"/>
      <c r="P10" s="58">
        <v>67.624814476549631</v>
      </c>
      <c r="Q10" s="45">
        <v>49.554774213790772</v>
      </c>
      <c r="R10" s="13"/>
      <c r="S10" s="57"/>
      <c r="T10" s="58">
        <v>21.00600004196167</v>
      </c>
      <c r="U10" s="58">
        <v>4.5869999527931213</v>
      </c>
      <c r="V10" s="58">
        <v>38.818000078201294</v>
      </c>
      <c r="W10" s="58">
        <v>34.965999692678452</v>
      </c>
      <c r="X10" s="58">
        <v>241.09399458114058</v>
      </c>
      <c r="Y10" s="27"/>
      <c r="Z10" s="57"/>
      <c r="AA10" s="57"/>
      <c r="AB10" s="58">
        <v>3.5759999752044678</v>
      </c>
      <c r="AC10" s="57"/>
      <c r="AD10" s="58">
        <v>8.878999799489975</v>
      </c>
      <c r="AE10" s="58">
        <v>55.657000005245209</v>
      </c>
      <c r="AF10" s="41">
        <f t="shared" si="1"/>
        <v>408.58299412671477</v>
      </c>
    </row>
    <row r="11" spans="1:32" ht="15" customHeight="1">
      <c r="A11" s="3">
        <v>4</v>
      </c>
      <c r="B11" s="8" t="s">
        <v>30</v>
      </c>
      <c r="C11" s="23" t="s">
        <v>150</v>
      </c>
      <c r="D11" s="41">
        <f t="shared" si="0"/>
        <v>254.00697672656631</v>
      </c>
      <c r="E11" s="57"/>
      <c r="F11" s="58">
        <v>129.3091068725586</v>
      </c>
      <c r="G11" s="58">
        <v>12.880571949005127</v>
      </c>
      <c r="H11" s="58">
        <v>48.798384729623791</v>
      </c>
      <c r="I11" s="58">
        <v>23.612449070848523</v>
      </c>
      <c r="J11" s="45">
        <v>39.406464104530279</v>
      </c>
      <c r="K11" s="13"/>
      <c r="L11" s="57"/>
      <c r="M11" s="57"/>
      <c r="N11" s="57"/>
      <c r="O11" s="57"/>
      <c r="P11" s="57"/>
      <c r="Q11" s="45" t="s">
        <v>27</v>
      </c>
      <c r="R11" s="13"/>
      <c r="S11" s="57"/>
      <c r="T11" s="58">
        <v>25.234000205993652</v>
      </c>
      <c r="U11" s="58">
        <v>8.6889999508857727</v>
      </c>
      <c r="V11" s="58">
        <v>25.191999912261963</v>
      </c>
      <c r="W11" s="58">
        <v>65.533000636845827</v>
      </c>
      <c r="X11" s="58">
        <v>297.78300634026527</v>
      </c>
      <c r="Y11" s="27"/>
      <c r="Z11" s="57"/>
      <c r="AA11" s="57"/>
      <c r="AB11" s="57"/>
      <c r="AC11" s="57"/>
      <c r="AD11" s="57"/>
      <c r="AE11" s="57"/>
      <c r="AF11" s="41">
        <f t="shared" si="1"/>
        <v>422.43100704625249</v>
      </c>
    </row>
    <row r="12" spans="1:32" ht="15" customHeight="1">
      <c r="A12" s="3">
        <v>5</v>
      </c>
      <c r="B12" s="8" t="s">
        <v>31</v>
      </c>
      <c r="C12" s="23" t="s">
        <v>151</v>
      </c>
      <c r="D12" s="41">
        <f t="shared" si="0"/>
        <v>1556.0967693556579</v>
      </c>
      <c r="E12" s="58">
        <v>307.45979450964927</v>
      </c>
      <c r="F12" s="58">
        <v>141.13440909385682</v>
      </c>
      <c r="G12" s="58">
        <v>223.2258681294918</v>
      </c>
      <c r="H12" s="58">
        <v>218.97581800973416</v>
      </c>
      <c r="I12" s="58">
        <v>115.41653356128931</v>
      </c>
      <c r="J12" s="45">
        <v>159.40539183763335</v>
      </c>
      <c r="K12" s="13"/>
      <c r="L12" s="57"/>
      <c r="M12" s="58">
        <v>40.866011753559114</v>
      </c>
      <c r="N12" s="58">
        <v>135.24982735562324</v>
      </c>
      <c r="O12" s="58">
        <v>81.72915290820599</v>
      </c>
      <c r="P12" s="58">
        <v>68.41126106549055</v>
      </c>
      <c r="Q12" s="45">
        <v>64.222701131124509</v>
      </c>
      <c r="R12" s="13"/>
      <c r="S12" s="58">
        <v>8.4379999041557312</v>
      </c>
      <c r="T12" s="58">
        <v>17.928999900817871</v>
      </c>
      <c r="U12" s="58">
        <v>30.101000726222992</v>
      </c>
      <c r="V12" s="58">
        <v>81.278999835252762</v>
      </c>
      <c r="W12" s="58">
        <v>127.37300023436546</v>
      </c>
      <c r="X12" s="58">
        <v>677.01300156116486</v>
      </c>
      <c r="Y12" s="27"/>
      <c r="Z12" s="57"/>
      <c r="AA12" s="58">
        <v>4.4279999732971191</v>
      </c>
      <c r="AB12" s="58">
        <v>8.0799999386072159</v>
      </c>
      <c r="AC12" s="58">
        <v>10.524999976158142</v>
      </c>
      <c r="AD12" s="58">
        <v>14.742999840527773</v>
      </c>
      <c r="AE12" s="58">
        <v>98.305996537208557</v>
      </c>
      <c r="AF12" s="41">
        <f t="shared" si="1"/>
        <v>1078.2149984277785</v>
      </c>
    </row>
    <row r="13" spans="1:32" ht="15" customHeight="1">
      <c r="A13" s="3">
        <v>6</v>
      </c>
      <c r="B13" s="8" t="s">
        <v>32</v>
      </c>
      <c r="C13" s="23" t="s">
        <v>150</v>
      </c>
      <c r="D13" s="41">
        <f t="shared" si="0"/>
        <v>482.95754066394096</v>
      </c>
      <c r="E13" s="58">
        <v>241.57305104732512</v>
      </c>
      <c r="F13" s="57"/>
      <c r="G13" s="58">
        <v>35.586048309326173</v>
      </c>
      <c r="H13" s="58">
        <v>111.93335673052073</v>
      </c>
      <c r="I13" s="58">
        <v>36.213058106184008</v>
      </c>
      <c r="J13" s="45">
        <v>57.652026470585007</v>
      </c>
      <c r="K13" s="13"/>
      <c r="L13" s="57"/>
      <c r="M13" s="57"/>
      <c r="N13" s="57"/>
      <c r="O13" s="57"/>
      <c r="P13" s="57"/>
      <c r="Q13" s="45" t="s">
        <v>27</v>
      </c>
      <c r="R13" s="13"/>
      <c r="S13" s="58">
        <v>13.308000087738037</v>
      </c>
      <c r="T13" s="57"/>
      <c r="U13" s="58">
        <v>12.288000106811523</v>
      </c>
      <c r="V13" s="58">
        <v>52.215000033378601</v>
      </c>
      <c r="W13" s="58">
        <v>61.932000577449799</v>
      </c>
      <c r="X13" s="58">
        <v>321.93698936700821</v>
      </c>
      <c r="Y13" s="27"/>
      <c r="Z13" s="57"/>
      <c r="AA13" s="57"/>
      <c r="AB13" s="57"/>
      <c r="AC13" s="57"/>
      <c r="AD13" s="57"/>
      <c r="AE13" s="57"/>
      <c r="AF13" s="41">
        <f t="shared" si="1"/>
        <v>461.67999017238617</v>
      </c>
    </row>
    <row r="14" spans="1:32" ht="15" customHeight="1">
      <c r="A14" s="3">
        <v>7</v>
      </c>
      <c r="B14" s="8" t="s">
        <v>33</v>
      </c>
      <c r="C14" s="23" t="s">
        <v>151</v>
      </c>
      <c r="D14" s="41">
        <f t="shared" si="0"/>
        <v>784.26967199805347</v>
      </c>
      <c r="E14" s="57"/>
      <c r="F14" s="58">
        <v>393.11231314086916</v>
      </c>
      <c r="G14" s="57"/>
      <c r="H14" s="58">
        <v>132.57474538594485</v>
      </c>
      <c r="I14" s="58">
        <v>27.203570055544375</v>
      </c>
      <c r="J14" s="45">
        <v>55.903263415842432</v>
      </c>
      <c r="K14" s="13"/>
      <c r="L14" s="57"/>
      <c r="M14" s="57"/>
      <c r="N14" s="58">
        <v>42.755040382146838</v>
      </c>
      <c r="O14" s="58">
        <v>62.157744236856701</v>
      </c>
      <c r="P14" s="58">
        <v>35.639714076459406</v>
      </c>
      <c r="Q14" s="45">
        <v>34.923281304389825</v>
      </c>
      <c r="R14" s="13"/>
      <c r="S14" s="57"/>
      <c r="T14" s="58">
        <v>32.560000047087669</v>
      </c>
      <c r="U14" s="57"/>
      <c r="V14" s="58">
        <v>97.845000639557838</v>
      </c>
      <c r="W14" s="58">
        <v>44.234000027179718</v>
      </c>
      <c r="X14" s="58">
        <v>302.48099879920483</v>
      </c>
      <c r="Y14" s="27"/>
      <c r="Z14" s="57"/>
      <c r="AA14" s="57"/>
      <c r="AB14" s="58">
        <v>1.9710000157356262</v>
      </c>
      <c r="AC14" s="58">
        <v>7.7429999858140945</v>
      </c>
      <c r="AD14" s="58">
        <v>11.373999997973442</v>
      </c>
      <c r="AE14" s="58">
        <v>68.124998778104782</v>
      </c>
      <c r="AF14" s="41">
        <f t="shared" si="1"/>
        <v>566.332998290658</v>
      </c>
    </row>
    <row r="15" spans="1:32" ht="15" customHeight="1">
      <c r="A15" s="3">
        <v>8</v>
      </c>
      <c r="B15" s="8" t="s">
        <v>34</v>
      </c>
      <c r="C15" s="23" t="s">
        <v>152</v>
      </c>
      <c r="D15" s="41">
        <f t="shared" si="0"/>
        <v>3883.5830881050706</v>
      </c>
      <c r="E15" s="58">
        <v>689.63277132511143</v>
      </c>
      <c r="F15" s="57"/>
      <c r="G15" s="57"/>
      <c r="H15" s="58">
        <v>152.67913153439761</v>
      </c>
      <c r="I15" s="58">
        <v>65.950597920656207</v>
      </c>
      <c r="J15" s="45">
        <v>65.409412209890348</v>
      </c>
      <c r="K15" s="13"/>
      <c r="L15" s="58">
        <v>1463.8413161108494</v>
      </c>
      <c r="M15" s="57"/>
      <c r="N15" s="58">
        <v>367.02293007212876</v>
      </c>
      <c r="O15" s="58">
        <v>685.44583668842915</v>
      </c>
      <c r="P15" s="58">
        <v>150.25627359414099</v>
      </c>
      <c r="Q15" s="45">
        <v>243.34481864946645</v>
      </c>
      <c r="R15" s="13"/>
      <c r="S15" s="58">
        <v>17.338000237941742</v>
      </c>
      <c r="T15" s="57"/>
      <c r="U15" s="57"/>
      <c r="V15" s="58">
        <v>58.739999383687973</v>
      </c>
      <c r="W15" s="58">
        <v>46.930999755859375</v>
      </c>
      <c r="X15" s="58">
        <v>210.89900180697441</v>
      </c>
      <c r="Y15" s="27"/>
      <c r="Z15" s="58">
        <v>16.645000219345093</v>
      </c>
      <c r="AA15" s="57"/>
      <c r="AB15" s="58">
        <v>13.166999861598015</v>
      </c>
      <c r="AC15" s="58">
        <v>49.711000233888626</v>
      </c>
      <c r="AD15" s="58">
        <v>25.388000011444092</v>
      </c>
      <c r="AE15" s="58">
        <v>320.28000541031361</v>
      </c>
      <c r="AF15" s="41">
        <f t="shared" si="1"/>
        <v>759.09900692105293</v>
      </c>
    </row>
    <row r="16" spans="1:32" ht="15" customHeight="1">
      <c r="A16" s="3">
        <v>9</v>
      </c>
      <c r="B16" s="8" t="s">
        <v>35</v>
      </c>
      <c r="C16" s="23" t="s">
        <v>151</v>
      </c>
      <c r="D16" s="41">
        <f t="shared" si="0"/>
        <v>560.20018568591172</v>
      </c>
      <c r="E16" s="57"/>
      <c r="F16" s="58">
        <v>181.14494621372222</v>
      </c>
      <c r="G16" s="58">
        <v>79.179724426746375</v>
      </c>
      <c r="H16" s="58">
        <v>32.915701102256776</v>
      </c>
      <c r="I16" s="58">
        <v>56.968435292184353</v>
      </c>
      <c r="J16" s="45">
        <v>39.330040565185364</v>
      </c>
      <c r="K16" s="13"/>
      <c r="L16" s="57"/>
      <c r="M16" s="57"/>
      <c r="N16" s="58">
        <v>79.20820780616998</v>
      </c>
      <c r="O16" s="58">
        <v>44.330085244834422</v>
      </c>
      <c r="P16" s="58">
        <v>24.891823149025441</v>
      </c>
      <c r="Q16" s="45">
        <v>22.231221885786827</v>
      </c>
      <c r="R16" s="13"/>
      <c r="S16" s="57"/>
      <c r="T16" s="58">
        <v>20.353000164031982</v>
      </c>
      <c r="U16" s="58">
        <v>29.198000192642212</v>
      </c>
      <c r="V16" s="58">
        <v>25.367999315261841</v>
      </c>
      <c r="W16" s="58">
        <v>67.84099942445755</v>
      </c>
      <c r="X16" s="58">
        <v>175.11399595998228</v>
      </c>
      <c r="Y16" s="27"/>
      <c r="Z16" s="57"/>
      <c r="AA16" s="57"/>
      <c r="AB16" s="58">
        <v>5.8960000872612</v>
      </c>
      <c r="AC16" s="58">
        <v>5.773999959230423</v>
      </c>
      <c r="AD16" s="58">
        <v>8.9810000211000443</v>
      </c>
      <c r="AE16" s="58">
        <v>47.478000164031982</v>
      </c>
      <c r="AF16" s="41">
        <f t="shared" si="1"/>
        <v>386.00299528799951</v>
      </c>
    </row>
    <row r="17" spans="1:32" ht="15" customHeight="1">
      <c r="A17" s="3">
        <v>10</v>
      </c>
      <c r="B17" s="8" t="s">
        <v>36</v>
      </c>
      <c r="C17" s="23" t="s">
        <v>152</v>
      </c>
      <c r="D17" s="41">
        <f t="shared" si="0"/>
        <v>1375.0947869326556</v>
      </c>
      <c r="E17" s="58">
        <v>208.7770982336998</v>
      </c>
      <c r="F17" s="58">
        <v>137.99846540307999</v>
      </c>
      <c r="G17" s="57"/>
      <c r="H17" s="58">
        <v>109.2493252196908</v>
      </c>
      <c r="I17" s="58">
        <v>29.672076859682797</v>
      </c>
      <c r="J17" s="45">
        <v>44.912535562046713</v>
      </c>
      <c r="K17" s="13"/>
      <c r="L17" s="57"/>
      <c r="M17" s="57"/>
      <c r="N17" s="58">
        <v>481.86685843000936</v>
      </c>
      <c r="O17" s="58">
        <v>138.9527670069337</v>
      </c>
      <c r="P17" s="58">
        <v>90.308187724262481</v>
      </c>
      <c r="Q17" s="45">
        <v>133.35747249324984</v>
      </c>
      <c r="R17" s="13"/>
      <c r="S17" s="58">
        <v>10.695000171661377</v>
      </c>
      <c r="T17" s="58">
        <v>12.376999616622925</v>
      </c>
      <c r="U17" s="57"/>
      <c r="V17" s="58">
        <v>30.666999727487564</v>
      </c>
      <c r="W17" s="58">
        <v>34.448999896645546</v>
      </c>
      <c r="X17" s="58">
        <v>196.88800011388958</v>
      </c>
      <c r="Y17" s="27"/>
      <c r="Z17" s="57"/>
      <c r="AA17" s="57"/>
      <c r="AB17" s="58">
        <v>22.957999832928181</v>
      </c>
      <c r="AC17" s="58">
        <v>21.967999987304211</v>
      </c>
      <c r="AD17" s="58">
        <v>25.039999917149544</v>
      </c>
      <c r="AE17" s="58">
        <v>238.94199781492352</v>
      </c>
      <c r="AF17" s="41">
        <f t="shared" si="1"/>
        <v>593.98399707861245</v>
      </c>
    </row>
    <row r="18" spans="1:32" ht="15" customHeight="1">
      <c r="A18" s="3">
        <v>11</v>
      </c>
      <c r="B18" s="8" t="s">
        <v>37</v>
      </c>
      <c r="C18" s="23" t="s">
        <v>151</v>
      </c>
      <c r="D18" s="41">
        <f t="shared" si="0"/>
        <v>712.96779691270831</v>
      </c>
      <c r="E18" s="57"/>
      <c r="F18" s="58">
        <v>122.39900634232536</v>
      </c>
      <c r="G18" s="58">
        <v>96.816449147045617</v>
      </c>
      <c r="H18" s="58">
        <v>32.044265702724459</v>
      </c>
      <c r="I18" s="58">
        <v>36.688405010938645</v>
      </c>
      <c r="J18" s="45">
        <v>49.53015453708403</v>
      </c>
      <c r="K18" s="13"/>
      <c r="L18" s="57"/>
      <c r="M18" s="57"/>
      <c r="N18" s="58">
        <v>240.49067194300889</v>
      </c>
      <c r="O18" s="58">
        <v>34.940173913061621</v>
      </c>
      <c r="P18" s="58">
        <v>45.404370024165139</v>
      </c>
      <c r="Q18" s="45">
        <v>54.654300292354627</v>
      </c>
      <c r="R18" s="13"/>
      <c r="S18" s="57"/>
      <c r="T18" s="58">
        <v>11.273000032640994</v>
      </c>
      <c r="U18" s="58">
        <v>26.235000491142273</v>
      </c>
      <c r="V18" s="58">
        <v>13.703999996185303</v>
      </c>
      <c r="W18" s="58">
        <v>37.537999734282494</v>
      </c>
      <c r="X18" s="58">
        <v>200.64500278234482</v>
      </c>
      <c r="Y18" s="27"/>
      <c r="Z18" s="57"/>
      <c r="AA18" s="57"/>
      <c r="AB18" s="58">
        <v>17.189000159502029</v>
      </c>
      <c r="AC18" s="58">
        <v>6.7550000101327896</v>
      </c>
      <c r="AD18" s="58">
        <v>10.524999944376759</v>
      </c>
      <c r="AE18" s="58">
        <v>87.559003621339798</v>
      </c>
      <c r="AF18" s="41">
        <f t="shared" si="1"/>
        <v>411.42300677194726</v>
      </c>
    </row>
    <row r="19" spans="1:32" ht="15" customHeight="1">
      <c r="A19" s="3">
        <v>12</v>
      </c>
      <c r="B19" s="8" t="s">
        <v>38</v>
      </c>
      <c r="C19" s="23" t="s">
        <v>150</v>
      </c>
      <c r="D19" s="41">
        <f t="shared" si="0"/>
        <v>272.06165226965601</v>
      </c>
      <c r="E19" s="57"/>
      <c r="F19" s="58">
        <v>133.5149738330841</v>
      </c>
      <c r="G19" s="57"/>
      <c r="H19" s="58">
        <v>86.034752219259744</v>
      </c>
      <c r="I19" s="58">
        <v>19.548759194254874</v>
      </c>
      <c r="J19" s="45">
        <v>32.963167023057316</v>
      </c>
      <c r="K19" s="13"/>
      <c r="L19" s="57"/>
      <c r="M19" s="57"/>
      <c r="N19" s="57"/>
      <c r="O19" s="57"/>
      <c r="P19" s="57"/>
      <c r="Q19" s="45" t="s">
        <v>27</v>
      </c>
      <c r="R19" s="13"/>
      <c r="S19" s="57"/>
      <c r="T19" s="58">
        <v>19.856999397277832</v>
      </c>
      <c r="U19" s="57"/>
      <c r="V19" s="58">
        <v>61.440000593662262</v>
      </c>
      <c r="W19" s="58">
        <v>47.580000281333923</v>
      </c>
      <c r="X19" s="58">
        <v>229.4770011305809</v>
      </c>
      <c r="Y19" s="27"/>
      <c r="Z19" s="57"/>
      <c r="AA19" s="57"/>
      <c r="AB19" s="57"/>
      <c r="AC19" s="57"/>
      <c r="AD19" s="57"/>
      <c r="AE19" s="57"/>
      <c r="AF19" s="41">
        <f t="shared" si="1"/>
        <v>358.35400140285492</v>
      </c>
    </row>
    <row r="20" spans="1:32" ht="15" customHeight="1">
      <c r="A20" s="3">
        <v>13</v>
      </c>
      <c r="B20" s="8" t="s">
        <v>39</v>
      </c>
      <c r="C20" s="23" t="s">
        <v>150</v>
      </c>
      <c r="D20" s="41">
        <f t="shared" si="0"/>
        <v>426.85078956241125</v>
      </c>
      <c r="E20" s="57"/>
      <c r="F20" s="58">
        <v>192.67209825861454</v>
      </c>
      <c r="G20" s="57"/>
      <c r="H20" s="58">
        <v>114.80401907432079</v>
      </c>
      <c r="I20" s="58">
        <v>64.017298143222931</v>
      </c>
      <c r="J20" s="45">
        <v>55.357374086252939</v>
      </c>
      <c r="K20" s="13"/>
      <c r="L20" s="57"/>
      <c r="M20" s="57"/>
      <c r="N20" s="57"/>
      <c r="O20" s="57"/>
      <c r="P20" s="57"/>
      <c r="Q20" s="45" t="s">
        <v>27</v>
      </c>
      <c r="R20" s="13"/>
      <c r="S20" s="57"/>
      <c r="T20" s="58">
        <v>26.445999979972839</v>
      </c>
      <c r="U20" s="57"/>
      <c r="V20" s="58">
        <v>76.11699914932251</v>
      </c>
      <c r="W20" s="58">
        <v>128.66800025105476</v>
      </c>
      <c r="X20" s="58">
        <v>341.93599569797516</v>
      </c>
      <c r="Y20" s="27"/>
      <c r="Z20" s="57"/>
      <c r="AA20" s="57"/>
      <c r="AB20" s="57"/>
      <c r="AC20" s="57"/>
      <c r="AD20" s="57"/>
      <c r="AE20" s="57"/>
      <c r="AF20" s="41">
        <f t="shared" si="1"/>
        <v>573.16699507832527</v>
      </c>
    </row>
    <row r="21" spans="1:32" ht="15" customHeight="1">
      <c r="A21" s="3">
        <v>14</v>
      </c>
      <c r="B21" s="8" t="s">
        <v>40</v>
      </c>
      <c r="C21" s="23" t="s">
        <v>150</v>
      </c>
      <c r="D21" s="41">
        <f t="shared" si="0"/>
        <v>473.49527426839506</v>
      </c>
      <c r="E21" s="57"/>
      <c r="F21" s="58">
        <v>154.99403342366219</v>
      </c>
      <c r="G21" s="58">
        <v>49.724436384201049</v>
      </c>
      <c r="H21" s="58">
        <v>92.851208120703703</v>
      </c>
      <c r="I21" s="58">
        <v>65.515430639430875</v>
      </c>
      <c r="J21" s="45">
        <v>110.41016570039724</v>
      </c>
      <c r="K21" s="13"/>
      <c r="L21" s="57"/>
      <c r="M21" s="57"/>
      <c r="N21" s="57"/>
      <c r="O21" s="57"/>
      <c r="P21" s="57"/>
      <c r="Q21" s="45" t="s">
        <v>27</v>
      </c>
      <c r="R21" s="13"/>
      <c r="S21" s="57"/>
      <c r="T21" s="58">
        <v>31.811000347137451</v>
      </c>
      <c r="U21" s="58">
        <v>17.597000122070313</v>
      </c>
      <c r="V21" s="58">
        <v>65.52799978107214</v>
      </c>
      <c r="W21" s="58">
        <v>126.80199961364269</v>
      </c>
      <c r="X21" s="58">
        <v>666.09701545536518</v>
      </c>
      <c r="Y21" s="27"/>
      <c r="Z21" s="57"/>
      <c r="AA21" s="57"/>
      <c r="AB21" s="57"/>
      <c r="AC21" s="57"/>
      <c r="AD21" s="57"/>
      <c r="AE21" s="57"/>
      <c r="AF21" s="41">
        <f t="shared" si="1"/>
        <v>907.83501531928778</v>
      </c>
    </row>
    <row r="22" spans="1:32" ht="15" customHeight="1">
      <c r="A22" s="3">
        <v>15</v>
      </c>
      <c r="B22" s="8" t="s">
        <v>41</v>
      </c>
      <c r="C22" s="23" t="s">
        <v>158</v>
      </c>
      <c r="D22" s="41">
        <f t="shared" si="0"/>
        <v>2394.7892927123212</v>
      </c>
      <c r="E22" s="58">
        <v>661.44269031524664</v>
      </c>
      <c r="F22" s="58">
        <v>8.2822998613119125</v>
      </c>
      <c r="G22" s="58">
        <v>165.08726535892487</v>
      </c>
      <c r="H22" s="58">
        <v>71.326378433942793</v>
      </c>
      <c r="I22" s="58">
        <v>50.476154092192651</v>
      </c>
      <c r="J22" s="45">
        <v>80.537661340792624</v>
      </c>
      <c r="K22" s="13"/>
      <c r="L22" s="58">
        <v>663.94371578693392</v>
      </c>
      <c r="M22" s="57"/>
      <c r="N22" s="58">
        <v>352.41019349393247</v>
      </c>
      <c r="O22" s="58">
        <v>124.62538181889057</v>
      </c>
      <c r="P22" s="58">
        <v>49.436857173621654</v>
      </c>
      <c r="Q22" s="45">
        <v>167.22069503653125</v>
      </c>
      <c r="R22" s="13"/>
      <c r="S22" s="58">
        <v>12.266000270843506</v>
      </c>
      <c r="T22" s="58">
        <v>0.29899999499320984</v>
      </c>
      <c r="U22" s="58">
        <v>24.109999746084213</v>
      </c>
      <c r="V22" s="58">
        <v>19.843999683856964</v>
      </c>
      <c r="W22" s="58">
        <v>47.556000977754593</v>
      </c>
      <c r="X22" s="58">
        <v>309.86700028181076</v>
      </c>
      <c r="Y22" s="27"/>
      <c r="Z22" s="58">
        <v>7.6060001850128174</v>
      </c>
      <c r="AA22" s="57"/>
      <c r="AB22" s="58">
        <v>26.609000146389008</v>
      </c>
      <c r="AC22" s="58">
        <v>16.520999938249588</v>
      </c>
      <c r="AD22" s="58">
        <v>10.615000039339066</v>
      </c>
      <c r="AE22" s="58">
        <v>255.3810013756156</v>
      </c>
      <c r="AF22" s="41">
        <f t="shared" si="1"/>
        <v>730.67400263994932</v>
      </c>
    </row>
    <row r="23" spans="1:32" ht="15" customHeight="1">
      <c r="A23" s="3">
        <v>16</v>
      </c>
      <c r="B23" s="8" t="s">
        <v>42</v>
      </c>
      <c r="C23" s="23" t="s">
        <v>150</v>
      </c>
      <c r="D23" s="41">
        <f t="shared" si="0"/>
        <v>460.36615741664679</v>
      </c>
      <c r="E23" s="57"/>
      <c r="F23" s="58">
        <v>164.38300773811341</v>
      </c>
      <c r="G23" s="57"/>
      <c r="H23" s="58">
        <v>188.23554742494227</v>
      </c>
      <c r="I23" s="58">
        <v>39.122580671429631</v>
      </c>
      <c r="J23" s="45">
        <v>68.625021582161423</v>
      </c>
      <c r="K23" s="13"/>
      <c r="L23" s="57"/>
      <c r="M23" s="57"/>
      <c r="N23" s="57"/>
      <c r="O23" s="57"/>
      <c r="P23" s="57"/>
      <c r="Q23" s="45" t="s">
        <v>27</v>
      </c>
      <c r="R23" s="13"/>
      <c r="S23" s="57"/>
      <c r="T23" s="58">
        <v>17.786000311374664</v>
      </c>
      <c r="U23" s="57"/>
      <c r="V23" s="58">
        <v>90.860999792814255</v>
      </c>
      <c r="W23" s="58">
        <v>92.147999823093414</v>
      </c>
      <c r="X23" s="58">
        <v>468.04898992180824</v>
      </c>
      <c r="Y23" s="27"/>
      <c r="Z23" s="57"/>
      <c r="AA23" s="57"/>
      <c r="AB23" s="57"/>
      <c r="AC23" s="57"/>
      <c r="AD23" s="57"/>
      <c r="AE23" s="57"/>
      <c r="AF23" s="41">
        <f t="shared" si="1"/>
        <v>668.84398984909058</v>
      </c>
    </row>
    <row r="24" spans="1:32" ht="15" customHeight="1">
      <c r="A24" s="3">
        <v>17</v>
      </c>
      <c r="B24" s="8" t="s">
        <v>43</v>
      </c>
      <c r="C24" s="23" t="s">
        <v>151</v>
      </c>
      <c r="D24" s="41">
        <f t="shared" si="0"/>
        <v>482.16504424099276</v>
      </c>
      <c r="E24" s="58">
        <v>42.122284864425659</v>
      </c>
      <c r="F24" s="58">
        <v>138.84460453271865</v>
      </c>
      <c r="G24" s="57"/>
      <c r="H24" s="58">
        <v>116.19524470117688</v>
      </c>
      <c r="I24" s="58">
        <v>21.896529035270213</v>
      </c>
      <c r="J24" s="45">
        <v>47.121131412386035</v>
      </c>
      <c r="K24" s="13"/>
      <c r="L24" s="57"/>
      <c r="M24" s="57"/>
      <c r="N24" s="58">
        <v>16.306999802589417</v>
      </c>
      <c r="O24" s="58">
        <v>75.319496665164834</v>
      </c>
      <c r="P24" s="58">
        <v>4.0691119823083284</v>
      </c>
      <c r="Q24" s="45">
        <v>20.289641244952776</v>
      </c>
      <c r="R24" s="13"/>
      <c r="S24" s="58">
        <v>2.5469999313354492</v>
      </c>
      <c r="T24" s="58">
        <v>19.365000516176224</v>
      </c>
      <c r="U24" s="57"/>
      <c r="V24" s="58">
        <v>75.201000899076462</v>
      </c>
      <c r="W24" s="58">
        <v>66.792000353336334</v>
      </c>
      <c r="X24" s="58">
        <v>377.73201170191169</v>
      </c>
      <c r="Y24" s="27"/>
      <c r="Z24" s="57"/>
      <c r="AA24" s="57"/>
      <c r="AB24" s="58">
        <v>1.4179999828338623</v>
      </c>
      <c r="AC24" s="58">
        <v>14.86599975451827</v>
      </c>
      <c r="AD24" s="58">
        <v>1.9769999869167805</v>
      </c>
      <c r="AE24" s="58">
        <v>51.611998468637466</v>
      </c>
      <c r="AF24" s="41">
        <f t="shared" si="1"/>
        <v>611.51001159474254</v>
      </c>
    </row>
    <row r="25" spans="1:32" ht="15" customHeight="1">
      <c r="A25" s="3">
        <v>18</v>
      </c>
      <c r="B25" s="8" t="s">
        <v>44</v>
      </c>
      <c r="C25" s="23" t="s">
        <v>151</v>
      </c>
      <c r="D25" s="41">
        <f t="shared" si="0"/>
        <v>957.23557504979885</v>
      </c>
      <c r="E25" s="57"/>
      <c r="F25" s="58">
        <v>230.14614890694619</v>
      </c>
      <c r="G25" s="58">
        <v>23.078818811178209</v>
      </c>
      <c r="H25" s="58">
        <v>147.51469068408014</v>
      </c>
      <c r="I25" s="58">
        <v>69.958387919604775</v>
      </c>
      <c r="J25" s="45">
        <v>174.24992996113451</v>
      </c>
      <c r="K25" s="13"/>
      <c r="L25" s="57"/>
      <c r="M25" s="57"/>
      <c r="N25" s="58">
        <v>101.60408313298225</v>
      </c>
      <c r="O25" s="58">
        <v>96.538908204793927</v>
      </c>
      <c r="P25" s="58">
        <v>47.51151500377059</v>
      </c>
      <c r="Q25" s="45">
        <v>66.633092425308249</v>
      </c>
      <c r="R25" s="13"/>
      <c r="S25" s="57"/>
      <c r="T25" s="58">
        <v>33.353000283241272</v>
      </c>
      <c r="U25" s="58">
        <v>3.4960001111030579</v>
      </c>
      <c r="V25" s="58">
        <v>40.210999965667725</v>
      </c>
      <c r="W25" s="58">
        <v>82.012000530958176</v>
      </c>
      <c r="X25" s="58">
        <v>768.51797762513161</v>
      </c>
      <c r="Y25" s="27"/>
      <c r="Z25" s="57"/>
      <c r="AA25" s="57"/>
      <c r="AB25" s="58">
        <v>6.7739999294281006</v>
      </c>
      <c r="AC25" s="58">
        <v>11.305999875068665</v>
      </c>
      <c r="AD25" s="58">
        <v>10.827999986708164</v>
      </c>
      <c r="AE25" s="58">
        <v>105.62299859523773</v>
      </c>
      <c r="AF25" s="41">
        <f t="shared" si="1"/>
        <v>1062.1209769025445</v>
      </c>
    </row>
    <row r="26" spans="1:32" ht="15" customHeight="1">
      <c r="A26" s="3">
        <v>19</v>
      </c>
      <c r="B26" s="8" t="s">
        <v>45</v>
      </c>
      <c r="C26" s="23" t="s">
        <v>152</v>
      </c>
      <c r="D26" s="41">
        <f t="shared" si="0"/>
        <v>2134.4855892394407</v>
      </c>
      <c r="E26" s="57"/>
      <c r="F26" s="58">
        <v>173.25048269557954</v>
      </c>
      <c r="G26" s="58">
        <v>10.120079727172852</v>
      </c>
      <c r="H26" s="58">
        <v>36.345619867384436</v>
      </c>
      <c r="I26" s="58">
        <v>29.10113679111004</v>
      </c>
      <c r="J26" s="45">
        <v>45.691494895190054</v>
      </c>
      <c r="K26" s="13"/>
      <c r="L26" s="58">
        <v>793.76354079079624</v>
      </c>
      <c r="M26" s="58">
        <v>27.710600548982619</v>
      </c>
      <c r="N26" s="58">
        <v>592.93972783029085</v>
      </c>
      <c r="O26" s="58">
        <v>150.58312631180883</v>
      </c>
      <c r="P26" s="58">
        <v>126.64981355078518</v>
      </c>
      <c r="Q26" s="45">
        <v>148.32996623034018</v>
      </c>
      <c r="R26" s="13"/>
      <c r="S26" s="57"/>
      <c r="T26" s="58">
        <v>15.963999927043915</v>
      </c>
      <c r="U26" s="58">
        <v>4.5279998779296875</v>
      </c>
      <c r="V26" s="58">
        <v>26.882999986410141</v>
      </c>
      <c r="W26" s="58">
        <v>29.629000186920166</v>
      </c>
      <c r="X26" s="58">
        <v>183.97399300336838</v>
      </c>
      <c r="Y26" s="27"/>
      <c r="Z26" s="58">
        <v>9.5340000987052917</v>
      </c>
      <c r="AA26" s="58">
        <v>0.69800001382827759</v>
      </c>
      <c r="AB26" s="58">
        <v>32.327000200748444</v>
      </c>
      <c r="AC26" s="58">
        <v>20.678999945521355</v>
      </c>
      <c r="AD26" s="58">
        <v>31.937999688088894</v>
      </c>
      <c r="AE26" s="58">
        <v>249.32999530434608</v>
      </c>
      <c r="AF26" s="41">
        <f t="shared" si="1"/>
        <v>605.48398823291063</v>
      </c>
    </row>
    <row r="27" spans="1:32" ht="15" customHeight="1">
      <c r="A27" s="3">
        <v>20</v>
      </c>
      <c r="B27" s="8" t="s">
        <v>46</v>
      </c>
      <c r="C27" s="23" t="s">
        <v>150</v>
      </c>
      <c r="D27" s="41">
        <f t="shared" si="0"/>
        <v>152.85533765779994</v>
      </c>
      <c r="E27" s="57"/>
      <c r="F27" s="58">
        <v>29.992349367141724</v>
      </c>
      <c r="G27" s="58">
        <v>19.39912353658676</v>
      </c>
      <c r="H27" s="58">
        <v>62.747107473492619</v>
      </c>
      <c r="I27" s="58">
        <v>16.335176867842673</v>
      </c>
      <c r="J27" s="45">
        <v>24.381580412736152</v>
      </c>
      <c r="K27" s="13"/>
      <c r="L27" s="57"/>
      <c r="M27" s="57"/>
      <c r="N27" s="57"/>
      <c r="O27" s="57"/>
      <c r="P27" s="57"/>
      <c r="Q27" s="45" t="s">
        <v>27</v>
      </c>
      <c r="R27" s="13"/>
      <c r="S27" s="57"/>
      <c r="T27" s="58">
        <v>12.654999732971191</v>
      </c>
      <c r="U27" s="58">
        <v>19.189999580383301</v>
      </c>
      <c r="V27" s="58">
        <v>38.912999749183655</v>
      </c>
      <c r="W27" s="58">
        <v>56.029999971389771</v>
      </c>
      <c r="X27" s="58">
        <v>210.31100594997406</v>
      </c>
      <c r="Y27" s="27"/>
      <c r="Z27" s="57"/>
      <c r="AA27" s="57"/>
      <c r="AB27" s="57"/>
      <c r="AC27" s="57"/>
      <c r="AD27" s="57"/>
      <c r="AE27" s="57"/>
      <c r="AF27" s="41">
        <f t="shared" si="1"/>
        <v>337.09900498390198</v>
      </c>
    </row>
    <row r="28" spans="1:32" ht="15" customHeight="1">
      <c r="A28" s="3">
        <v>21</v>
      </c>
      <c r="B28" s="8" t="s">
        <v>47</v>
      </c>
      <c r="C28" s="23" t="s">
        <v>150</v>
      </c>
      <c r="D28" s="41">
        <f t="shared" si="0"/>
        <v>710.30390628672387</v>
      </c>
      <c r="E28" s="58">
        <v>422.10674999999998</v>
      </c>
      <c r="F28" s="57"/>
      <c r="G28" s="57"/>
      <c r="H28" s="58">
        <v>248.92271695621312</v>
      </c>
      <c r="I28" s="58">
        <v>13.872035971164703</v>
      </c>
      <c r="J28" s="45">
        <v>25.402403359346053</v>
      </c>
      <c r="K28" s="13"/>
      <c r="L28" s="57"/>
      <c r="M28" s="57"/>
      <c r="N28" s="57"/>
      <c r="O28" s="57"/>
      <c r="P28" s="57"/>
      <c r="Q28" s="45" t="s">
        <v>27</v>
      </c>
      <c r="R28" s="13"/>
      <c r="S28" s="58">
        <v>14.625</v>
      </c>
      <c r="T28" s="57"/>
      <c r="U28" s="57"/>
      <c r="V28" s="58">
        <v>62.711000218987465</v>
      </c>
      <c r="W28" s="58">
        <v>26.465000033378601</v>
      </c>
      <c r="X28" s="58">
        <v>151.87899966537952</v>
      </c>
      <c r="Y28" s="27"/>
      <c r="Z28" s="57"/>
      <c r="AA28" s="57"/>
      <c r="AB28" s="57"/>
      <c r="AC28" s="57"/>
      <c r="AD28" s="57"/>
      <c r="AE28" s="57"/>
      <c r="AF28" s="41">
        <f t="shared" si="1"/>
        <v>255.67999991774559</v>
      </c>
    </row>
    <row r="29" spans="1:32" ht="15" customHeight="1">
      <c r="A29" s="3">
        <v>22</v>
      </c>
      <c r="B29" s="8" t="s">
        <v>48</v>
      </c>
      <c r="C29" s="23" t="s">
        <v>150</v>
      </c>
      <c r="D29" s="41">
        <f t="shared" si="0"/>
        <v>1123.9108578708599</v>
      </c>
      <c r="E29" s="58">
        <v>513.25313204765325</v>
      </c>
      <c r="F29" s="58">
        <v>100.15605010926724</v>
      </c>
      <c r="G29" s="58">
        <v>65.596037291169168</v>
      </c>
      <c r="H29" s="58">
        <v>226.92385281416773</v>
      </c>
      <c r="I29" s="58">
        <v>68.798530090987683</v>
      </c>
      <c r="J29" s="45">
        <v>149.18325551761487</v>
      </c>
      <c r="K29" s="13"/>
      <c r="L29" s="57"/>
      <c r="M29" s="57"/>
      <c r="N29" s="57"/>
      <c r="O29" s="57"/>
      <c r="P29" s="57"/>
      <c r="Q29" s="45" t="s">
        <v>27</v>
      </c>
      <c r="R29" s="13"/>
      <c r="S29" s="58">
        <v>32.147000312805176</v>
      </c>
      <c r="T29" s="58">
        <v>19.103999987244606</v>
      </c>
      <c r="U29" s="58">
        <v>11.721000075340271</v>
      </c>
      <c r="V29" s="58">
        <v>71.200999870896339</v>
      </c>
      <c r="W29" s="58">
        <v>94.921000503003597</v>
      </c>
      <c r="X29" s="58">
        <v>728.45597460865974</v>
      </c>
      <c r="Y29" s="27"/>
      <c r="Z29" s="57"/>
      <c r="AA29" s="57"/>
      <c r="AB29" s="57"/>
      <c r="AC29" s="57"/>
      <c r="AD29" s="57"/>
      <c r="AE29" s="57"/>
      <c r="AF29" s="41">
        <f t="shared" si="1"/>
        <v>957.54997535794973</v>
      </c>
    </row>
    <row r="30" spans="1:32" ht="15" customHeight="1">
      <c r="A30" s="3">
        <v>23</v>
      </c>
      <c r="B30" s="8" t="s">
        <v>49</v>
      </c>
      <c r="C30" s="23" t="s">
        <v>150</v>
      </c>
      <c r="D30" s="41">
        <f t="shared" si="0"/>
        <v>400.46068073739008</v>
      </c>
      <c r="E30" s="57"/>
      <c r="F30" s="58">
        <v>116.48450262618064</v>
      </c>
      <c r="G30" s="57"/>
      <c r="H30" s="58">
        <v>104.5165558630824</v>
      </c>
      <c r="I30" s="58">
        <v>63.785996466636661</v>
      </c>
      <c r="J30" s="45">
        <v>115.67362578149037</v>
      </c>
      <c r="K30" s="13"/>
      <c r="L30" s="57"/>
      <c r="M30" s="57"/>
      <c r="N30" s="57"/>
      <c r="O30" s="57"/>
      <c r="P30" s="57"/>
      <c r="Q30" s="45" t="s">
        <v>27</v>
      </c>
      <c r="R30" s="13"/>
      <c r="S30" s="57"/>
      <c r="T30" s="58">
        <v>23.714999675750732</v>
      </c>
      <c r="U30" s="57"/>
      <c r="V30" s="58">
        <v>70.286000102758408</v>
      </c>
      <c r="W30" s="58">
        <v>90.449000000953674</v>
      </c>
      <c r="X30" s="58">
        <v>574.57899783551693</v>
      </c>
      <c r="Y30" s="27"/>
      <c r="Z30" s="57"/>
      <c r="AA30" s="57"/>
      <c r="AB30" s="57"/>
      <c r="AC30" s="57"/>
      <c r="AD30" s="57"/>
      <c r="AE30" s="57"/>
      <c r="AF30" s="41">
        <f t="shared" si="1"/>
        <v>759.02899761497974</v>
      </c>
    </row>
    <row r="31" spans="1:32" ht="15" customHeight="1">
      <c r="A31" s="3">
        <v>24</v>
      </c>
      <c r="B31" s="8" t="s">
        <v>50</v>
      </c>
      <c r="C31" s="23" t="s">
        <v>158</v>
      </c>
      <c r="D31" s="41">
        <f t="shared" si="0"/>
        <v>2336.8317361045238</v>
      </c>
      <c r="E31" s="58">
        <v>506.28063244628908</v>
      </c>
      <c r="F31" s="58">
        <v>281.52270403134821</v>
      </c>
      <c r="G31" s="58">
        <v>14.039480550289154</v>
      </c>
      <c r="H31" s="58">
        <v>176.59764079469443</v>
      </c>
      <c r="I31" s="58">
        <v>78.049769055038695</v>
      </c>
      <c r="J31" s="45">
        <v>107.79097039028909</v>
      </c>
      <c r="K31" s="13"/>
      <c r="L31" s="58">
        <v>108.97110157012939</v>
      </c>
      <c r="M31" s="58">
        <v>65.452507078170783</v>
      </c>
      <c r="N31" s="58">
        <v>524.39450517416003</v>
      </c>
      <c r="O31" s="58">
        <v>219.42834757997096</v>
      </c>
      <c r="P31" s="58">
        <v>62.085386431574818</v>
      </c>
      <c r="Q31" s="45">
        <v>192.21869100256919</v>
      </c>
      <c r="R31" s="13"/>
      <c r="S31" s="58">
        <v>20.365999698638916</v>
      </c>
      <c r="T31" s="58">
        <v>35.761000663042068</v>
      </c>
      <c r="U31" s="58">
        <v>6.5849997997283936</v>
      </c>
      <c r="V31" s="58">
        <v>98.450000315904617</v>
      </c>
      <c r="W31" s="58">
        <v>137.86900129914284</v>
      </c>
      <c r="X31" s="58">
        <v>614.20600894093513</v>
      </c>
      <c r="Y31" s="27"/>
      <c r="Z31" s="58">
        <v>3.1770000457763672</v>
      </c>
      <c r="AA31" s="58">
        <v>5.9869997501373291</v>
      </c>
      <c r="AB31" s="58">
        <v>36.965999878942966</v>
      </c>
      <c r="AC31" s="58">
        <v>33.722000025212765</v>
      </c>
      <c r="AD31" s="58">
        <v>12.674000024795532</v>
      </c>
      <c r="AE31" s="58">
        <v>284.58699963986874</v>
      </c>
      <c r="AF31" s="41">
        <f t="shared" si="1"/>
        <v>1290.3500100821257</v>
      </c>
    </row>
    <row r="32" spans="1:32" ht="15" customHeight="1">
      <c r="A32" s="3">
        <v>25</v>
      </c>
      <c r="B32" s="8" t="s">
        <v>51</v>
      </c>
      <c r="C32" s="23" t="s">
        <v>151</v>
      </c>
      <c r="D32" s="41">
        <f t="shared" si="0"/>
        <v>1190.6452452890871</v>
      </c>
      <c r="E32" s="58">
        <v>389.21295164108278</v>
      </c>
      <c r="F32" s="58">
        <v>191.70449010133743</v>
      </c>
      <c r="G32" s="58">
        <v>54.073094148039814</v>
      </c>
      <c r="H32" s="58">
        <v>89.74873927736283</v>
      </c>
      <c r="I32" s="58">
        <v>54.583875782608985</v>
      </c>
      <c r="J32" s="45">
        <v>46.137669277317251</v>
      </c>
      <c r="K32" s="13"/>
      <c r="L32" s="58">
        <v>87.320803642272949</v>
      </c>
      <c r="M32" s="57"/>
      <c r="N32" s="58">
        <v>67.011023865461354</v>
      </c>
      <c r="O32" s="58">
        <v>135.27679283449055</v>
      </c>
      <c r="P32" s="58">
        <v>20.067526316262782</v>
      </c>
      <c r="Q32" s="45">
        <v>55.508278402850294</v>
      </c>
      <c r="R32" s="13"/>
      <c r="S32" s="58">
        <v>12.76800012588501</v>
      </c>
      <c r="T32" s="58">
        <v>17.802999973297119</v>
      </c>
      <c r="U32" s="58">
        <v>9.474999725818634</v>
      </c>
      <c r="V32" s="58">
        <v>40.321999847888947</v>
      </c>
      <c r="W32" s="58">
        <v>59.999998956918716</v>
      </c>
      <c r="X32" s="58">
        <v>195.46700043976307</v>
      </c>
      <c r="Y32" s="27"/>
      <c r="Z32" s="58">
        <v>2.0120000839233398</v>
      </c>
      <c r="AA32" s="57"/>
      <c r="AB32" s="58">
        <v>3.4460000395774841</v>
      </c>
      <c r="AC32" s="58">
        <v>15.052000001072884</v>
      </c>
      <c r="AD32" s="58">
        <v>6.2160000838339329</v>
      </c>
      <c r="AE32" s="58">
        <v>106.58399748802185</v>
      </c>
      <c r="AF32" s="41">
        <f t="shared" si="1"/>
        <v>469.14499676600099</v>
      </c>
    </row>
    <row r="33" spans="1:32" ht="15" customHeight="1">
      <c r="A33" s="3">
        <v>26</v>
      </c>
      <c r="B33" s="8" t="s">
        <v>52</v>
      </c>
      <c r="C33" s="23" t="s">
        <v>150</v>
      </c>
      <c r="D33" s="41">
        <f t="shared" si="0"/>
        <v>607.50387810032646</v>
      </c>
      <c r="E33" s="57"/>
      <c r="F33" s="58">
        <v>184.75011522674561</v>
      </c>
      <c r="G33" s="58">
        <v>105.6367593255043</v>
      </c>
      <c r="H33" s="58">
        <v>157.67744270420076</v>
      </c>
      <c r="I33" s="58">
        <v>57.125290660619733</v>
      </c>
      <c r="J33" s="45">
        <v>102.31427018325614</v>
      </c>
      <c r="K33" s="13"/>
      <c r="L33" s="57"/>
      <c r="M33" s="57"/>
      <c r="N33" s="57"/>
      <c r="O33" s="57"/>
      <c r="P33" s="57"/>
      <c r="Q33" s="45" t="s">
        <v>27</v>
      </c>
      <c r="R33" s="13"/>
      <c r="S33" s="57"/>
      <c r="T33" s="58">
        <v>25.336000442504883</v>
      </c>
      <c r="U33" s="58">
        <v>16.144999712705612</v>
      </c>
      <c r="V33" s="58">
        <v>87.60400128364563</v>
      </c>
      <c r="W33" s="58">
        <v>87.641000270843506</v>
      </c>
      <c r="X33" s="58">
        <v>533.85100902616978</v>
      </c>
      <c r="Y33" s="27"/>
      <c r="Z33" s="57"/>
      <c r="AA33" s="57"/>
      <c r="AB33" s="57"/>
      <c r="AC33" s="57"/>
      <c r="AD33" s="57"/>
      <c r="AE33" s="57"/>
      <c r="AF33" s="41">
        <f t="shared" si="1"/>
        <v>750.57701073586941</v>
      </c>
    </row>
    <row r="34" spans="1:32" ht="15" customHeight="1">
      <c r="A34" s="3">
        <v>27</v>
      </c>
      <c r="B34" s="8" t="s">
        <v>53</v>
      </c>
      <c r="C34" s="23" t="s">
        <v>150</v>
      </c>
      <c r="D34" s="41">
        <f t="shared" si="0"/>
        <v>284.80766655116236</v>
      </c>
      <c r="E34" s="57"/>
      <c r="F34" s="58">
        <v>96.889448358833789</v>
      </c>
      <c r="G34" s="58">
        <v>52.388720687627796</v>
      </c>
      <c r="H34" s="58">
        <v>25.881024762749671</v>
      </c>
      <c r="I34" s="58">
        <v>56.305497258216143</v>
      </c>
      <c r="J34" s="45">
        <v>53.342975483734982</v>
      </c>
      <c r="K34" s="13"/>
      <c r="L34" s="57"/>
      <c r="M34" s="57"/>
      <c r="N34" s="57"/>
      <c r="O34" s="57"/>
      <c r="P34" s="57"/>
      <c r="Q34" s="45" t="s">
        <v>27</v>
      </c>
      <c r="R34" s="13"/>
      <c r="S34" s="57"/>
      <c r="T34" s="58">
        <v>21.307999849319458</v>
      </c>
      <c r="U34" s="58">
        <v>12.8160001039505</v>
      </c>
      <c r="V34" s="58">
        <v>6.4370002150535583</v>
      </c>
      <c r="W34" s="58">
        <v>79.000000387430191</v>
      </c>
      <c r="X34" s="58">
        <v>263.21899402141571</v>
      </c>
      <c r="Y34" s="27"/>
      <c r="Z34" s="57"/>
      <c r="AA34" s="57"/>
      <c r="AB34" s="57"/>
      <c r="AC34" s="57"/>
      <c r="AD34" s="57"/>
      <c r="AE34" s="57"/>
      <c r="AF34" s="41">
        <f t="shared" si="1"/>
        <v>382.77999457716942</v>
      </c>
    </row>
    <row r="35" spans="1:32" ht="15" customHeight="1">
      <c r="A35" s="3">
        <v>28</v>
      </c>
      <c r="B35" s="8" t="s">
        <v>54</v>
      </c>
      <c r="C35" s="23" t="s">
        <v>150</v>
      </c>
      <c r="D35" s="41">
        <f t="shared" si="0"/>
        <v>220.26678663572545</v>
      </c>
      <c r="E35" s="57"/>
      <c r="F35" s="58">
        <v>113.63596555912494</v>
      </c>
      <c r="G35" s="57"/>
      <c r="H35" s="58">
        <v>27.158061514139174</v>
      </c>
      <c r="I35" s="58">
        <v>27.509097350060941</v>
      </c>
      <c r="J35" s="45">
        <v>51.963662212400365</v>
      </c>
      <c r="K35" s="13"/>
      <c r="L35" s="57"/>
      <c r="M35" s="57"/>
      <c r="N35" s="57"/>
      <c r="O35" s="57"/>
      <c r="P35" s="57"/>
      <c r="Q35" s="45" t="s">
        <v>27</v>
      </c>
      <c r="R35" s="13"/>
      <c r="S35" s="57"/>
      <c r="T35" s="58">
        <v>30.511999726295471</v>
      </c>
      <c r="U35" s="57"/>
      <c r="V35" s="58">
        <v>36.863999247550964</v>
      </c>
      <c r="W35" s="58">
        <v>82.39000129699707</v>
      </c>
      <c r="X35" s="58">
        <v>411.81299412250519</v>
      </c>
      <c r="Y35" s="27"/>
      <c r="Z35" s="57"/>
      <c r="AA35" s="57"/>
      <c r="AB35" s="57"/>
      <c r="AC35" s="57"/>
      <c r="AD35" s="57"/>
      <c r="AE35" s="57"/>
      <c r="AF35" s="41">
        <f t="shared" si="1"/>
        <v>561.57899439334869</v>
      </c>
    </row>
    <row r="36" spans="1:32" ht="15" customHeight="1">
      <c r="A36" s="3">
        <v>29</v>
      </c>
      <c r="B36" s="8" t="s">
        <v>55</v>
      </c>
      <c r="C36" s="23" t="s">
        <v>150</v>
      </c>
      <c r="D36" s="41">
        <f t="shared" si="0"/>
        <v>212.83700757447303</v>
      </c>
      <c r="E36" s="57"/>
      <c r="F36" s="57"/>
      <c r="G36" s="58">
        <v>120.13517440396548</v>
      </c>
      <c r="H36" s="58">
        <v>19.706880896747112</v>
      </c>
      <c r="I36" s="58">
        <v>26.211659320592879</v>
      </c>
      <c r="J36" s="45">
        <v>46.783292953167582</v>
      </c>
      <c r="K36" s="13"/>
      <c r="L36" s="57"/>
      <c r="M36" s="57"/>
      <c r="N36" s="57"/>
      <c r="O36" s="57"/>
      <c r="P36" s="57"/>
      <c r="Q36" s="45" t="s">
        <v>27</v>
      </c>
      <c r="R36" s="13"/>
      <c r="S36" s="57"/>
      <c r="T36" s="57"/>
      <c r="U36" s="58">
        <v>36.236000530421734</v>
      </c>
      <c r="V36" s="58">
        <v>12.436999976634979</v>
      </c>
      <c r="W36" s="58">
        <v>72.554000377655029</v>
      </c>
      <c r="X36" s="58">
        <v>352.94200855493546</v>
      </c>
      <c r="Y36" s="27"/>
      <c r="Z36" s="57"/>
      <c r="AA36" s="57"/>
      <c r="AB36" s="57"/>
      <c r="AC36" s="57"/>
      <c r="AD36" s="57"/>
      <c r="AE36" s="57"/>
      <c r="AF36" s="41">
        <f t="shared" si="1"/>
        <v>474.1690094396472</v>
      </c>
    </row>
    <row r="37" spans="1:32" ht="15" customHeight="1">
      <c r="A37" s="3">
        <v>30</v>
      </c>
      <c r="B37" s="8" t="s">
        <v>56</v>
      </c>
      <c r="C37" s="23" t="s">
        <v>152</v>
      </c>
      <c r="D37" s="41">
        <f t="shared" si="0"/>
        <v>2119.8650801731419</v>
      </c>
      <c r="E37" s="57"/>
      <c r="F37" s="58">
        <v>338.14011457920077</v>
      </c>
      <c r="G37" s="58">
        <v>92.470353520393374</v>
      </c>
      <c r="H37" s="58">
        <v>162.45722810399533</v>
      </c>
      <c r="I37" s="58">
        <v>62.256952244907616</v>
      </c>
      <c r="J37" s="45">
        <v>120.70335871030028</v>
      </c>
      <c r="K37" s="13"/>
      <c r="L37" s="57"/>
      <c r="M37" s="58">
        <v>249.10649605607986</v>
      </c>
      <c r="N37" s="58">
        <v>481.53561589682101</v>
      </c>
      <c r="O37" s="58">
        <v>216.96282289239764</v>
      </c>
      <c r="P37" s="58">
        <v>209.90886713399365</v>
      </c>
      <c r="Q37" s="45">
        <v>186.3232710350527</v>
      </c>
      <c r="R37" s="13"/>
      <c r="S37" s="57"/>
      <c r="T37" s="58">
        <v>39.793001294136047</v>
      </c>
      <c r="U37" s="58">
        <v>16.613000154495239</v>
      </c>
      <c r="V37" s="58">
        <v>50.546999990940094</v>
      </c>
      <c r="W37" s="58">
        <v>76.588000267744064</v>
      </c>
      <c r="X37" s="58">
        <v>548.63198772072792</v>
      </c>
      <c r="Y37" s="27"/>
      <c r="Z37" s="57"/>
      <c r="AA37" s="58">
        <v>10.212000012397766</v>
      </c>
      <c r="AB37" s="58">
        <v>31.492999970912933</v>
      </c>
      <c r="AC37" s="58">
        <v>28.222000159323215</v>
      </c>
      <c r="AD37" s="58">
        <v>48.705999897792935</v>
      </c>
      <c r="AE37" s="58">
        <v>298.68300177156925</v>
      </c>
      <c r="AF37" s="41">
        <f t="shared" si="1"/>
        <v>1149.4889912400395</v>
      </c>
    </row>
    <row r="38" spans="1:32" ht="15" customHeight="1">
      <c r="A38" s="3">
        <v>31</v>
      </c>
      <c r="B38" s="8" t="s">
        <v>57</v>
      </c>
      <c r="C38" s="23" t="s">
        <v>150</v>
      </c>
      <c r="D38" s="41">
        <f t="shared" si="0"/>
        <v>352.19208889432787</v>
      </c>
      <c r="E38" s="58">
        <v>96.973196375370023</v>
      </c>
      <c r="F38" s="57"/>
      <c r="G38" s="58">
        <v>94.377778120279316</v>
      </c>
      <c r="H38" s="58">
        <v>73.960138073585924</v>
      </c>
      <c r="I38" s="58">
        <v>30.439867738962175</v>
      </c>
      <c r="J38" s="45">
        <v>56.441108586130454</v>
      </c>
      <c r="K38" s="13"/>
      <c r="L38" s="57"/>
      <c r="M38" s="57"/>
      <c r="N38" s="57"/>
      <c r="O38" s="57"/>
      <c r="P38" s="57"/>
      <c r="Q38" s="45" t="s">
        <v>27</v>
      </c>
      <c r="R38" s="13"/>
      <c r="S38" s="58">
        <v>2.6279999017715454</v>
      </c>
      <c r="T38" s="57"/>
      <c r="U38" s="58">
        <v>20.029999941587448</v>
      </c>
      <c r="V38" s="58">
        <v>60.793000109493732</v>
      </c>
      <c r="W38" s="58">
        <v>53.239999771118164</v>
      </c>
      <c r="X38" s="58">
        <v>319.07300272583961</v>
      </c>
      <c r="Y38" s="27"/>
      <c r="Z38" s="57"/>
      <c r="AA38" s="57"/>
      <c r="AB38" s="57"/>
      <c r="AC38" s="57"/>
      <c r="AD38" s="57"/>
      <c r="AE38" s="57"/>
      <c r="AF38" s="41">
        <f t="shared" si="1"/>
        <v>455.7640024498105</v>
      </c>
    </row>
    <row r="39" spans="1:32" ht="15" customHeight="1">
      <c r="A39" s="3">
        <v>32</v>
      </c>
      <c r="B39" s="8" t="s">
        <v>58</v>
      </c>
      <c r="C39" s="23" t="s">
        <v>150</v>
      </c>
      <c r="D39" s="41">
        <f t="shared" si="0"/>
        <v>134.61377809888864</v>
      </c>
      <c r="E39" s="57"/>
      <c r="F39" s="57"/>
      <c r="G39" s="58">
        <v>46.815473551869395</v>
      </c>
      <c r="H39" s="58">
        <v>17.953393084049225</v>
      </c>
      <c r="I39" s="58">
        <v>23.299389894723891</v>
      </c>
      <c r="J39" s="45">
        <v>46.545521568246137</v>
      </c>
      <c r="K39" s="13"/>
      <c r="L39" s="57"/>
      <c r="M39" s="57"/>
      <c r="N39" s="57"/>
      <c r="O39" s="57"/>
      <c r="P39" s="57"/>
      <c r="Q39" s="45" t="s">
        <v>27</v>
      </c>
      <c r="R39" s="13"/>
      <c r="S39" s="57"/>
      <c r="T39" s="57"/>
      <c r="U39" s="58">
        <v>18.480000138282776</v>
      </c>
      <c r="V39" s="58">
        <v>24.89300012588501</v>
      </c>
      <c r="W39" s="58">
        <v>65.755999684333801</v>
      </c>
      <c r="X39" s="58">
        <v>355.88498666882515</v>
      </c>
      <c r="Y39" s="27"/>
      <c r="Z39" s="57"/>
      <c r="AA39" s="57"/>
      <c r="AB39" s="57"/>
      <c r="AC39" s="57"/>
      <c r="AD39" s="57"/>
      <c r="AE39" s="57"/>
      <c r="AF39" s="41">
        <f t="shared" si="1"/>
        <v>465.01398661732674</v>
      </c>
    </row>
    <row r="40" spans="1:32" ht="15" customHeight="1">
      <c r="A40" s="3">
        <v>33</v>
      </c>
      <c r="B40" s="8" t="s">
        <v>59</v>
      </c>
      <c r="C40" s="23" t="s">
        <v>150</v>
      </c>
      <c r="D40" s="41">
        <f t="shared" ref="D40:D71" si="2">SUM(E40:J40)+SUM(L40:Q40)</f>
        <v>326.38475645182399</v>
      </c>
      <c r="E40" s="57"/>
      <c r="F40" s="57"/>
      <c r="G40" s="58">
        <v>100.26326053375006</v>
      </c>
      <c r="H40" s="58">
        <v>108.20604643887282</v>
      </c>
      <c r="I40" s="58">
        <v>50.702341978430745</v>
      </c>
      <c r="J40" s="45">
        <v>67.213107500770391</v>
      </c>
      <c r="K40" s="13"/>
      <c r="L40" s="57"/>
      <c r="M40" s="57"/>
      <c r="N40" s="57"/>
      <c r="O40" s="57"/>
      <c r="P40" s="57"/>
      <c r="Q40" s="45" t="s">
        <v>27</v>
      </c>
      <c r="R40" s="13"/>
      <c r="S40" s="57"/>
      <c r="T40" s="57"/>
      <c r="U40" s="58">
        <v>9.479999840259552</v>
      </c>
      <c r="V40" s="58">
        <v>51.545999616384506</v>
      </c>
      <c r="W40" s="58">
        <v>62.469000041484833</v>
      </c>
      <c r="X40" s="58">
        <v>305.79501400887966</v>
      </c>
      <c r="Y40" s="27"/>
      <c r="Z40" s="57"/>
      <c r="AA40" s="57"/>
      <c r="AB40" s="57"/>
      <c r="AC40" s="57"/>
      <c r="AD40" s="57"/>
      <c r="AE40" s="57"/>
      <c r="AF40" s="41">
        <f t="shared" ref="AF40:AF71" si="3">SUM(S40:AE40)</f>
        <v>429.29001350700855</v>
      </c>
    </row>
    <row r="41" spans="1:32" ht="15" customHeight="1">
      <c r="A41" s="3">
        <v>34</v>
      </c>
      <c r="B41" s="8" t="s">
        <v>60</v>
      </c>
      <c r="C41" s="23" t="s">
        <v>159</v>
      </c>
      <c r="D41" s="41">
        <f t="shared" si="2"/>
        <v>7699.7150663295488</v>
      </c>
      <c r="E41" s="58">
        <v>1317.0478654766082</v>
      </c>
      <c r="F41" s="58">
        <v>300.99110753059387</v>
      </c>
      <c r="G41" s="58">
        <v>155.19577807033062</v>
      </c>
      <c r="H41" s="58">
        <v>112.53877079331875</v>
      </c>
      <c r="I41" s="58">
        <v>82.918691391229629</v>
      </c>
      <c r="J41" s="45">
        <v>54.609142881522224</v>
      </c>
      <c r="K41" s="13"/>
      <c r="L41" s="58">
        <v>547.70999998712534</v>
      </c>
      <c r="M41" s="58">
        <v>870.7582222723961</v>
      </c>
      <c r="N41" s="58">
        <v>1862.2569732613265</v>
      </c>
      <c r="O41" s="58">
        <v>1155.3397359337955</v>
      </c>
      <c r="P41" s="58">
        <v>659.86093553455169</v>
      </c>
      <c r="Q41" s="45">
        <v>580.48784319675053</v>
      </c>
      <c r="R41" s="13"/>
      <c r="S41" s="58">
        <v>27.51200008392334</v>
      </c>
      <c r="T41" s="58">
        <v>14.225000023841858</v>
      </c>
      <c r="U41" s="58">
        <v>26.936999946832657</v>
      </c>
      <c r="V41" s="58">
        <v>33.564999848604202</v>
      </c>
      <c r="W41" s="58">
        <v>52.033998847007751</v>
      </c>
      <c r="X41" s="58">
        <v>162.99499878287315</v>
      </c>
      <c r="Y41" s="27"/>
      <c r="Z41" s="58">
        <v>7.7489997744560242</v>
      </c>
      <c r="AA41" s="58">
        <v>13.764000058174133</v>
      </c>
      <c r="AB41" s="58">
        <v>55.632000125944614</v>
      </c>
      <c r="AC41" s="58">
        <v>76.262999657541513</v>
      </c>
      <c r="AD41" s="58">
        <v>102.67800001427531</v>
      </c>
      <c r="AE41" s="58">
        <v>724.96502760052681</v>
      </c>
      <c r="AF41" s="41">
        <f t="shared" si="3"/>
        <v>1298.3190247640014</v>
      </c>
    </row>
    <row r="42" spans="1:32" ht="15" customHeight="1">
      <c r="A42" s="3">
        <v>35</v>
      </c>
      <c r="B42" s="8" t="s">
        <v>61</v>
      </c>
      <c r="C42" s="23" t="s">
        <v>150</v>
      </c>
      <c r="D42" s="41">
        <f t="shared" si="2"/>
        <v>374.24225850796989</v>
      </c>
      <c r="E42" s="57"/>
      <c r="F42" s="58">
        <v>17.45663654565811</v>
      </c>
      <c r="G42" s="58">
        <v>139.76874513721467</v>
      </c>
      <c r="H42" s="58">
        <v>94.772829813838001</v>
      </c>
      <c r="I42" s="58">
        <v>45.950748880505564</v>
      </c>
      <c r="J42" s="45">
        <v>76.293298130753541</v>
      </c>
      <c r="K42" s="13"/>
      <c r="L42" s="57"/>
      <c r="M42" s="57"/>
      <c r="N42" s="57"/>
      <c r="O42" s="57"/>
      <c r="P42" s="57"/>
      <c r="Q42" s="45" t="s">
        <v>27</v>
      </c>
      <c r="R42" s="13"/>
      <c r="S42" s="57"/>
      <c r="T42" s="58">
        <v>5.4229998588562012</v>
      </c>
      <c r="U42" s="58">
        <v>34.5819993019104</v>
      </c>
      <c r="V42" s="58">
        <v>44.808000590652227</v>
      </c>
      <c r="W42" s="58">
        <v>70.79700118303299</v>
      </c>
      <c r="X42" s="58">
        <v>399.1369936093688</v>
      </c>
      <c r="Y42" s="27"/>
      <c r="Z42" s="57"/>
      <c r="AA42" s="57"/>
      <c r="AB42" s="57"/>
      <c r="AC42" s="57"/>
      <c r="AD42" s="57"/>
      <c r="AE42" s="57"/>
      <c r="AF42" s="41">
        <f t="shared" si="3"/>
        <v>554.74699454382062</v>
      </c>
    </row>
    <row r="43" spans="1:32" ht="15" customHeight="1">
      <c r="A43" s="3">
        <v>36</v>
      </c>
      <c r="B43" s="8" t="s">
        <v>62</v>
      </c>
      <c r="C43" s="23" t="s">
        <v>150</v>
      </c>
      <c r="D43" s="41">
        <f t="shared" si="2"/>
        <v>1353.5784212104752</v>
      </c>
      <c r="E43" s="57"/>
      <c r="F43" s="58">
        <v>709.45443991947172</v>
      </c>
      <c r="G43" s="58">
        <v>60.832846774578094</v>
      </c>
      <c r="H43" s="58">
        <v>315.90922380322218</v>
      </c>
      <c r="I43" s="58">
        <v>128.11148413228989</v>
      </c>
      <c r="J43" s="45">
        <v>139.27042658091344</v>
      </c>
      <c r="K43" s="13"/>
      <c r="L43" s="57"/>
      <c r="M43" s="57"/>
      <c r="N43" s="57"/>
      <c r="O43" s="57"/>
      <c r="P43" s="57"/>
      <c r="Q43" s="45" t="s">
        <v>27</v>
      </c>
      <c r="R43" s="13"/>
      <c r="S43" s="57"/>
      <c r="T43" s="58">
        <v>52.378999650478363</v>
      </c>
      <c r="U43" s="58">
        <v>6.8070000410079956</v>
      </c>
      <c r="V43" s="58">
        <v>102.98799894750118</v>
      </c>
      <c r="W43" s="58">
        <v>115.13399994373322</v>
      </c>
      <c r="X43" s="58">
        <v>520.26499719917774</v>
      </c>
      <c r="Y43" s="27"/>
      <c r="Z43" s="57"/>
      <c r="AA43" s="57"/>
      <c r="AB43" s="57"/>
      <c r="AC43" s="57"/>
      <c r="AD43" s="57"/>
      <c r="AE43" s="57"/>
      <c r="AF43" s="41">
        <f t="shared" si="3"/>
        <v>797.5729957818985</v>
      </c>
    </row>
    <row r="44" spans="1:32" ht="15" customHeight="1">
      <c r="A44" s="3">
        <v>37</v>
      </c>
      <c r="B44" s="8" t="s">
        <v>63</v>
      </c>
      <c r="C44" s="23" t="s">
        <v>151</v>
      </c>
      <c r="D44" s="41">
        <f t="shared" si="2"/>
        <v>1408.5679877053926</v>
      </c>
      <c r="E44" s="58">
        <v>393.11313473510739</v>
      </c>
      <c r="F44" s="58">
        <v>152.27385639059543</v>
      </c>
      <c r="G44" s="58">
        <v>92.845510328054431</v>
      </c>
      <c r="H44" s="58">
        <v>0.1089280002117157</v>
      </c>
      <c r="I44" s="58">
        <v>63.500427337288855</v>
      </c>
      <c r="J44" s="45">
        <v>44.005583416752984</v>
      </c>
      <c r="K44" s="13"/>
      <c r="L44" s="57"/>
      <c r="M44" s="57"/>
      <c r="N44" s="58">
        <v>339.78155432951451</v>
      </c>
      <c r="O44" s="58">
        <v>166.06050883625448</v>
      </c>
      <c r="P44" s="58">
        <v>66.654834524966773</v>
      </c>
      <c r="Q44" s="45">
        <v>90.223649806646094</v>
      </c>
      <c r="R44" s="13"/>
      <c r="S44" s="58">
        <v>13.127999901771545</v>
      </c>
      <c r="T44" s="58">
        <v>14.969999760389328</v>
      </c>
      <c r="U44" s="58">
        <v>26.091000258922577</v>
      </c>
      <c r="V44" s="58">
        <v>0.18400000035762787</v>
      </c>
      <c r="W44" s="58">
        <v>73.891000866889954</v>
      </c>
      <c r="X44" s="58">
        <v>193.18600080907345</v>
      </c>
      <c r="Y44" s="27"/>
      <c r="Z44" s="57"/>
      <c r="AA44" s="57"/>
      <c r="AB44" s="58">
        <v>16.538999855518341</v>
      </c>
      <c r="AC44" s="58">
        <v>16.590000011026859</v>
      </c>
      <c r="AD44" s="58">
        <v>16.76600013487041</v>
      </c>
      <c r="AE44" s="58">
        <v>152.11100033670664</v>
      </c>
      <c r="AF44" s="41">
        <f t="shared" si="3"/>
        <v>523.45600193552673</v>
      </c>
    </row>
    <row r="45" spans="1:32" ht="15" customHeight="1">
      <c r="A45" s="3">
        <v>38</v>
      </c>
      <c r="B45" s="8" t="s">
        <v>64</v>
      </c>
      <c r="C45" s="23" t="s">
        <v>150</v>
      </c>
      <c r="D45" s="41">
        <f t="shared" si="2"/>
        <v>210.77348337081207</v>
      </c>
      <c r="E45" s="57"/>
      <c r="F45" s="58">
        <v>36.803216041862967</v>
      </c>
      <c r="G45" s="58">
        <v>34.457534421801569</v>
      </c>
      <c r="H45" s="58">
        <v>76.125159946799272</v>
      </c>
      <c r="I45" s="58">
        <v>27.95351303651929</v>
      </c>
      <c r="J45" s="45">
        <v>35.434059923828968</v>
      </c>
      <c r="K45" s="13"/>
      <c r="L45" s="57"/>
      <c r="M45" s="57"/>
      <c r="N45" s="57"/>
      <c r="O45" s="57"/>
      <c r="P45" s="57"/>
      <c r="Q45" s="45" t="s">
        <v>27</v>
      </c>
      <c r="R45" s="13"/>
      <c r="S45" s="57"/>
      <c r="T45" s="58">
        <v>8.1159999966621399</v>
      </c>
      <c r="U45" s="58">
        <v>25.109000504016876</v>
      </c>
      <c r="V45" s="58">
        <v>41.11799930036068</v>
      </c>
      <c r="W45" s="58">
        <v>55.656999558210373</v>
      </c>
      <c r="X45" s="58">
        <v>217.58799936063588</v>
      </c>
      <c r="Y45" s="27"/>
      <c r="Z45" s="57"/>
      <c r="AA45" s="57"/>
      <c r="AB45" s="57"/>
      <c r="AC45" s="57"/>
      <c r="AD45" s="57"/>
      <c r="AE45" s="57"/>
      <c r="AF45" s="41">
        <f t="shared" si="3"/>
        <v>347.58799871988595</v>
      </c>
    </row>
    <row r="46" spans="1:32" ht="15" customHeight="1">
      <c r="A46" s="3">
        <v>39</v>
      </c>
      <c r="B46" s="8" t="s">
        <v>65</v>
      </c>
      <c r="C46" s="23" t="s">
        <v>150</v>
      </c>
      <c r="D46" s="41">
        <f t="shared" si="2"/>
        <v>703.7585738403003</v>
      </c>
      <c r="E46" s="58">
        <v>486.90323157930374</v>
      </c>
      <c r="F46" s="58">
        <v>5.9255701084136962</v>
      </c>
      <c r="G46" s="57"/>
      <c r="H46" s="58">
        <v>164.32990938985347</v>
      </c>
      <c r="I46" s="58">
        <v>21.4554371984303</v>
      </c>
      <c r="J46" s="45">
        <v>25.144425564299173</v>
      </c>
      <c r="K46" s="13"/>
      <c r="L46" s="57"/>
      <c r="M46" s="57"/>
      <c r="N46" s="57"/>
      <c r="O46" s="57"/>
      <c r="P46" s="57"/>
      <c r="Q46" s="45" t="s">
        <v>27</v>
      </c>
      <c r="R46" s="13"/>
      <c r="S46" s="58">
        <v>16.457000017166138</v>
      </c>
      <c r="T46" s="58">
        <v>2.0850000381469727</v>
      </c>
      <c r="U46" s="57"/>
      <c r="V46" s="58">
        <v>46.729999452829361</v>
      </c>
      <c r="W46" s="58">
        <v>23.944000154733658</v>
      </c>
      <c r="X46" s="58">
        <v>107.37100020051003</v>
      </c>
      <c r="Y46" s="27"/>
      <c r="Z46" s="57"/>
      <c r="AA46" s="57"/>
      <c r="AB46" s="57"/>
      <c r="AC46" s="57"/>
      <c r="AD46" s="57"/>
      <c r="AE46" s="57"/>
      <c r="AF46" s="41">
        <f t="shared" si="3"/>
        <v>196.58699986338615</v>
      </c>
    </row>
    <row r="47" spans="1:32" ht="15" customHeight="1">
      <c r="A47" s="3">
        <v>40</v>
      </c>
      <c r="B47" s="8" t="s">
        <v>66</v>
      </c>
      <c r="C47" s="23" t="s">
        <v>150</v>
      </c>
      <c r="D47" s="41">
        <f t="shared" si="2"/>
        <v>408.21059722457915</v>
      </c>
      <c r="E47" s="57"/>
      <c r="F47" s="58">
        <v>216.86136493456362</v>
      </c>
      <c r="G47" s="58">
        <v>76.234063291817904</v>
      </c>
      <c r="H47" s="58">
        <v>15.77085999250412</v>
      </c>
      <c r="I47" s="58">
        <v>45.722965094327925</v>
      </c>
      <c r="J47" s="45">
        <v>53.621343911365528</v>
      </c>
      <c r="K47" s="13"/>
      <c r="L47" s="57"/>
      <c r="M47" s="57"/>
      <c r="N47" s="57"/>
      <c r="O47" s="57"/>
      <c r="P47" s="57"/>
      <c r="Q47" s="45" t="s">
        <v>27</v>
      </c>
      <c r="R47" s="13"/>
      <c r="S47" s="57"/>
      <c r="T47" s="58">
        <v>18.027000039815903</v>
      </c>
      <c r="U47" s="58">
        <v>27.816000193357468</v>
      </c>
      <c r="V47" s="58">
        <v>8.2739999294281006</v>
      </c>
      <c r="W47" s="58">
        <v>64.980000257492065</v>
      </c>
      <c r="X47" s="58">
        <v>266.72099995613098</v>
      </c>
      <c r="Y47" s="27"/>
      <c r="Z47" s="57"/>
      <c r="AA47" s="57"/>
      <c r="AB47" s="57"/>
      <c r="AC47" s="57"/>
      <c r="AD47" s="57"/>
      <c r="AE47" s="57"/>
      <c r="AF47" s="41">
        <f t="shared" si="3"/>
        <v>385.81800037622452</v>
      </c>
    </row>
    <row r="48" spans="1:32" ht="15" customHeight="1">
      <c r="A48" s="3">
        <v>41</v>
      </c>
      <c r="B48" s="8" t="s">
        <v>67</v>
      </c>
      <c r="C48" s="23" t="s">
        <v>150</v>
      </c>
      <c r="D48" s="41">
        <f t="shared" si="2"/>
        <v>1245.6203222348213</v>
      </c>
      <c r="E48" s="58">
        <v>881.21911865615846</v>
      </c>
      <c r="F48" s="57"/>
      <c r="G48" s="58">
        <v>89.447650116384025</v>
      </c>
      <c r="H48" s="58">
        <v>143.48418740943075</v>
      </c>
      <c r="I48" s="58">
        <v>50.176802929878235</v>
      </c>
      <c r="J48" s="45">
        <v>81.292563122969781</v>
      </c>
      <c r="K48" s="13"/>
      <c r="L48" s="57"/>
      <c r="M48" s="57"/>
      <c r="N48" s="57"/>
      <c r="O48" s="57"/>
      <c r="P48" s="57"/>
      <c r="Q48" s="45" t="s">
        <v>27</v>
      </c>
      <c r="R48" s="13"/>
      <c r="S48" s="58">
        <v>23.023999929428101</v>
      </c>
      <c r="T48" s="57"/>
      <c r="U48" s="58">
        <v>21.801000162959099</v>
      </c>
      <c r="V48" s="58">
        <v>61.490001156926155</v>
      </c>
      <c r="W48" s="58">
        <v>46.980999767780304</v>
      </c>
      <c r="X48" s="58">
        <v>311.55899505317211</v>
      </c>
      <c r="Y48" s="27"/>
      <c r="Z48" s="57"/>
      <c r="AA48" s="57"/>
      <c r="AB48" s="57"/>
      <c r="AC48" s="57"/>
      <c r="AD48" s="57"/>
      <c r="AE48" s="57"/>
      <c r="AF48" s="41">
        <f t="shared" si="3"/>
        <v>464.85499607026577</v>
      </c>
    </row>
    <row r="49" spans="1:32" ht="15" customHeight="1">
      <c r="A49" s="3">
        <v>42</v>
      </c>
      <c r="B49" s="8" t="s">
        <v>68</v>
      </c>
      <c r="C49" s="23" t="s">
        <v>151</v>
      </c>
      <c r="D49" s="41">
        <f t="shared" si="2"/>
        <v>1179.2109020381386</v>
      </c>
      <c r="E49" s="57"/>
      <c r="F49" s="58">
        <v>367.90119926166534</v>
      </c>
      <c r="G49" s="58">
        <v>50.323346056342125</v>
      </c>
      <c r="H49" s="58">
        <v>214.59304314598441</v>
      </c>
      <c r="I49" s="58">
        <v>112.93485475000739</v>
      </c>
      <c r="J49" s="45">
        <v>136.1552793059673</v>
      </c>
      <c r="K49" s="13"/>
      <c r="L49" s="57"/>
      <c r="M49" s="58">
        <v>43.820320405006406</v>
      </c>
      <c r="N49" s="58">
        <v>101.9901698448658</v>
      </c>
      <c r="O49" s="58">
        <v>63.555233069971202</v>
      </c>
      <c r="P49" s="58">
        <v>33.806525298923255</v>
      </c>
      <c r="Q49" s="45">
        <v>54.130930899405264</v>
      </c>
      <c r="R49" s="13"/>
      <c r="S49" s="57"/>
      <c r="T49" s="58">
        <v>42.857999324798584</v>
      </c>
      <c r="U49" s="58">
        <v>18.445999681949615</v>
      </c>
      <c r="V49" s="58">
        <v>113.16099974513054</v>
      </c>
      <c r="W49" s="58">
        <v>182.10499964654446</v>
      </c>
      <c r="X49" s="58">
        <v>732.86397727951407</v>
      </c>
      <c r="Y49" s="27"/>
      <c r="Z49" s="57"/>
      <c r="AA49" s="58">
        <v>3.4420000314712524</v>
      </c>
      <c r="AB49" s="58">
        <v>11.025999993085861</v>
      </c>
      <c r="AC49" s="58">
        <v>11.448000006377697</v>
      </c>
      <c r="AD49" s="58">
        <v>7.0830000787973404</v>
      </c>
      <c r="AE49" s="58">
        <v>81.411998450756073</v>
      </c>
      <c r="AF49" s="41">
        <f t="shared" si="3"/>
        <v>1203.8449742384255</v>
      </c>
    </row>
    <row r="50" spans="1:32" ht="15" customHeight="1">
      <c r="A50" s="3">
        <v>43</v>
      </c>
      <c r="B50" s="8" t="s">
        <v>69</v>
      </c>
      <c r="C50" s="23" t="s">
        <v>150</v>
      </c>
      <c r="D50" s="41">
        <f t="shared" si="2"/>
        <v>871.56628026554631</v>
      </c>
      <c r="E50" s="57"/>
      <c r="F50" s="58">
        <v>286.1360780274868</v>
      </c>
      <c r="G50" s="58">
        <v>49.699565288066864</v>
      </c>
      <c r="H50" s="58">
        <v>208.91131610721351</v>
      </c>
      <c r="I50" s="58">
        <v>60.990495958447454</v>
      </c>
      <c r="J50" s="45">
        <v>117.06617938072171</v>
      </c>
      <c r="K50" s="13"/>
      <c r="L50" s="57"/>
      <c r="M50" s="57"/>
      <c r="N50" s="57"/>
      <c r="O50" s="58">
        <v>121.19541504850983</v>
      </c>
      <c r="P50" s="58">
        <v>9.4949967147111884</v>
      </c>
      <c r="Q50" s="45">
        <v>18.072233740388956</v>
      </c>
      <c r="R50" s="13"/>
      <c r="S50" s="57"/>
      <c r="T50" s="58">
        <v>31.215999841690063</v>
      </c>
      <c r="U50" s="58">
        <v>17.666999816894531</v>
      </c>
      <c r="V50" s="58">
        <v>112.62299886345863</v>
      </c>
      <c r="W50" s="58">
        <v>98.855999708175659</v>
      </c>
      <c r="X50" s="58">
        <v>632.15599000453949</v>
      </c>
      <c r="Y50" s="27"/>
      <c r="Z50" s="57"/>
      <c r="AA50" s="57"/>
      <c r="AB50" s="57"/>
      <c r="AC50" s="58">
        <v>14.719999901950359</v>
      </c>
      <c r="AD50" s="58">
        <v>4.6119998693466187</v>
      </c>
      <c r="AE50" s="58">
        <v>45.964000105857849</v>
      </c>
      <c r="AF50" s="41">
        <f t="shared" si="3"/>
        <v>957.8139881119132</v>
      </c>
    </row>
    <row r="51" spans="1:32" ht="15" customHeight="1">
      <c r="A51" s="3">
        <v>44</v>
      </c>
      <c r="B51" s="8" t="s">
        <v>70</v>
      </c>
      <c r="C51" s="23" t="s">
        <v>150</v>
      </c>
      <c r="D51" s="41">
        <f t="shared" si="2"/>
        <v>251.22972930535735</v>
      </c>
      <c r="E51" s="57"/>
      <c r="F51" s="58">
        <v>2.9925000000000002</v>
      </c>
      <c r="G51" s="58">
        <v>113.33326976990699</v>
      </c>
      <c r="H51" s="58">
        <v>53.11320262026787</v>
      </c>
      <c r="I51" s="58">
        <v>24.371619726777077</v>
      </c>
      <c r="J51" s="45">
        <v>57.419137188405401</v>
      </c>
      <c r="K51" s="13"/>
      <c r="L51" s="57"/>
      <c r="M51" s="57"/>
      <c r="N51" s="57"/>
      <c r="O51" s="57"/>
      <c r="P51" s="57"/>
      <c r="Q51" s="45" t="s">
        <v>27</v>
      </c>
      <c r="R51" s="13"/>
      <c r="S51" s="57"/>
      <c r="T51" s="58">
        <v>0.75</v>
      </c>
      <c r="U51" s="58">
        <v>30.800999999046326</v>
      </c>
      <c r="V51" s="58">
        <v>32.70900022983551</v>
      </c>
      <c r="W51" s="58">
        <v>65.686999380588531</v>
      </c>
      <c r="X51" s="58">
        <v>426.02899330854416</v>
      </c>
      <c r="Y51" s="27"/>
      <c r="Z51" s="57"/>
      <c r="AA51" s="57"/>
      <c r="AB51" s="57"/>
      <c r="AC51" s="57"/>
      <c r="AD51" s="57"/>
      <c r="AE51" s="57"/>
      <c r="AF51" s="41">
        <f t="shared" si="3"/>
        <v>555.97599291801453</v>
      </c>
    </row>
    <row r="52" spans="1:32" ht="15" customHeight="1">
      <c r="A52" s="3">
        <v>45</v>
      </c>
      <c r="B52" s="8" t="s">
        <v>71</v>
      </c>
      <c r="C52" s="23" t="s">
        <v>152</v>
      </c>
      <c r="D52" s="41">
        <f>SUM(E52:J52)+SUM(L52:Q52)</f>
        <v>930.15872638505516</v>
      </c>
      <c r="E52" s="57"/>
      <c r="F52" s="58">
        <v>256.42438229662179</v>
      </c>
      <c r="G52" s="58">
        <v>14.86</v>
      </c>
      <c r="H52" s="58">
        <v>96.893239265143876</v>
      </c>
      <c r="I52" s="58">
        <v>41.767302817821502</v>
      </c>
      <c r="J52" s="45">
        <v>90.135481177748559</v>
      </c>
      <c r="K52" s="13"/>
      <c r="L52" s="57"/>
      <c r="M52" s="57"/>
      <c r="N52" s="58">
        <v>222.77268610191345</v>
      </c>
      <c r="O52" s="58">
        <v>91.522359496220943</v>
      </c>
      <c r="P52" s="58">
        <v>42.78770993050933</v>
      </c>
      <c r="Q52" s="45">
        <v>72.995565299075722</v>
      </c>
      <c r="R52" s="13"/>
      <c r="S52" s="57"/>
      <c r="T52" s="58">
        <v>44.541999876499176</v>
      </c>
      <c r="U52" s="58">
        <v>2</v>
      </c>
      <c r="V52" s="58">
        <v>59.632999539375305</v>
      </c>
      <c r="W52" s="58">
        <v>73.925999522209167</v>
      </c>
      <c r="X52" s="58">
        <v>514.2430038060993</v>
      </c>
      <c r="Y52" s="27"/>
      <c r="Z52" s="57"/>
      <c r="AA52" s="57"/>
      <c r="AB52" s="58">
        <v>11.734000205993652</v>
      </c>
      <c r="AC52" s="58">
        <v>10.817999910563231</v>
      </c>
      <c r="AD52" s="58">
        <v>13.223999939858913</v>
      </c>
      <c r="AE52" s="58">
        <v>139.9660022854805</v>
      </c>
      <c r="AF52" s="41">
        <f t="shared" si="3"/>
        <v>870.08600508607924</v>
      </c>
    </row>
    <row r="53" spans="1:32" ht="15" customHeight="1">
      <c r="A53" s="3">
        <v>46</v>
      </c>
      <c r="B53" s="8" t="s">
        <v>72</v>
      </c>
      <c r="C53" s="23" t="s">
        <v>150</v>
      </c>
      <c r="D53" s="41">
        <f t="shared" si="2"/>
        <v>233.85369878186839</v>
      </c>
      <c r="E53" s="57"/>
      <c r="F53" s="58">
        <v>136.79890120854975</v>
      </c>
      <c r="G53" s="57"/>
      <c r="H53" s="58">
        <v>29.265405955314638</v>
      </c>
      <c r="I53" s="58">
        <v>26.296836052000522</v>
      </c>
      <c r="J53" s="45">
        <v>41.492555566003475</v>
      </c>
      <c r="K53" s="13"/>
      <c r="L53" s="57"/>
      <c r="M53" s="57"/>
      <c r="N53" s="57"/>
      <c r="O53" s="57"/>
      <c r="P53" s="57"/>
      <c r="Q53" s="45" t="s">
        <v>27</v>
      </c>
      <c r="R53" s="13"/>
      <c r="S53" s="57"/>
      <c r="T53" s="58">
        <v>18.752999946475029</v>
      </c>
      <c r="U53" s="57"/>
      <c r="V53" s="58">
        <v>17.431999921798706</v>
      </c>
      <c r="W53" s="58">
        <v>52.852000176906586</v>
      </c>
      <c r="X53" s="58">
        <v>256.28900618106127</v>
      </c>
      <c r="Y53" s="27"/>
      <c r="Z53" s="57"/>
      <c r="AA53" s="57"/>
      <c r="AB53" s="57"/>
      <c r="AC53" s="57"/>
      <c r="AD53" s="57"/>
      <c r="AE53" s="57"/>
      <c r="AF53" s="41">
        <f t="shared" si="3"/>
        <v>345.32600622624159</v>
      </c>
    </row>
    <row r="54" spans="1:32" ht="15" customHeight="1">
      <c r="A54" s="3">
        <v>47</v>
      </c>
      <c r="B54" s="8" t="s">
        <v>73</v>
      </c>
      <c r="C54" s="23" t="s">
        <v>151</v>
      </c>
      <c r="D54" s="41">
        <f t="shared" si="2"/>
        <v>3485.079549970259</v>
      </c>
      <c r="E54" s="58">
        <v>863.164177775383</v>
      </c>
      <c r="F54" s="58">
        <v>368.41073034322261</v>
      </c>
      <c r="G54" s="58">
        <v>58.83618772935867</v>
      </c>
      <c r="H54" s="58">
        <v>245.13693825227023</v>
      </c>
      <c r="I54" s="58">
        <v>136.22581624791027</v>
      </c>
      <c r="J54" s="45">
        <v>188.48620665505362</v>
      </c>
      <c r="K54" s="13"/>
      <c r="L54" s="58">
        <v>160.09744808077812</v>
      </c>
      <c r="M54" s="58">
        <v>24.175675958156585</v>
      </c>
      <c r="N54" s="58">
        <v>707.89641894018655</v>
      </c>
      <c r="O54" s="58">
        <v>392.14155553568156</v>
      </c>
      <c r="P54" s="58">
        <v>124.46446781057119</v>
      </c>
      <c r="Q54" s="45">
        <v>216.0439266416866</v>
      </c>
      <c r="R54" s="13"/>
      <c r="S54" s="58">
        <v>21.579000473022461</v>
      </c>
      <c r="T54" s="58">
        <v>37.768999993801117</v>
      </c>
      <c r="U54" s="58">
        <v>10.224999904632568</v>
      </c>
      <c r="V54" s="58">
        <v>83.937000930309296</v>
      </c>
      <c r="W54" s="58">
        <v>110.9970009624958</v>
      </c>
      <c r="X54" s="58">
        <v>662.29499599337578</v>
      </c>
      <c r="Y54" s="27"/>
      <c r="Z54" s="58">
        <v>3.0680000782012939</v>
      </c>
      <c r="AA54" s="58">
        <v>1.1019999980926514</v>
      </c>
      <c r="AB54" s="58">
        <v>32.738999992609024</v>
      </c>
      <c r="AC54" s="58">
        <v>42.428999952971935</v>
      </c>
      <c r="AD54" s="58">
        <v>35.246999621391296</v>
      </c>
      <c r="AE54" s="58">
        <v>392.23500081896782</v>
      </c>
      <c r="AF54" s="41">
        <f t="shared" si="3"/>
        <v>1433.621998719871</v>
      </c>
    </row>
    <row r="55" spans="1:32" ht="15" customHeight="1">
      <c r="A55" s="3">
        <v>48</v>
      </c>
      <c r="B55" s="8" t="s">
        <v>74</v>
      </c>
      <c r="C55" s="23" t="s">
        <v>150</v>
      </c>
      <c r="D55" s="41">
        <f t="shared" si="2"/>
        <v>726.44607085990356</v>
      </c>
      <c r="E55" s="57"/>
      <c r="F55" s="58">
        <v>250.96960139846803</v>
      </c>
      <c r="G55" s="58">
        <v>125.12705556714535</v>
      </c>
      <c r="H55" s="58">
        <v>134.81260256800056</v>
      </c>
      <c r="I55" s="58">
        <v>101.29643446972966</v>
      </c>
      <c r="J55" s="45">
        <v>114.24037685656006</v>
      </c>
      <c r="K55" s="13"/>
      <c r="L55" s="57"/>
      <c r="M55" s="57"/>
      <c r="N55" s="57"/>
      <c r="O55" s="57"/>
      <c r="P55" s="57"/>
      <c r="Q55" s="45" t="s">
        <v>27</v>
      </c>
      <c r="R55" s="13"/>
      <c r="S55" s="57"/>
      <c r="T55" s="58">
        <v>39.182000458240509</v>
      </c>
      <c r="U55" s="58">
        <v>37.897000014781952</v>
      </c>
      <c r="V55" s="58">
        <v>59.816001623868942</v>
      </c>
      <c r="W55" s="58">
        <v>77.38000026345253</v>
      </c>
      <c r="X55" s="58">
        <v>385.55500379949808</v>
      </c>
      <c r="Y55" s="27"/>
      <c r="Z55" s="57"/>
      <c r="AA55" s="57"/>
      <c r="AB55" s="57"/>
      <c r="AC55" s="57"/>
      <c r="AD55" s="57"/>
      <c r="AE55" s="57"/>
      <c r="AF55" s="41">
        <f t="shared" si="3"/>
        <v>599.83000615984201</v>
      </c>
    </row>
    <row r="56" spans="1:32" ht="15" customHeight="1">
      <c r="A56" s="3">
        <v>49</v>
      </c>
      <c r="B56" s="8" t="s">
        <v>75</v>
      </c>
      <c r="C56" s="23" t="s">
        <v>151</v>
      </c>
      <c r="D56" s="41">
        <f t="shared" si="2"/>
        <v>394.95352776644052</v>
      </c>
      <c r="E56" s="57"/>
      <c r="F56" s="58">
        <v>63.557694362163545</v>
      </c>
      <c r="G56" s="58">
        <v>59.518469920873642</v>
      </c>
      <c r="H56" s="58">
        <v>76.082237789630895</v>
      </c>
      <c r="I56" s="58">
        <v>41.644389690399173</v>
      </c>
      <c r="J56" s="45">
        <v>61.082554957977969</v>
      </c>
      <c r="K56" s="13"/>
      <c r="L56" s="57"/>
      <c r="M56" s="57"/>
      <c r="N56" s="58">
        <v>36.305328031539915</v>
      </c>
      <c r="O56" s="58">
        <v>19.945543179154395</v>
      </c>
      <c r="P56" s="58">
        <v>20.947799162596464</v>
      </c>
      <c r="Q56" s="45">
        <v>15.869510672104495</v>
      </c>
      <c r="R56" s="13"/>
      <c r="S56" s="57"/>
      <c r="T56" s="58">
        <v>16.966999530792236</v>
      </c>
      <c r="U56" s="58">
        <v>9.16100013256073</v>
      </c>
      <c r="V56" s="58">
        <v>45.095999956130981</v>
      </c>
      <c r="W56" s="58">
        <v>65.898999452590942</v>
      </c>
      <c r="X56" s="58">
        <v>324.93799622356892</v>
      </c>
      <c r="Y56" s="27"/>
      <c r="Z56" s="57"/>
      <c r="AA56" s="57"/>
      <c r="AB56" s="58">
        <v>2.4490000009536743</v>
      </c>
      <c r="AC56" s="58">
        <v>3.4120000302791595</v>
      </c>
      <c r="AD56" s="58">
        <v>6.2310000285506248</v>
      </c>
      <c r="AE56" s="58">
        <v>29.710000932216644</v>
      </c>
      <c r="AF56" s="41">
        <f t="shared" si="3"/>
        <v>503.86299628764391</v>
      </c>
    </row>
    <row r="57" spans="1:32" ht="15" customHeight="1">
      <c r="A57" s="3">
        <v>50</v>
      </c>
      <c r="B57" s="8" t="s">
        <v>76</v>
      </c>
      <c r="C57" s="23" t="s">
        <v>150</v>
      </c>
      <c r="D57" s="41">
        <f t="shared" si="2"/>
        <v>1117.7036221461312</v>
      </c>
      <c r="E57" s="58">
        <v>749.76249328613278</v>
      </c>
      <c r="F57" s="57"/>
      <c r="G57" s="57"/>
      <c r="H57" s="58">
        <v>241.3447945421338</v>
      </c>
      <c r="I57" s="58">
        <v>50.658163847893476</v>
      </c>
      <c r="J57" s="45">
        <v>75.938170469971084</v>
      </c>
      <c r="K57" s="13"/>
      <c r="L57" s="57"/>
      <c r="M57" s="57"/>
      <c r="N57" s="57"/>
      <c r="O57" s="57"/>
      <c r="P57" s="57"/>
      <c r="Q57" s="45" t="s">
        <v>27</v>
      </c>
      <c r="R57" s="13"/>
      <c r="S57" s="58">
        <v>20.666000366210938</v>
      </c>
      <c r="T57" s="57"/>
      <c r="U57" s="57"/>
      <c r="V57" s="58">
        <v>113.73400038480759</v>
      </c>
      <c r="W57" s="58">
        <v>112.01799975335598</v>
      </c>
      <c r="X57" s="58">
        <v>497.89401001483202</v>
      </c>
      <c r="Y57" s="27"/>
      <c r="Z57" s="57"/>
      <c r="AA57" s="57"/>
      <c r="AB57" s="57"/>
      <c r="AC57" s="57"/>
      <c r="AD57" s="57"/>
      <c r="AE57" s="57"/>
      <c r="AF57" s="41">
        <f t="shared" si="3"/>
        <v>744.31201051920652</v>
      </c>
    </row>
    <row r="58" spans="1:32" ht="15" customHeight="1">
      <c r="A58" s="3">
        <v>51</v>
      </c>
      <c r="B58" s="8" t="s">
        <v>77</v>
      </c>
      <c r="C58" s="23" t="s">
        <v>152</v>
      </c>
      <c r="D58" s="41">
        <f t="shared" si="2"/>
        <v>1385.2681892134638</v>
      </c>
      <c r="E58" s="57"/>
      <c r="F58" s="58">
        <v>322.84582141506672</v>
      </c>
      <c r="G58" s="58">
        <v>105.83242205548287</v>
      </c>
      <c r="H58" s="58">
        <v>77.973532534301285</v>
      </c>
      <c r="I58" s="58">
        <v>47.981675234138969</v>
      </c>
      <c r="J58" s="45">
        <v>90.544405133722407</v>
      </c>
      <c r="K58" s="13"/>
      <c r="L58" s="57"/>
      <c r="M58" s="58">
        <v>108.72442466741801</v>
      </c>
      <c r="N58" s="58">
        <v>415.79425858414174</v>
      </c>
      <c r="O58" s="58">
        <v>102.47803186538816</v>
      </c>
      <c r="P58" s="58">
        <v>51.815584686324001</v>
      </c>
      <c r="Q58" s="45">
        <v>61.278033037479609</v>
      </c>
      <c r="R58" s="13"/>
      <c r="S58" s="57"/>
      <c r="T58" s="58">
        <v>34.055000841617584</v>
      </c>
      <c r="U58" s="58">
        <v>24.065999865531921</v>
      </c>
      <c r="V58" s="58">
        <v>31.372000187635422</v>
      </c>
      <c r="W58" s="58">
        <v>75.20199915766716</v>
      </c>
      <c r="X58" s="58">
        <v>478.78500974923372</v>
      </c>
      <c r="Y58" s="27"/>
      <c r="Z58" s="57"/>
      <c r="AA58" s="58">
        <v>4.4580000340938568</v>
      </c>
      <c r="AB58" s="58">
        <v>21.774999901652336</v>
      </c>
      <c r="AC58" s="58">
        <v>18.720999963581562</v>
      </c>
      <c r="AD58" s="58">
        <v>17.8029999807477</v>
      </c>
      <c r="AE58" s="58">
        <v>125.61799854785204</v>
      </c>
      <c r="AF58" s="41">
        <f t="shared" si="3"/>
        <v>831.8550082296133</v>
      </c>
    </row>
    <row r="59" spans="1:32" ht="15" customHeight="1">
      <c r="A59" s="3">
        <v>52</v>
      </c>
      <c r="B59" s="8" t="s">
        <v>78</v>
      </c>
      <c r="C59" s="23" t="s">
        <v>150</v>
      </c>
      <c r="D59" s="41">
        <f t="shared" si="2"/>
        <v>719.46375127070303</v>
      </c>
      <c r="E59" s="58">
        <v>414.38282738971708</v>
      </c>
      <c r="F59" s="57"/>
      <c r="G59" s="58">
        <v>99.14667191338539</v>
      </c>
      <c r="H59" s="58">
        <v>106.33607279801369</v>
      </c>
      <c r="I59" s="58">
        <v>53.872879184052351</v>
      </c>
      <c r="J59" s="45">
        <v>45.725299985534463</v>
      </c>
      <c r="K59" s="13"/>
      <c r="L59" s="57"/>
      <c r="M59" s="57"/>
      <c r="N59" s="57"/>
      <c r="O59" s="57"/>
      <c r="P59" s="57"/>
      <c r="Q59" s="45" t="s">
        <v>27</v>
      </c>
      <c r="R59" s="13"/>
      <c r="S59" s="58">
        <v>13.359000205993652</v>
      </c>
      <c r="T59" s="57"/>
      <c r="U59" s="58">
        <v>29.565000057220459</v>
      </c>
      <c r="V59" s="58">
        <v>51.885000258684158</v>
      </c>
      <c r="W59" s="58">
        <v>98.241998806595802</v>
      </c>
      <c r="X59" s="58">
        <v>265.78500401973724</v>
      </c>
      <c r="Y59" s="27"/>
      <c r="Z59" s="57"/>
      <c r="AA59" s="57"/>
      <c r="AB59" s="57"/>
      <c r="AC59" s="57"/>
      <c r="AD59" s="57"/>
      <c r="AE59" s="57"/>
      <c r="AF59" s="41">
        <f t="shared" si="3"/>
        <v>458.83600334823132</v>
      </c>
    </row>
    <row r="60" spans="1:32" ht="15" customHeight="1">
      <c r="A60" s="3">
        <v>53</v>
      </c>
      <c r="B60" s="8" t="s">
        <v>79</v>
      </c>
      <c r="C60" s="23" t="s">
        <v>150</v>
      </c>
      <c r="D60" s="41">
        <f t="shared" si="2"/>
        <v>168.59228073916356</v>
      </c>
      <c r="E60" s="57"/>
      <c r="F60" s="58">
        <v>70.046101625204088</v>
      </c>
      <c r="G60" s="58">
        <v>7.5913090969920161</v>
      </c>
      <c r="H60" s="58">
        <v>46.671463487863541</v>
      </c>
      <c r="I60" s="58">
        <v>13.372837130162864</v>
      </c>
      <c r="J60" s="45">
        <v>30.910569398941018</v>
      </c>
      <c r="K60" s="13"/>
      <c r="L60" s="57"/>
      <c r="M60" s="57"/>
      <c r="N60" s="57"/>
      <c r="O60" s="57"/>
      <c r="P60" s="57"/>
      <c r="Q60" s="45" t="s">
        <v>27</v>
      </c>
      <c r="R60" s="13"/>
      <c r="S60" s="57"/>
      <c r="T60" s="58">
        <v>20.013000249862671</v>
      </c>
      <c r="U60" s="58">
        <v>18.377000361680984</v>
      </c>
      <c r="V60" s="58">
        <v>45.559999942779541</v>
      </c>
      <c r="W60" s="58">
        <v>49.857000473886728</v>
      </c>
      <c r="X60" s="58">
        <v>280.88499718904495</v>
      </c>
      <c r="Y60" s="27"/>
      <c r="Z60" s="57"/>
      <c r="AA60" s="57"/>
      <c r="AB60" s="57"/>
      <c r="AC60" s="57"/>
      <c r="AD60" s="57"/>
      <c r="AE60" s="57"/>
      <c r="AF60" s="41">
        <f t="shared" si="3"/>
        <v>414.69199821725488</v>
      </c>
    </row>
    <row r="61" spans="1:32" ht="15" customHeight="1">
      <c r="A61" s="3">
        <v>54</v>
      </c>
      <c r="B61" s="8" t="s">
        <v>80</v>
      </c>
      <c r="C61" s="23" t="s">
        <v>151</v>
      </c>
      <c r="D61" s="41">
        <f t="shared" si="2"/>
        <v>1610.0680123546913</v>
      </c>
      <c r="E61" s="57"/>
      <c r="F61" s="58">
        <v>634.91109412765502</v>
      </c>
      <c r="G61" s="58">
        <v>83.804348061084752</v>
      </c>
      <c r="H61" s="58">
        <v>234.75700388652086</v>
      </c>
      <c r="I61" s="58">
        <v>101.75046307301521</v>
      </c>
      <c r="J61" s="45">
        <v>156.98522669709376</v>
      </c>
      <c r="K61" s="13"/>
      <c r="L61" s="57"/>
      <c r="M61" s="58">
        <v>48.934500753879547</v>
      </c>
      <c r="N61" s="57"/>
      <c r="O61" s="58">
        <v>210.93466719414295</v>
      </c>
      <c r="P61" s="58">
        <v>67.219225407466297</v>
      </c>
      <c r="Q61" s="45">
        <v>70.771483153832676</v>
      </c>
      <c r="R61" s="13"/>
      <c r="S61" s="57"/>
      <c r="T61" s="58">
        <v>46.648999154567719</v>
      </c>
      <c r="U61" s="58">
        <v>15.266000032424927</v>
      </c>
      <c r="V61" s="58">
        <v>93.299000054597855</v>
      </c>
      <c r="W61" s="58">
        <v>100.30600035190582</v>
      </c>
      <c r="X61" s="58">
        <v>621.33500179648399</v>
      </c>
      <c r="Y61" s="27"/>
      <c r="Z61" s="57"/>
      <c r="AA61" s="58">
        <v>1.9190000295639038</v>
      </c>
      <c r="AB61" s="57"/>
      <c r="AC61" s="58">
        <v>18.078000068664551</v>
      </c>
      <c r="AD61" s="58">
        <v>18.061999902129173</v>
      </c>
      <c r="AE61" s="58">
        <v>124.3410037457943</v>
      </c>
      <c r="AF61" s="41">
        <f t="shared" si="3"/>
        <v>1039.2550051361322</v>
      </c>
    </row>
    <row r="62" spans="1:32" ht="15" customHeight="1">
      <c r="A62" s="3">
        <v>55</v>
      </c>
      <c r="B62" s="8" t="s">
        <v>81</v>
      </c>
      <c r="C62" s="23" t="s">
        <v>150</v>
      </c>
      <c r="D62" s="41">
        <f t="shared" si="2"/>
        <v>279.41548450528916</v>
      </c>
      <c r="E62" s="57"/>
      <c r="F62" s="57"/>
      <c r="G62" s="58">
        <v>147.86564971923829</v>
      </c>
      <c r="H62" s="58">
        <v>36.774204925060275</v>
      </c>
      <c r="I62" s="58">
        <v>30.935644680261611</v>
      </c>
      <c r="J62" s="45">
        <v>63.839985180728959</v>
      </c>
      <c r="K62" s="13"/>
      <c r="L62" s="57"/>
      <c r="M62" s="57"/>
      <c r="N62" s="57"/>
      <c r="O62" s="57"/>
      <c r="P62" s="57"/>
      <c r="Q62" s="45" t="s">
        <v>27</v>
      </c>
      <c r="R62" s="13"/>
      <c r="S62" s="57"/>
      <c r="T62" s="57"/>
      <c r="U62" s="58">
        <v>42.096999645233154</v>
      </c>
      <c r="V62" s="58">
        <v>33.3580002784729</v>
      </c>
      <c r="W62" s="58">
        <v>89.491998910903931</v>
      </c>
      <c r="X62" s="58">
        <v>495.07999723404646</v>
      </c>
      <c r="Y62" s="27"/>
      <c r="Z62" s="57"/>
      <c r="AA62" s="57"/>
      <c r="AB62" s="57"/>
      <c r="AC62" s="57"/>
      <c r="AD62" s="57"/>
      <c r="AE62" s="57"/>
      <c r="AF62" s="41">
        <f t="shared" si="3"/>
        <v>660.02699606865644</v>
      </c>
    </row>
    <row r="63" spans="1:32" ht="15" customHeight="1">
      <c r="A63" s="3">
        <v>56</v>
      </c>
      <c r="B63" s="8" t="s">
        <v>82</v>
      </c>
      <c r="C63" s="23" t="s">
        <v>152</v>
      </c>
      <c r="D63" s="41">
        <f t="shared" si="2"/>
        <v>19162.314068670243</v>
      </c>
      <c r="E63" s="58">
        <v>261.42039823532104</v>
      </c>
      <c r="F63" s="58">
        <v>132.32010003328324</v>
      </c>
      <c r="G63" s="58">
        <v>98.940024444580075</v>
      </c>
      <c r="H63" s="58">
        <v>1.3726800692081451</v>
      </c>
      <c r="I63" s="58">
        <v>16.917210011291317</v>
      </c>
      <c r="J63" s="45">
        <v>50.650105653960324</v>
      </c>
      <c r="K63" s="13"/>
      <c r="L63" s="58">
        <v>8212.4860730869768</v>
      </c>
      <c r="M63" s="58">
        <v>563.8458517034054</v>
      </c>
      <c r="N63" s="58">
        <v>4215.9162580667435</v>
      </c>
      <c r="O63" s="58">
        <v>2338.3927252058647</v>
      </c>
      <c r="P63" s="58">
        <v>1348.1683777671326</v>
      </c>
      <c r="Q63" s="45">
        <v>1921.8842643924768</v>
      </c>
      <c r="R63" s="13"/>
      <c r="S63" s="58">
        <v>5.0859999656677246</v>
      </c>
      <c r="T63" s="58">
        <v>4.8779999911785126</v>
      </c>
      <c r="U63" s="58">
        <v>7.8929998874664307</v>
      </c>
      <c r="V63" s="58">
        <v>0.55800002813339233</v>
      </c>
      <c r="W63" s="58">
        <v>9.6659999629482627</v>
      </c>
      <c r="X63" s="58">
        <v>142.57699954509735</v>
      </c>
      <c r="Y63" s="27"/>
      <c r="Z63" s="58">
        <v>91.745000779628754</v>
      </c>
      <c r="AA63" s="58">
        <v>12.513000071048737</v>
      </c>
      <c r="AB63" s="58">
        <v>178.31000078469515</v>
      </c>
      <c r="AC63" s="58">
        <v>206.75199980847538</v>
      </c>
      <c r="AD63" s="58">
        <v>227.00800065603107</v>
      </c>
      <c r="AE63" s="58">
        <v>2521.5311198104173</v>
      </c>
      <c r="AF63" s="41">
        <f t="shared" si="3"/>
        <v>3408.5171212907881</v>
      </c>
    </row>
    <row r="64" spans="1:32" ht="15" customHeight="1">
      <c r="A64" s="3">
        <v>57</v>
      </c>
      <c r="B64" s="8" t="s">
        <v>83</v>
      </c>
      <c r="C64" s="23" t="s">
        <v>158</v>
      </c>
      <c r="D64" s="41">
        <f t="shared" si="2"/>
        <v>1016.5102759750705</v>
      </c>
      <c r="E64" s="57"/>
      <c r="F64" s="58">
        <v>196.6800385465622</v>
      </c>
      <c r="G64" s="58">
        <v>96.821955959290264</v>
      </c>
      <c r="H64" s="58">
        <v>94.682457875132556</v>
      </c>
      <c r="I64" s="58">
        <v>65.324394964694974</v>
      </c>
      <c r="J64" s="45">
        <v>56.849605521096677</v>
      </c>
      <c r="K64" s="13"/>
      <c r="L64" s="57"/>
      <c r="M64" s="57"/>
      <c r="N64" s="58">
        <v>243.89083485269546</v>
      </c>
      <c r="O64" s="58">
        <v>130.68990144759417</v>
      </c>
      <c r="P64" s="58">
        <v>45.340477344483141</v>
      </c>
      <c r="Q64" s="45">
        <v>86.230609463520992</v>
      </c>
      <c r="R64" s="13"/>
      <c r="S64" s="57"/>
      <c r="T64" s="58">
        <v>8.5429999828338623</v>
      </c>
      <c r="U64" s="58">
        <v>11.470000073313713</v>
      </c>
      <c r="V64" s="58">
        <v>25.722000181674957</v>
      </c>
      <c r="W64" s="58">
        <v>51.827000737190247</v>
      </c>
      <c r="X64" s="58">
        <v>196.45799320191145</v>
      </c>
      <c r="Y64" s="27"/>
      <c r="Z64" s="57"/>
      <c r="AA64" s="57"/>
      <c r="AB64" s="58">
        <v>7.8599998950958252</v>
      </c>
      <c r="AC64" s="58">
        <v>12.255999892950058</v>
      </c>
      <c r="AD64" s="58">
        <v>9.8299999069422483</v>
      </c>
      <c r="AE64" s="58">
        <v>132.49000054597855</v>
      </c>
      <c r="AF64" s="41">
        <f t="shared" si="3"/>
        <v>456.45599441789091</v>
      </c>
    </row>
    <row r="65" spans="1:32" ht="15" customHeight="1">
      <c r="A65" s="3">
        <v>58</v>
      </c>
      <c r="B65" s="8" t="s">
        <v>84</v>
      </c>
      <c r="C65" s="23" t="s">
        <v>150</v>
      </c>
      <c r="D65" s="41">
        <f t="shared" si="2"/>
        <v>616.30401730892811</v>
      </c>
      <c r="E65" s="57"/>
      <c r="F65" s="58">
        <v>267.66595467483995</v>
      </c>
      <c r="G65" s="58">
        <v>77.527623622417451</v>
      </c>
      <c r="H65" s="58">
        <v>145.51325512754917</v>
      </c>
      <c r="I65" s="58">
        <v>58.764680733054874</v>
      </c>
      <c r="J65" s="45">
        <v>66.832503151066561</v>
      </c>
      <c r="K65" s="13"/>
      <c r="L65" s="57"/>
      <c r="M65" s="57"/>
      <c r="N65" s="57"/>
      <c r="O65" s="57"/>
      <c r="P65" s="57"/>
      <c r="Q65" s="45" t="s">
        <v>27</v>
      </c>
      <c r="R65" s="13"/>
      <c r="S65" s="57"/>
      <c r="T65" s="58">
        <v>29.315000742673874</v>
      </c>
      <c r="U65" s="58">
        <v>9.5619998276233673</v>
      </c>
      <c r="V65" s="58">
        <v>49.248999565839767</v>
      </c>
      <c r="W65" s="58">
        <v>84.281999558210373</v>
      </c>
      <c r="X65" s="58">
        <v>335.05899970978498</v>
      </c>
      <c r="Y65" s="27"/>
      <c r="Z65" s="57"/>
      <c r="AA65" s="57"/>
      <c r="AB65" s="57"/>
      <c r="AC65" s="57"/>
      <c r="AD65" s="57"/>
      <c r="AE65" s="57"/>
      <c r="AF65" s="41">
        <f t="shared" si="3"/>
        <v>507.46699940413237</v>
      </c>
    </row>
    <row r="66" spans="1:32" ht="15" customHeight="1">
      <c r="A66" s="3">
        <v>59</v>
      </c>
      <c r="B66" s="8" t="s">
        <v>85</v>
      </c>
      <c r="C66" s="23" t="s">
        <v>152</v>
      </c>
      <c r="D66" s="41">
        <f t="shared" si="2"/>
        <v>4063.7402586318876</v>
      </c>
      <c r="E66" s="58">
        <v>156.25920581817627</v>
      </c>
      <c r="F66" s="57"/>
      <c r="G66" s="57"/>
      <c r="H66" s="58">
        <v>98.118225337326521</v>
      </c>
      <c r="I66" s="58">
        <v>10.305112928390503</v>
      </c>
      <c r="J66" s="45">
        <v>17.561069711996954</v>
      </c>
      <c r="K66" s="13"/>
      <c r="L66" s="58">
        <v>2093.9775608862637</v>
      </c>
      <c r="M66" s="57"/>
      <c r="N66" s="58">
        <v>508.09586994707587</v>
      </c>
      <c r="O66" s="58">
        <v>469.80240464012326</v>
      </c>
      <c r="P66" s="58">
        <v>346.773221672982</v>
      </c>
      <c r="Q66" s="45">
        <v>362.84758768955254</v>
      </c>
      <c r="R66" s="13"/>
      <c r="S66" s="58">
        <v>3.1760001182556152</v>
      </c>
      <c r="T66" s="57"/>
      <c r="U66" s="57"/>
      <c r="V66" s="58">
        <v>37.560999751091003</v>
      </c>
      <c r="W66" s="58">
        <v>16.46999979019165</v>
      </c>
      <c r="X66" s="58">
        <v>94.934000313282013</v>
      </c>
      <c r="Y66" s="27"/>
      <c r="Z66" s="58">
        <v>16.248000234365463</v>
      </c>
      <c r="AA66" s="57"/>
      <c r="AB66" s="58">
        <v>31.889000285416842</v>
      </c>
      <c r="AC66" s="58">
        <v>39.406999792903662</v>
      </c>
      <c r="AD66" s="58">
        <v>67.892999216914177</v>
      </c>
      <c r="AE66" s="58">
        <v>523.74701149016619</v>
      </c>
      <c r="AF66" s="41">
        <f t="shared" si="3"/>
        <v>831.32501099258661</v>
      </c>
    </row>
    <row r="67" spans="1:32" ht="15" customHeight="1">
      <c r="A67" s="3">
        <v>60</v>
      </c>
      <c r="B67" s="8" t="s">
        <v>86</v>
      </c>
      <c r="C67" s="23" t="s">
        <v>150</v>
      </c>
      <c r="D67" s="41">
        <f t="shared" si="2"/>
        <v>532.50541024150823</v>
      </c>
      <c r="E67" s="57"/>
      <c r="F67" s="58">
        <v>212.70009115266799</v>
      </c>
      <c r="G67" s="58">
        <v>72.065447571545846</v>
      </c>
      <c r="H67" s="58">
        <v>135.45916940915583</v>
      </c>
      <c r="I67" s="58">
        <v>61.446424212455753</v>
      </c>
      <c r="J67" s="45">
        <v>50.83427789568286</v>
      </c>
      <c r="K67" s="13"/>
      <c r="L67" s="57"/>
      <c r="M67" s="57"/>
      <c r="N67" s="57"/>
      <c r="O67" s="57"/>
      <c r="P67" s="57"/>
      <c r="Q67" s="45" t="s">
        <v>27</v>
      </c>
      <c r="R67" s="13"/>
      <c r="S67" s="57"/>
      <c r="T67" s="58">
        <v>29.422000288963318</v>
      </c>
      <c r="U67" s="58">
        <v>12.467999681830406</v>
      </c>
      <c r="V67" s="58">
        <v>69.540999948978424</v>
      </c>
      <c r="W67" s="58">
        <v>88.344000220298767</v>
      </c>
      <c r="X67" s="58">
        <v>254.6959972679615</v>
      </c>
      <c r="Y67" s="27"/>
      <c r="Z67" s="57"/>
      <c r="AA67" s="57"/>
      <c r="AB67" s="57"/>
      <c r="AC67" s="57"/>
      <c r="AD67" s="57"/>
      <c r="AE67" s="57"/>
      <c r="AF67" s="41">
        <f t="shared" si="3"/>
        <v>454.47099740803242</v>
      </c>
    </row>
    <row r="68" spans="1:32" ht="15" customHeight="1">
      <c r="A68" s="3">
        <v>61</v>
      </c>
      <c r="B68" s="8" t="s">
        <v>87</v>
      </c>
      <c r="C68" s="23" t="s">
        <v>151</v>
      </c>
      <c r="D68" s="41">
        <f t="shared" si="2"/>
        <v>852.60067229631034</v>
      </c>
      <c r="E68" s="57"/>
      <c r="F68" s="58">
        <v>444.12151598453522</v>
      </c>
      <c r="G68" s="57"/>
      <c r="H68" s="58">
        <v>107.08106764734536</v>
      </c>
      <c r="I68" s="58">
        <v>116.05787221270799</v>
      </c>
      <c r="J68" s="45">
        <v>145.46123283846086</v>
      </c>
      <c r="K68" s="13"/>
      <c r="L68" s="57"/>
      <c r="M68" s="57"/>
      <c r="N68" s="58">
        <v>13.049499779939651</v>
      </c>
      <c r="O68" s="58">
        <v>17.271846092820166</v>
      </c>
      <c r="P68" s="58">
        <v>4.9921720671653746</v>
      </c>
      <c r="Q68" s="45">
        <v>4.5654656733357539</v>
      </c>
      <c r="R68" s="13"/>
      <c r="S68" s="57"/>
      <c r="T68" s="58">
        <v>29.56000030040741</v>
      </c>
      <c r="U68" s="57"/>
      <c r="V68" s="58">
        <v>54.403999738395214</v>
      </c>
      <c r="W68" s="58">
        <v>102.77000111341476</v>
      </c>
      <c r="X68" s="58">
        <v>538.39298508316278</v>
      </c>
      <c r="Y68" s="27"/>
      <c r="Z68" s="57"/>
      <c r="AA68" s="57"/>
      <c r="AB68" s="58">
        <v>0.54699999094009399</v>
      </c>
      <c r="AC68" s="58">
        <v>1.3130000084638596</v>
      </c>
      <c r="AD68" s="58">
        <v>2.4290000051259995</v>
      </c>
      <c r="AE68" s="58">
        <v>11.624000072479248</v>
      </c>
      <c r="AF68" s="41">
        <f t="shared" si="3"/>
        <v>741.03998631238937</v>
      </c>
    </row>
    <row r="69" spans="1:32" ht="15" customHeight="1">
      <c r="A69" s="3">
        <v>62</v>
      </c>
      <c r="B69" s="8" t="s">
        <v>88</v>
      </c>
      <c r="C69" s="23" t="s">
        <v>150</v>
      </c>
      <c r="D69" s="41">
        <f t="shared" si="2"/>
        <v>535.84607879195732</v>
      </c>
      <c r="E69" s="58">
        <v>141.08631019926071</v>
      </c>
      <c r="F69" s="58">
        <v>125.42636507701874</v>
      </c>
      <c r="G69" s="58">
        <v>83.43347361671924</v>
      </c>
      <c r="H69" s="58">
        <v>57.169132116645578</v>
      </c>
      <c r="I69" s="58">
        <v>50.410068119466303</v>
      </c>
      <c r="J69" s="45">
        <v>78.320729662846787</v>
      </c>
      <c r="K69" s="13"/>
      <c r="L69" s="57"/>
      <c r="M69" s="57"/>
      <c r="N69" s="57"/>
      <c r="O69" s="57"/>
      <c r="P69" s="57"/>
      <c r="Q69" s="45" t="s">
        <v>27</v>
      </c>
      <c r="R69" s="13"/>
      <c r="S69" s="58">
        <v>4.0390000343322754</v>
      </c>
      <c r="T69" s="58">
        <v>16.254000186920166</v>
      </c>
      <c r="U69" s="58">
        <v>21.756000071763992</v>
      </c>
      <c r="V69" s="58">
        <v>32.57199989259243</v>
      </c>
      <c r="W69" s="58">
        <v>54.240999519824982</v>
      </c>
      <c r="X69" s="58">
        <v>327.41500689089298</v>
      </c>
      <c r="Y69" s="27"/>
      <c r="Z69" s="57"/>
      <c r="AA69" s="57"/>
      <c r="AB69" s="57"/>
      <c r="AC69" s="57"/>
      <c r="AD69" s="57"/>
      <c r="AE69" s="57"/>
      <c r="AF69" s="41">
        <f t="shared" si="3"/>
        <v>456.27700659632683</v>
      </c>
    </row>
    <row r="70" spans="1:32" ht="15" customHeight="1">
      <c r="A70" s="3">
        <v>63</v>
      </c>
      <c r="B70" s="8" t="s">
        <v>89</v>
      </c>
      <c r="C70" s="23" t="s">
        <v>151</v>
      </c>
      <c r="D70" s="41">
        <f t="shared" si="2"/>
        <v>2262.2341534512202</v>
      </c>
      <c r="E70" s="58">
        <v>672.16846958780286</v>
      </c>
      <c r="F70" s="58">
        <v>159.28868136525153</v>
      </c>
      <c r="G70" s="58">
        <v>65.020555356144911</v>
      </c>
      <c r="H70" s="58">
        <v>424.64244075071809</v>
      </c>
      <c r="I70" s="58">
        <v>104.10209145361185</v>
      </c>
      <c r="J70" s="45">
        <v>225.92222827882622</v>
      </c>
      <c r="K70" s="13"/>
      <c r="L70" s="58">
        <v>133.56019897460936</v>
      </c>
      <c r="M70" s="57"/>
      <c r="N70" s="58">
        <v>220.28042534428835</v>
      </c>
      <c r="O70" s="58">
        <v>182.49072963726522</v>
      </c>
      <c r="P70" s="58">
        <v>33.854849942058323</v>
      </c>
      <c r="Q70" s="45">
        <v>40.90348276064362</v>
      </c>
      <c r="R70" s="13"/>
      <c r="S70" s="58">
        <v>19.378000289201736</v>
      </c>
      <c r="T70" s="58">
        <v>16.228000104427338</v>
      </c>
      <c r="U70" s="58">
        <v>11.366999864578247</v>
      </c>
      <c r="V70" s="58">
        <v>88.954000413417816</v>
      </c>
      <c r="W70" s="58">
        <v>87.019000202417374</v>
      </c>
      <c r="X70" s="58">
        <v>806.61797757074237</v>
      </c>
      <c r="Y70" s="27"/>
      <c r="Z70" s="58">
        <v>3.4459999799728394</v>
      </c>
      <c r="AA70" s="57"/>
      <c r="AB70" s="58">
        <v>12.090000063180923</v>
      </c>
      <c r="AC70" s="58">
        <v>15.955000191926956</v>
      </c>
      <c r="AD70" s="58">
        <v>10.085999995470047</v>
      </c>
      <c r="AE70" s="58">
        <v>76.65199825912714</v>
      </c>
      <c r="AF70" s="41">
        <f t="shared" si="3"/>
        <v>1147.7929769344628</v>
      </c>
    </row>
    <row r="71" spans="1:32" ht="15" customHeight="1">
      <c r="A71" s="3">
        <v>64</v>
      </c>
      <c r="B71" s="8" t="s">
        <v>90</v>
      </c>
      <c r="C71" s="23" t="s">
        <v>150</v>
      </c>
      <c r="D71" s="41">
        <f t="shared" si="2"/>
        <v>532.9469325931766</v>
      </c>
      <c r="E71" s="57"/>
      <c r="F71" s="58">
        <v>298.08018977451326</v>
      </c>
      <c r="G71" s="58">
        <v>27.601867702543736</v>
      </c>
      <c r="H71" s="58">
        <v>121.87904387027025</v>
      </c>
      <c r="I71" s="58">
        <v>26.284164311528205</v>
      </c>
      <c r="J71" s="45">
        <v>59.101666934321038</v>
      </c>
      <c r="K71" s="13"/>
      <c r="L71" s="57"/>
      <c r="M71" s="57"/>
      <c r="N71" s="57"/>
      <c r="O71" s="57"/>
      <c r="P71" s="57"/>
      <c r="Q71" s="45" t="s">
        <v>27</v>
      </c>
      <c r="R71" s="13"/>
      <c r="S71" s="57"/>
      <c r="T71" s="58">
        <v>34.273999691009521</v>
      </c>
      <c r="U71" s="58">
        <v>4.6079999655485153</v>
      </c>
      <c r="V71" s="58">
        <v>97.208001561462879</v>
      </c>
      <c r="W71" s="58">
        <v>67.958000421524048</v>
      </c>
      <c r="X71" s="58">
        <v>427.27300101518631</v>
      </c>
      <c r="Y71" s="27"/>
      <c r="Z71" s="57"/>
      <c r="AA71" s="57"/>
      <c r="AB71" s="57"/>
      <c r="AC71" s="57"/>
      <c r="AD71" s="57"/>
      <c r="AE71" s="57"/>
      <c r="AF71" s="41">
        <f t="shared" si="3"/>
        <v>631.32100265473127</v>
      </c>
    </row>
    <row r="72" spans="1:32" ht="15" customHeight="1">
      <c r="A72" s="3">
        <v>65</v>
      </c>
      <c r="B72" s="8" t="s">
        <v>91</v>
      </c>
      <c r="C72" s="23" t="s">
        <v>150</v>
      </c>
      <c r="D72" s="41">
        <f t="shared" ref="D72:D103" si="4">SUM(E72:J72)+SUM(L72:Q72)</f>
        <v>186.59907658915412</v>
      </c>
      <c r="E72" s="57"/>
      <c r="F72" s="57"/>
      <c r="G72" s="58">
        <v>61.057747615575792</v>
      </c>
      <c r="H72" s="58">
        <v>54.992140667915343</v>
      </c>
      <c r="I72" s="58">
        <v>19.998557009577752</v>
      </c>
      <c r="J72" s="45">
        <v>50.550631296085243</v>
      </c>
      <c r="K72" s="13"/>
      <c r="L72" s="57"/>
      <c r="M72" s="57"/>
      <c r="N72" s="57"/>
      <c r="O72" s="57"/>
      <c r="P72" s="57"/>
      <c r="Q72" s="45" t="s">
        <v>27</v>
      </c>
      <c r="R72" s="13"/>
      <c r="S72" s="57"/>
      <c r="T72" s="57"/>
      <c r="U72" s="58">
        <v>14.845000028610229</v>
      </c>
      <c r="V72" s="58">
        <v>39.103999733924866</v>
      </c>
      <c r="W72" s="58">
        <v>47.785000145435333</v>
      </c>
      <c r="X72" s="58">
        <v>347.88101278245449</v>
      </c>
      <c r="Y72" s="27"/>
      <c r="Z72" s="57"/>
      <c r="AA72" s="57"/>
      <c r="AB72" s="57"/>
      <c r="AC72" s="57"/>
      <c r="AD72" s="57"/>
      <c r="AE72" s="57"/>
      <c r="AF72" s="41">
        <f t="shared" ref="AF72:AF103" si="5">SUM(S72:AE72)</f>
        <v>449.61501269042492</v>
      </c>
    </row>
    <row r="73" spans="1:32" ht="15" customHeight="1">
      <c r="A73" s="3">
        <v>66</v>
      </c>
      <c r="B73" s="8" t="s">
        <v>92</v>
      </c>
      <c r="C73" s="23" t="s">
        <v>150</v>
      </c>
      <c r="D73" s="41">
        <f t="shared" si="4"/>
        <v>356.88849768329885</v>
      </c>
      <c r="E73" s="57"/>
      <c r="F73" s="58">
        <v>80.617980651855476</v>
      </c>
      <c r="G73" s="58">
        <v>89.447763209104536</v>
      </c>
      <c r="H73" s="58">
        <v>88.215543096303946</v>
      </c>
      <c r="I73" s="58">
        <v>34.35628312563896</v>
      </c>
      <c r="J73" s="45">
        <v>64.250927600395869</v>
      </c>
      <c r="K73" s="13"/>
      <c r="L73" s="57"/>
      <c r="M73" s="57"/>
      <c r="N73" s="57"/>
      <c r="O73" s="57"/>
      <c r="P73" s="57"/>
      <c r="Q73" s="45" t="s">
        <v>27</v>
      </c>
      <c r="R73" s="13"/>
      <c r="S73" s="57"/>
      <c r="T73" s="58">
        <v>15.097000122070312</v>
      </c>
      <c r="U73" s="58">
        <v>26.036999762058258</v>
      </c>
      <c r="V73" s="58">
        <v>56.482999563217163</v>
      </c>
      <c r="W73" s="58">
        <v>63.988000392913818</v>
      </c>
      <c r="X73" s="58">
        <v>378.42500980198383</v>
      </c>
      <c r="Y73" s="27"/>
      <c r="Z73" s="57"/>
      <c r="AA73" s="57"/>
      <c r="AB73" s="57"/>
      <c r="AC73" s="57"/>
      <c r="AD73" s="57"/>
      <c r="AE73" s="57"/>
      <c r="AF73" s="41">
        <f t="shared" si="5"/>
        <v>540.03000964224339</v>
      </c>
    </row>
    <row r="74" spans="1:32" ht="15" customHeight="1">
      <c r="A74" s="3">
        <v>67</v>
      </c>
      <c r="B74" s="8" t="s">
        <v>93</v>
      </c>
      <c r="C74" s="23" t="s">
        <v>150</v>
      </c>
      <c r="D74" s="41">
        <f t="shared" si="4"/>
        <v>673.44788765315172</v>
      </c>
      <c r="E74" s="57"/>
      <c r="F74" s="58">
        <v>300.42220815616844</v>
      </c>
      <c r="G74" s="57"/>
      <c r="H74" s="58">
        <v>211.50906579434871</v>
      </c>
      <c r="I74" s="58">
        <v>55.568692530095575</v>
      </c>
      <c r="J74" s="45">
        <v>105.94792117253898</v>
      </c>
      <c r="K74" s="13"/>
      <c r="L74" s="57"/>
      <c r="M74" s="57"/>
      <c r="N74" s="57"/>
      <c r="O74" s="57"/>
      <c r="P74" s="57"/>
      <c r="Q74" s="45" t="s">
        <v>27</v>
      </c>
      <c r="R74" s="13"/>
      <c r="S74" s="57"/>
      <c r="T74" s="58">
        <v>46.571000277996063</v>
      </c>
      <c r="U74" s="57"/>
      <c r="V74" s="58">
        <v>97.566000819206238</v>
      </c>
      <c r="W74" s="58">
        <v>66.80999943614006</v>
      </c>
      <c r="X74" s="58">
        <v>473.1159939467907</v>
      </c>
      <c r="Y74" s="27"/>
      <c r="Z74" s="57"/>
      <c r="AA74" s="57"/>
      <c r="AB74" s="57"/>
      <c r="AC74" s="57"/>
      <c r="AD74" s="57"/>
      <c r="AE74" s="57"/>
      <c r="AF74" s="41">
        <f t="shared" si="5"/>
        <v>684.06299448013306</v>
      </c>
    </row>
    <row r="75" spans="1:32" ht="15" customHeight="1">
      <c r="A75" s="3">
        <v>68</v>
      </c>
      <c r="B75" s="8" t="s">
        <v>94</v>
      </c>
      <c r="C75" s="23" t="s">
        <v>150</v>
      </c>
      <c r="D75" s="41">
        <f t="shared" si="4"/>
        <v>404.64267009299999</v>
      </c>
      <c r="E75" s="57"/>
      <c r="F75" s="58">
        <v>194.76595448112488</v>
      </c>
      <c r="G75" s="58">
        <v>24.661279604434966</v>
      </c>
      <c r="H75" s="58">
        <v>67.918958336114883</v>
      </c>
      <c r="I75" s="58">
        <v>51.034134907066822</v>
      </c>
      <c r="J75" s="45">
        <v>66.26234276425842</v>
      </c>
      <c r="K75" s="13"/>
      <c r="L75" s="57"/>
      <c r="M75" s="57"/>
      <c r="N75" s="57"/>
      <c r="O75" s="57"/>
      <c r="P75" s="57"/>
      <c r="Q75" s="45" t="s">
        <v>27</v>
      </c>
      <c r="R75" s="13"/>
      <c r="S75" s="57"/>
      <c r="T75" s="58">
        <v>44.263999938964844</v>
      </c>
      <c r="U75" s="58">
        <v>8.4709998667240143</v>
      </c>
      <c r="V75" s="58">
        <v>54.27500057220459</v>
      </c>
      <c r="W75" s="58">
        <v>88.727999538183212</v>
      </c>
      <c r="X75" s="58">
        <v>373.8440073132515</v>
      </c>
      <c r="Y75" s="27"/>
      <c r="Z75" s="57"/>
      <c r="AA75" s="57"/>
      <c r="AB75" s="57"/>
      <c r="AC75" s="57"/>
      <c r="AD75" s="57"/>
      <c r="AE75" s="57"/>
      <c r="AF75" s="41">
        <f t="shared" si="5"/>
        <v>569.58200722932816</v>
      </c>
    </row>
    <row r="76" spans="1:32" ht="15" customHeight="1">
      <c r="A76" s="3">
        <v>69</v>
      </c>
      <c r="B76" s="8" t="s">
        <v>95</v>
      </c>
      <c r="C76" s="23" t="s">
        <v>150</v>
      </c>
      <c r="D76" s="41">
        <f t="shared" si="4"/>
        <v>639.67418176931119</v>
      </c>
      <c r="E76" s="57"/>
      <c r="F76" s="58">
        <v>338.68999431157113</v>
      </c>
      <c r="G76" s="58">
        <v>62.630438132286073</v>
      </c>
      <c r="H76" s="58">
        <v>65.323416949033742</v>
      </c>
      <c r="I76" s="58">
        <v>79.375754654109471</v>
      </c>
      <c r="J76" s="45">
        <v>93.654577722310677</v>
      </c>
      <c r="K76" s="13"/>
      <c r="L76" s="57"/>
      <c r="M76" s="57"/>
      <c r="N76" s="57"/>
      <c r="O76" s="57"/>
      <c r="P76" s="57"/>
      <c r="Q76" s="45" t="s">
        <v>27</v>
      </c>
      <c r="R76" s="13"/>
      <c r="S76" s="57"/>
      <c r="T76" s="58">
        <v>38.135000586509705</v>
      </c>
      <c r="U76" s="58">
        <v>13.212999820709229</v>
      </c>
      <c r="V76" s="58">
        <v>34.560999810695648</v>
      </c>
      <c r="W76" s="58">
        <v>106.31499898433685</v>
      </c>
      <c r="X76" s="58">
        <v>448.91799795627594</v>
      </c>
      <c r="Y76" s="27"/>
      <c r="Z76" s="57"/>
      <c r="AA76" s="57"/>
      <c r="AB76" s="57"/>
      <c r="AC76" s="57"/>
      <c r="AD76" s="57"/>
      <c r="AE76" s="57"/>
      <c r="AF76" s="41">
        <f t="shared" si="5"/>
        <v>641.14199715852737</v>
      </c>
    </row>
    <row r="77" spans="1:32" ht="15" customHeight="1">
      <c r="A77" s="3">
        <v>70</v>
      </c>
      <c r="B77" s="8" t="s">
        <v>96</v>
      </c>
      <c r="C77" s="23" t="s">
        <v>150</v>
      </c>
      <c r="D77" s="41">
        <f t="shared" si="4"/>
        <v>387.00300088697975</v>
      </c>
      <c r="E77" s="58">
        <v>110.29754902648926</v>
      </c>
      <c r="F77" s="58">
        <v>133.91753876876831</v>
      </c>
      <c r="G77" s="58">
        <v>21.659566048860551</v>
      </c>
      <c r="H77" s="58">
        <v>37.773787487626073</v>
      </c>
      <c r="I77" s="58">
        <v>34.7471907582283</v>
      </c>
      <c r="J77" s="45">
        <v>48.607368797007233</v>
      </c>
      <c r="K77" s="13"/>
      <c r="L77" s="57"/>
      <c r="M77" s="57"/>
      <c r="N77" s="57"/>
      <c r="O77" s="57"/>
      <c r="P77" s="57"/>
      <c r="Q77" s="45" t="s">
        <v>27</v>
      </c>
      <c r="R77" s="13"/>
      <c r="S77" s="58">
        <v>4.5279998779296875</v>
      </c>
      <c r="T77" s="58">
        <v>29.059000015258789</v>
      </c>
      <c r="U77" s="58">
        <v>2.8930000066757202</v>
      </c>
      <c r="V77" s="58">
        <v>15.641000151634216</v>
      </c>
      <c r="W77" s="58">
        <v>93.07699990272522</v>
      </c>
      <c r="X77" s="58">
        <v>359.26500883325934</v>
      </c>
      <c r="Y77" s="27"/>
      <c r="Z77" s="57"/>
      <c r="AA77" s="57"/>
      <c r="AB77" s="57"/>
      <c r="AC77" s="57"/>
      <c r="AD77" s="57"/>
      <c r="AE77" s="57"/>
      <c r="AF77" s="41">
        <f t="shared" si="5"/>
        <v>504.46300878748298</v>
      </c>
    </row>
    <row r="78" spans="1:32" ht="15" customHeight="1">
      <c r="A78" s="3">
        <v>71</v>
      </c>
      <c r="B78" s="8" t="s">
        <v>97</v>
      </c>
      <c r="C78" s="23" t="s">
        <v>151</v>
      </c>
      <c r="D78" s="41">
        <f t="shared" si="4"/>
        <v>795.35645297144379</v>
      </c>
      <c r="E78" s="57"/>
      <c r="F78" s="58">
        <v>247.21608748328686</v>
      </c>
      <c r="G78" s="58">
        <v>79.696685004830357</v>
      </c>
      <c r="H78" s="58">
        <v>78.040883863866327</v>
      </c>
      <c r="I78" s="58">
        <v>95.60491061645746</v>
      </c>
      <c r="J78" s="45">
        <v>130.77805299637882</v>
      </c>
      <c r="K78" s="13"/>
      <c r="L78" s="57"/>
      <c r="M78" s="57"/>
      <c r="N78" s="58">
        <v>78.239568007469174</v>
      </c>
      <c r="O78" s="58">
        <v>58.015108170181513</v>
      </c>
      <c r="P78" s="58">
        <v>8.264945866376161</v>
      </c>
      <c r="Q78" s="45">
        <v>19.500210962597212</v>
      </c>
      <c r="R78" s="13"/>
      <c r="S78" s="57"/>
      <c r="T78" s="58">
        <v>38.237000077962875</v>
      </c>
      <c r="U78" s="58">
        <v>21.776000022888184</v>
      </c>
      <c r="V78" s="58">
        <v>46.463001251220703</v>
      </c>
      <c r="W78" s="58">
        <v>127.52900087833405</v>
      </c>
      <c r="X78" s="58">
        <v>625.26199751347303</v>
      </c>
      <c r="Y78" s="27"/>
      <c r="Z78" s="57"/>
      <c r="AA78" s="57"/>
      <c r="AB78" s="58">
        <v>12.072999745607376</v>
      </c>
      <c r="AC78" s="58">
        <v>9.1870000213384628</v>
      </c>
      <c r="AD78" s="58">
        <v>4.7129999250173569</v>
      </c>
      <c r="AE78" s="58">
        <v>54.823998153209686</v>
      </c>
      <c r="AF78" s="41">
        <f t="shared" si="5"/>
        <v>940.06399758905172</v>
      </c>
    </row>
    <row r="79" spans="1:32" ht="15" customHeight="1">
      <c r="A79" s="3">
        <v>72</v>
      </c>
      <c r="B79" s="8" t="s">
        <v>98</v>
      </c>
      <c r="C79" s="23" t="s">
        <v>150</v>
      </c>
      <c r="D79" s="41">
        <f t="shared" si="4"/>
        <v>674.70481684934134</v>
      </c>
      <c r="E79" s="58">
        <v>402.75513855934145</v>
      </c>
      <c r="F79" s="58">
        <v>101.5257587672472</v>
      </c>
      <c r="G79" s="58">
        <v>34.284472084999088</v>
      </c>
      <c r="H79" s="58">
        <v>50.602465332388881</v>
      </c>
      <c r="I79" s="58">
        <v>27.574997677743436</v>
      </c>
      <c r="J79" s="45">
        <v>57.961984427621374</v>
      </c>
      <c r="K79" s="13"/>
      <c r="L79" s="57"/>
      <c r="M79" s="57"/>
      <c r="N79" s="57"/>
      <c r="O79" s="57"/>
      <c r="P79" s="57"/>
      <c r="Q79" s="45" t="s">
        <v>27</v>
      </c>
      <c r="R79" s="13"/>
      <c r="S79" s="58">
        <v>20.961999893188477</v>
      </c>
      <c r="T79" s="58">
        <v>16.749000445008278</v>
      </c>
      <c r="U79" s="58">
        <v>6.7890000343322754</v>
      </c>
      <c r="V79" s="58">
        <v>34.247000053524971</v>
      </c>
      <c r="W79" s="58">
        <v>51.790999457240105</v>
      </c>
      <c r="X79" s="58">
        <v>343.18000127375126</v>
      </c>
      <c r="Y79" s="27"/>
      <c r="Z79" s="57"/>
      <c r="AA79" s="57"/>
      <c r="AB79" s="57"/>
      <c r="AC79" s="57"/>
      <c r="AD79" s="57"/>
      <c r="AE79" s="57"/>
      <c r="AF79" s="41">
        <f t="shared" si="5"/>
        <v>473.71800115704536</v>
      </c>
    </row>
    <row r="80" spans="1:32" ht="15" customHeight="1">
      <c r="A80" s="3">
        <v>73</v>
      </c>
      <c r="B80" s="8" t="s">
        <v>99</v>
      </c>
      <c r="C80" s="23" t="s">
        <v>151</v>
      </c>
      <c r="D80" s="41">
        <f t="shared" si="4"/>
        <v>2099.3745910656276</v>
      </c>
      <c r="E80" s="58">
        <v>119.61899697780609</v>
      </c>
      <c r="F80" s="58">
        <v>192.15622201085091</v>
      </c>
      <c r="G80" s="58">
        <v>9.6875202786922454</v>
      </c>
      <c r="H80" s="58">
        <v>121.3562844260037</v>
      </c>
      <c r="I80" s="58">
        <v>102.41751429679989</v>
      </c>
      <c r="J80" s="45">
        <v>79.821102249966032</v>
      </c>
      <c r="K80" s="13"/>
      <c r="L80" s="58">
        <v>472.90474977779388</v>
      </c>
      <c r="M80" s="57"/>
      <c r="N80" s="58">
        <v>434.90386610692741</v>
      </c>
      <c r="O80" s="58">
        <v>322.32208595634995</v>
      </c>
      <c r="P80" s="58">
        <v>81.945868677645919</v>
      </c>
      <c r="Q80" s="45">
        <v>162.24038030679162</v>
      </c>
      <c r="R80" s="13"/>
      <c r="S80" s="58">
        <v>4.0079998970031738</v>
      </c>
      <c r="T80" s="58">
        <v>16.715999811887741</v>
      </c>
      <c r="U80" s="58">
        <v>1.2680000364780426</v>
      </c>
      <c r="V80" s="58">
        <v>52.45200003683567</v>
      </c>
      <c r="W80" s="58">
        <v>74.107999660074711</v>
      </c>
      <c r="X80" s="58">
        <v>260.41999635845423</v>
      </c>
      <c r="Y80" s="27"/>
      <c r="Z80" s="58">
        <v>13.311999917030334</v>
      </c>
      <c r="AA80" s="57"/>
      <c r="AB80" s="58">
        <v>27.598999887704849</v>
      </c>
      <c r="AC80" s="58">
        <v>54.359999738633633</v>
      </c>
      <c r="AD80" s="58">
        <v>25.110000278800726</v>
      </c>
      <c r="AE80" s="58">
        <v>309.42699115350842</v>
      </c>
      <c r="AF80" s="41">
        <f t="shared" si="5"/>
        <v>838.77998677641153</v>
      </c>
    </row>
    <row r="81" spans="1:32" ht="15" customHeight="1">
      <c r="A81" s="3">
        <v>74</v>
      </c>
      <c r="B81" s="8" t="s">
        <v>100</v>
      </c>
      <c r="C81" s="23" t="s">
        <v>150</v>
      </c>
      <c r="D81" s="41">
        <f t="shared" si="4"/>
        <v>426.54450184807155</v>
      </c>
      <c r="E81" s="57"/>
      <c r="F81" s="58">
        <v>178.98660996532439</v>
      </c>
      <c r="G81" s="58">
        <v>14.661600093841553</v>
      </c>
      <c r="H81" s="58">
        <v>55.114444255828857</v>
      </c>
      <c r="I81" s="58">
        <v>74.147662246704101</v>
      </c>
      <c r="J81" s="45">
        <v>103.63418528637266</v>
      </c>
      <c r="K81" s="13"/>
      <c r="L81" s="57"/>
      <c r="M81" s="57"/>
      <c r="N81" s="57"/>
      <c r="O81" s="57"/>
      <c r="P81" s="57"/>
      <c r="Q81" s="45" t="s">
        <v>27</v>
      </c>
      <c r="R81" s="13"/>
      <c r="S81" s="57"/>
      <c r="T81" s="58">
        <v>22.252000451087952</v>
      </c>
      <c r="U81" s="58">
        <v>11.920000076293945</v>
      </c>
      <c r="V81" s="58">
        <v>25.736999869346619</v>
      </c>
      <c r="W81" s="58">
        <v>105.72499847412109</v>
      </c>
      <c r="X81" s="58">
        <v>516.55798652768135</v>
      </c>
      <c r="Y81" s="27"/>
      <c r="Z81" s="57"/>
      <c r="AA81" s="57"/>
      <c r="AB81" s="57"/>
      <c r="AC81" s="57"/>
      <c r="AD81" s="57"/>
      <c r="AE81" s="57"/>
      <c r="AF81" s="41">
        <f t="shared" si="5"/>
        <v>682.19198539853096</v>
      </c>
    </row>
    <row r="82" spans="1:32" ht="15" customHeight="1">
      <c r="A82" s="3">
        <v>75</v>
      </c>
      <c r="B82" s="8" t="s">
        <v>101</v>
      </c>
      <c r="C82" s="23" t="s">
        <v>150</v>
      </c>
      <c r="D82" s="41">
        <f t="shared" si="4"/>
        <v>276.12695973478571</v>
      </c>
      <c r="E82" s="57"/>
      <c r="F82" s="58">
        <v>61.950268754959104</v>
      </c>
      <c r="G82" s="57"/>
      <c r="H82" s="58">
        <v>135.11316028881072</v>
      </c>
      <c r="I82" s="58">
        <v>30.395165907382964</v>
      </c>
      <c r="J82" s="45">
        <v>48.66836478363291</v>
      </c>
      <c r="K82" s="13"/>
      <c r="L82" s="57"/>
      <c r="M82" s="57"/>
      <c r="N82" s="57"/>
      <c r="O82" s="57"/>
      <c r="P82" s="57"/>
      <c r="Q82" s="45" t="s">
        <v>27</v>
      </c>
      <c r="R82" s="13"/>
      <c r="S82" s="57"/>
      <c r="T82" s="58">
        <v>11.572999954223633</v>
      </c>
      <c r="U82" s="57"/>
      <c r="V82" s="58">
        <v>68.578000128269196</v>
      </c>
      <c r="W82" s="58">
        <v>59.315000057220459</v>
      </c>
      <c r="X82" s="58">
        <v>294.63899959623814</v>
      </c>
      <c r="Y82" s="27"/>
      <c r="Z82" s="57"/>
      <c r="AA82" s="57"/>
      <c r="AB82" s="57"/>
      <c r="AC82" s="57"/>
      <c r="AD82" s="57"/>
      <c r="AE82" s="57"/>
      <c r="AF82" s="41">
        <f t="shared" si="5"/>
        <v>434.10499973595142</v>
      </c>
    </row>
    <row r="83" spans="1:32" ht="15" customHeight="1">
      <c r="A83" s="3">
        <v>76</v>
      </c>
      <c r="B83" s="8" t="s">
        <v>102</v>
      </c>
      <c r="C83" s="23" t="s">
        <v>151</v>
      </c>
      <c r="D83" s="41">
        <f t="shared" si="4"/>
        <v>2702.2979251256475</v>
      </c>
      <c r="E83" s="58">
        <v>814.57347850036626</v>
      </c>
      <c r="F83" s="58">
        <v>41.874155184745788</v>
      </c>
      <c r="G83" s="58">
        <v>271.13003901016714</v>
      </c>
      <c r="H83" s="58">
        <v>78.100242482423781</v>
      </c>
      <c r="I83" s="58">
        <v>108.36373252356053</v>
      </c>
      <c r="J83" s="45">
        <v>133.13867492133542</v>
      </c>
      <c r="K83" s="13"/>
      <c r="L83" s="58">
        <v>430.99340053653719</v>
      </c>
      <c r="M83" s="57"/>
      <c r="N83" s="58">
        <v>353.93788908904793</v>
      </c>
      <c r="O83" s="58">
        <v>222.55781117096544</v>
      </c>
      <c r="P83" s="58">
        <v>92.82379427043908</v>
      </c>
      <c r="Q83" s="45">
        <v>154.80470743605872</v>
      </c>
      <c r="R83" s="13"/>
      <c r="S83" s="58">
        <v>15.372999906539917</v>
      </c>
      <c r="T83" s="58">
        <v>6.0739998817443848</v>
      </c>
      <c r="U83" s="58">
        <v>37.831000328063965</v>
      </c>
      <c r="V83" s="58">
        <v>35.030999898910522</v>
      </c>
      <c r="W83" s="58">
        <v>87.841000854969025</v>
      </c>
      <c r="X83" s="58">
        <v>466.31298732757568</v>
      </c>
      <c r="Y83" s="27"/>
      <c r="Z83" s="58">
        <v>8.9219998121261597</v>
      </c>
      <c r="AA83" s="57"/>
      <c r="AB83" s="58">
        <v>22.977999955415726</v>
      </c>
      <c r="AC83" s="58">
        <v>23.158999942243099</v>
      </c>
      <c r="AD83" s="58">
        <v>18.100000100210309</v>
      </c>
      <c r="AE83" s="58">
        <v>222.60500037670135</v>
      </c>
      <c r="AF83" s="41">
        <f t="shared" si="5"/>
        <v>944.22698838450015</v>
      </c>
    </row>
    <row r="84" spans="1:32" ht="15" customHeight="1">
      <c r="A84" s="3">
        <v>77</v>
      </c>
      <c r="B84" s="8" t="s">
        <v>103</v>
      </c>
      <c r="C84" s="23" t="s">
        <v>150</v>
      </c>
      <c r="D84" s="41">
        <f t="shared" si="4"/>
        <v>386.01878607596632</v>
      </c>
      <c r="E84" s="57"/>
      <c r="F84" s="58">
        <v>150.93693996357916</v>
      </c>
      <c r="G84" s="58">
        <v>45.094250231266024</v>
      </c>
      <c r="H84" s="58">
        <v>94.655365546226506</v>
      </c>
      <c r="I84" s="58">
        <v>37.945947112888099</v>
      </c>
      <c r="J84" s="45">
        <v>57.386283222006512</v>
      </c>
      <c r="K84" s="13"/>
      <c r="L84" s="57"/>
      <c r="M84" s="57"/>
      <c r="N84" s="57"/>
      <c r="O84" s="57"/>
      <c r="P84" s="57"/>
      <c r="Q84" s="45" t="s">
        <v>27</v>
      </c>
      <c r="R84" s="13"/>
      <c r="S84" s="57"/>
      <c r="T84" s="58">
        <v>25.449000418186188</v>
      </c>
      <c r="U84" s="58">
        <v>12.485999971628189</v>
      </c>
      <c r="V84" s="58">
        <v>64.966001152992249</v>
      </c>
      <c r="W84" s="58">
        <v>68.567000299692154</v>
      </c>
      <c r="X84" s="58">
        <v>331.66299776732922</v>
      </c>
      <c r="Y84" s="27"/>
      <c r="Z84" s="57"/>
      <c r="AA84" s="57"/>
      <c r="AB84" s="57"/>
      <c r="AC84" s="57"/>
      <c r="AD84" s="57"/>
      <c r="AE84" s="57"/>
      <c r="AF84" s="41">
        <f t="shared" si="5"/>
        <v>503.130999609828</v>
      </c>
    </row>
    <row r="85" spans="1:32" ht="15" customHeight="1">
      <c r="A85" s="3">
        <v>78</v>
      </c>
      <c r="B85" s="8" t="s">
        <v>104</v>
      </c>
      <c r="C85" s="23" t="s">
        <v>151</v>
      </c>
      <c r="D85" s="41">
        <f t="shared" si="4"/>
        <v>460.8998426548161</v>
      </c>
      <c r="E85" s="57"/>
      <c r="F85" s="58">
        <v>112.81693493747711</v>
      </c>
      <c r="G85" s="58">
        <v>29.216538968324663</v>
      </c>
      <c r="H85" s="58">
        <v>95.228300262451171</v>
      </c>
      <c r="I85" s="58">
        <v>57.748669608592984</v>
      </c>
      <c r="J85" s="45">
        <v>60.776176557826517</v>
      </c>
      <c r="K85" s="13"/>
      <c r="L85" s="57"/>
      <c r="M85" s="57"/>
      <c r="N85" s="58">
        <v>1.5040600502490997</v>
      </c>
      <c r="O85" s="58">
        <v>86.837715709388263</v>
      </c>
      <c r="P85" s="58">
        <v>7.2362989207506176</v>
      </c>
      <c r="Q85" s="45">
        <v>9.5351476397556958</v>
      </c>
      <c r="R85" s="13"/>
      <c r="S85" s="57"/>
      <c r="T85" s="58">
        <v>15.273999571800232</v>
      </c>
      <c r="U85" s="58">
        <v>10.655000329017639</v>
      </c>
      <c r="V85" s="58">
        <v>58.427000403404236</v>
      </c>
      <c r="W85" s="58">
        <v>81.268999755382538</v>
      </c>
      <c r="X85" s="58">
        <v>302.0529865026474</v>
      </c>
      <c r="Y85" s="27"/>
      <c r="Z85" s="57"/>
      <c r="AA85" s="57"/>
      <c r="AB85" s="58">
        <v>0.15700000524520874</v>
      </c>
      <c r="AC85" s="58">
        <v>10.986000001430511</v>
      </c>
      <c r="AD85" s="58">
        <v>3.996999979019165</v>
      </c>
      <c r="AE85" s="58">
        <v>26.496999621391296</v>
      </c>
      <c r="AF85" s="41">
        <f t="shared" si="5"/>
        <v>509.31498616933823</v>
      </c>
    </row>
    <row r="86" spans="1:32" ht="15" customHeight="1">
      <c r="A86" s="3">
        <v>79</v>
      </c>
      <c r="B86" s="8" t="s">
        <v>105</v>
      </c>
      <c r="C86" s="23" t="s">
        <v>150</v>
      </c>
      <c r="D86" s="41">
        <f t="shared" si="4"/>
        <v>1284.2270475270279</v>
      </c>
      <c r="E86" s="58">
        <v>323.29839217662811</v>
      </c>
      <c r="F86" s="58">
        <v>545.18872185987232</v>
      </c>
      <c r="G86" s="58">
        <v>71.057648140251644</v>
      </c>
      <c r="H86" s="58">
        <v>167.98896141401306</v>
      </c>
      <c r="I86" s="58">
        <v>34.914281012773515</v>
      </c>
      <c r="J86" s="45">
        <v>141.77904292348913</v>
      </c>
      <c r="K86" s="13"/>
      <c r="L86" s="57"/>
      <c r="M86" s="57"/>
      <c r="N86" s="57"/>
      <c r="O86" s="57"/>
      <c r="P86" s="57"/>
      <c r="Q86" s="45" t="s">
        <v>27</v>
      </c>
      <c r="R86" s="13"/>
      <c r="S86" s="58">
        <v>12.031999707221985</v>
      </c>
      <c r="T86" s="58">
        <v>73.944999545812607</v>
      </c>
      <c r="U86" s="58">
        <v>19.949000269174576</v>
      </c>
      <c r="V86" s="58">
        <v>48.33900061622262</v>
      </c>
      <c r="W86" s="58">
        <v>43.143000364303589</v>
      </c>
      <c r="X86" s="58">
        <v>646.22198933362961</v>
      </c>
      <c r="Y86" s="27"/>
      <c r="Z86" s="57"/>
      <c r="AA86" s="57"/>
      <c r="AB86" s="57"/>
      <c r="AC86" s="57"/>
      <c r="AD86" s="57"/>
      <c r="AE86" s="57"/>
      <c r="AF86" s="41">
        <f t="shared" si="5"/>
        <v>843.62998983636498</v>
      </c>
    </row>
    <row r="87" spans="1:32" ht="15" customHeight="1">
      <c r="A87" s="3">
        <v>80</v>
      </c>
      <c r="B87" s="8" t="s">
        <v>106</v>
      </c>
      <c r="C87" s="23" t="s">
        <v>150</v>
      </c>
      <c r="D87" s="41">
        <f t="shared" si="4"/>
        <v>305.32319528842152</v>
      </c>
      <c r="E87" s="57"/>
      <c r="F87" s="58">
        <v>81.282390440464013</v>
      </c>
      <c r="G87" s="58">
        <v>67.375090559363372</v>
      </c>
      <c r="H87" s="58">
        <v>67.889457477331163</v>
      </c>
      <c r="I87" s="58">
        <v>47.783515312880276</v>
      </c>
      <c r="J87" s="45">
        <v>40.992741498382628</v>
      </c>
      <c r="K87" s="13"/>
      <c r="L87" s="57"/>
      <c r="M87" s="57"/>
      <c r="N87" s="57"/>
      <c r="O87" s="57"/>
      <c r="P87" s="57"/>
      <c r="Q87" s="45" t="s">
        <v>27</v>
      </c>
      <c r="R87" s="13"/>
      <c r="S87" s="57"/>
      <c r="T87" s="58">
        <v>17.579000115394592</v>
      </c>
      <c r="U87" s="58">
        <v>10.245999485254288</v>
      </c>
      <c r="V87" s="58">
        <v>44.532999634742737</v>
      </c>
      <c r="W87" s="58">
        <v>43.105999365448952</v>
      </c>
      <c r="X87" s="58">
        <v>153.49700081348419</v>
      </c>
      <c r="Y87" s="27"/>
      <c r="Z87" s="57"/>
      <c r="AA87" s="57"/>
      <c r="AB87" s="57"/>
      <c r="AC87" s="57"/>
      <c r="AD87" s="57"/>
      <c r="AE87" s="57"/>
      <c r="AF87" s="41">
        <f t="shared" si="5"/>
        <v>268.96099941432476</v>
      </c>
    </row>
    <row r="88" spans="1:32" ht="15" customHeight="1">
      <c r="A88" s="3">
        <v>81</v>
      </c>
      <c r="B88" s="8" t="s">
        <v>107</v>
      </c>
      <c r="C88" s="23" t="s">
        <v>151</v>
      </c>
      <c r="D88" s="41">
        <f t="shared" si="4"/>
        <v>578.29073233119539</v>
      </c>
      <c r="E88" s="57"/>
      <c r="F88" s="58">
        <v>158.01314887189866</v>
      </c>
      <c r="G88" s="58">
        <v>45.541578965187071</v>
      </c>
      <c r="H88" s="58">
        <v>39.273321546554563</v>
      </c>
      <c r="I88" s="58">
        <v>35.072621978282932</v>
      </c>
      <c r="J88" s="45">
        <v>32.400260911362189</v>
      </c>
      <c r="K88" s="13"/>
      <c r="L88" s="57"/>
      <c r="M88" s="57"/>
      <c r="N88" s="58">
        <v>127.7779909967184</v>
      </c>
      <c r="O88" s="58">
        <v>92.12561831375956</v>
      </c>
      <c r="P88" s="58">
        <v>14.06312592035532</v>
      </c>
      <c r="Q88" s="45">
        <v>34.023064827076716</v>
      </c>
      <c r="R88" s="13"/>
      <c r="S88" s="57"/>
      <c r="T88" s="58">
        <v>24.629000067710876</v>
      </c>
      <c r="U88" s="58">
        <v>8.366999626159668</v>
      </c>
      <c r="V88" s="58">
        <v>29.792999714612961</v>
      </c>
      <c r="W88" s="58">
        <v>72.10999983549118</v>
      </c>
      <c r="X88" s="58">
        <v>202.99000692926347</v>
      </c>
      <c r="Y88" s="27"/>
      <c r="Z88" s="57"/>
      <c r="AA88" s="57"/>
      <c r="AB88" s="58">
        <v>12.66499999165535</v>
      </c>
      <c r="AC88" s="58">
        <v>15.140999913215637</v>
      </c>
      <c r="AD88" s="58">
        <v>5.4010000228881836</v>
      </c>
      <c r="AE88" s="58">
        <v>74.721996784210205</v>
      </c>
      <c r="AF88" s="41">
        <f t="shared" si="5"/>
        <v>445.81800288520753</v>
      </c>
    </row>
    <row r="89" spans="1:32" ht="15" customHeight="1">
      <c r="A89" s="3">
        <v>82</v>
      </c>
      <c r="B89" s="8" t="s">
        <v>108</v>
      </c>
      <c r="C89" s="23" t="s">
        <v>151</v>
      </c>
      <c r="D89" s="41">
        <f t="shared" si="4"/>
        <v>657.95662600231174</v>
      </c>
      <c r="E89" s="57"/>
      <c r="F89" s="58">
        <v>91.260808518409732</v>
      </c>
      <c r="G89" s="58">
        <v>132.90750027441979</v>
      </c>
      <c r="H89" s="58">
        <v>192.98169294953345</v>
      </c>
      <c r="I89" s="58">
        <v>67.100777003496887</v>
      </c>
      <c r="J89" s="45">
        <v>92.156399045109737</v>
      </c>
      <c r="K89" s="13"/>
      <c r="L89" s="57"/>
      <c r="M89" s="57"/>
      <c r="N89" s="58">
        <v>72.076751024127006</v>
      </c>
      <c r="O89" s="57"/>
      <c r="P89" s="57"/>
      <c r="Q89" s="49">
        <v>9.4726971872150614</v>
      </c>
      <c r="R89" s="13"/>
      <c r="S89" s="57"/>
      <c r="T89" s="58">
        <v>14.068999767303467</v>
      </c>
      <c r="U89" s="58">
        <v>20.429999947547913</v>
      </c>
      <c r="V89" s="58">
        <v>61.455000400543213</v>
      </c>
      <c r="W89" s="58">
        <v>77.33900061249733</v>
      </c>
      <c r="X89" s="58">
        <v>402.16498936712742</v>
      </c>
      <c r="Y89" s="27"/>
      <c r="Z89" s="57"/>
      <c r="AA89" s="57"/>
      <c r="AB89" s="58">
        <v>4.3970000445842743</v>
      </c>
      <c r="AC89" s="57"/>
      <c r="AD89" s="57"/>
      <c r="AE89" s="58">
        <v>17.197999715805054</v>
      </c>
      <c r="AF89" s="41">
        <f t="shared" si="5"/>
        <v>597.05298985540867</v>
      </c>
    </row>
    <row r="90" spans="1:32" ht="15" customHeight="1">
      <c r="A90" s="3">
        <v>83</v>
      </c>
      <c r="B90" s="8" t="s">
        <v>109</v>
      </c>
      <c r="C90" s="23" t="s">
        <v>150</v>
      </c>
      <c r="D90" s="41">
        <f t="shared" si="4"/>
        <v>145.95377236055867</v>
      </c>
      <c r="E90" s="57"/>
      <c r="F90" s="57"/>
      <c r="G90" s="58">
        <v>61.631388029575348</v>
      </c>
      <c r="H90" s="58">
        <v>35.001846017956737</v>
      </c>
      <c r="I90" s="58">
        <v>18.302722634434701</v>
      </c>
      <c r="J90" s="45">
        <v>31.017815678591894</v>
      </c>
      <c r="K90" s="13"/>
      <c r="L90" s="57"/>
      <c r="M90" s="57"/>
      <c r="N90" s="57"/>
      <c r="O90" s="57"/>
      <c r="P90" s="57"/>
      <c r="Q90" s="45" t="s">
        <v>27</v>
      </c>
      <c r="R90" s="13"/>
      <c r="S90" s="57"/>
      <c r="T90" s="57"/>
      <c r="U90" s="58">
        <v>19.386000633239746</v>
      </c>
      <c r="V90" s="58">
        <v>41.960999757051468</v>
      </c>
      <c r="W90" s="58">
        <v>40.395999670028687</v>
      </c>
      <c r="X90" s="58">
        <v>203.13199254870415</v>
      </c>
      <c r="Y90" s="27"/>
      <c r="Z90" s="57"/>
      <c r="AA90" s="57"/>
      <c r="AB90" s="57"/>
      <c r="AC90" s="57"/>
      <c r="AD90" s="57"/>
      <c r="AE90" s="57"/>
      <c r="AF90" s="41">
        <f t="shared" si="5"/>
        <v>304.87499260902405</v>
      </c>
    </row>
    <row r="91" spans="1:32" ht="15" customHeight="1">
      <c r="A91" s="3">
        <v>84</v>
      </c>
      <c r="B91" s="8" t="s">
        <v>110</v>
      </c>
      <c r="C91" s="23" t="s">
        <v>151</v>
      </c>
      <c r="D91" s="41">
        <f t="shared" si="4"/>
        <v>571.51764976395202</v>
      </c>
      <c r="E91" s="57"/>
      <c r="F91" s="58">
        <v>273.79613726782799</v>
      </c>
      <c r="G91" s="58">
        <v>43.978997447550299</v>
      </c>
      <c r="H91" s="58">
        <v>47.84731335687637</v>
      </c>
      <c r="I91" s="58">
        <v>30.75198518061638</v>
      </c>
      <c r="J91" s="45">
        <v>55.32370905420629</v>
      </c>
      <c r="K91" s="13"/>
      <c r="L91" s="57"/>
      <c r="M91" s="57"/>
      <c r="N91" s="58">
        <v>65.861533095359803</v>
      </c>
      <c r="O91" s="58">
        <v>10.198871993005275</v>
      </c>
      <c r="P91" s="58">
        <v>19.622245951443912</v>
      </c>
      <c r="Q91" s="45">
        <v>24.136856417065651</v>
      </c>
      <c r="R91" s="13"/>
      <c r="S91" s="57"/>
      <c r="T91" s="58">
        <v>21.65099972486496</v>
      </c>
      <c r="U91" s="58">
        <v>17.757999777793884</v>
      </c>
      <c r="V91" s="58">
        <v>24.517999768257141</v>
      </c>
      <c r="W91" s="58">
        <v>46.753000497817993</v>
      </c>
      <c r="X91" s="58">
        <v>287.03299809247255</v>
      </c>
      <c r="Y91" s="27"/>
      <c r="Z91" s="57"/>
      <c r="AA91" s="57"/>
      <c r="AB91" s="58">
        <v>5.3780000805854797</v>
      </c>
      <c r="AC91" s="58">
        <v>2.5760000050067902</v>
      </c>
      <c r="AD91" s="58">
        <v>6.6699999794363976</v>
      </c>
      <c r="AE91" s="58">
        <v>49.117001798003912</v>
      </c>
      <c r="AF91" s="41">
        <f t="shared" si="5"/>
        <v>461.45399972423911</v>
      </c>
    </row>
    <row r="92" spans="1:32" ht="15" customHeight="1">
      <c r="A92" s="3">
        <v>85</v>
      </c>
      <c r="B92" s="8" t="s">
        <v>111</v>
      </c>
      <c r="C92" s="23" t="s">
        <v>150</v>
      </c>
      <c r="D92" s="41">
        <f t="shared" si="4"/>
        <v>324.05644161426164</v>
      </c>
      <c r="E92" s="57"/>
      <c r="F92" s="58">
        <v>73.328350687026983</v>
      </c>
      <c r="G92" s="58">
        <v>39.281266382932664</v>
      </c>
      <c r="H92" s="58">
        <v>105.96605475464463</v>
      </c>
      <c r="I92" s="58">
        <v>35.812104080870746</v>
      </c>
      <c r="J92" s="45">
        <v>69.668665708786605</v>
      </c>
      <c r="K92" s="13"/>
      <c r="L92" s="57"/>
      <c r="M92" s="57"/>
      <c r="N92" s="57"/>
      <c r="O92" s="57"/>
      <c r="P92" s="57"/>
      <c r="Q92" s="45" t="s">
        <v>27</v>
      </c>
      <c r="R92" s="13"/>
      <c r="S92" s="57"/>
      <c r="T92" s="58">
        <v>13.802000045776367</v>
      </c>
      <c r="U92" s="58">
        <v>11.719000101089478</v>
      </c>
      <c r="V92" s="58">
        <v>55.031000405550003</v>
      </c>
      <c r="W92" s="58">
        <v>69.013999864459038</v>
      </c>
      <c r="X92" s="58">
        <v>419.17399394512177</v>
      </c>
      <c r="Y92" s="27"/>
      <c r="Z92" s="57"/>
      <c r="AA92" s="57"/>
      <c r="AB92" s="57"/>
      <c r="AC92" s="57"/>
      <c r="AD92" s="57"/>
      <c r="AE92" s="57"/>
      <c r="AF92" s="41">
        <f t="shared" si="5"/>
        <v>568.73999436199665</v>
      </c>
    </row>
    <row r="93" spans="1:32" ht="15" customHeight="1">
      <c r="A93" s="3">
        <v>86</v>
      </c>
      <c r="B93" s="8" t="s">
        <v>112</v>
      </c>
      <c r="C93" s="23" t="s">
        <v>150</v>
      </c>
      <c r="D93" s="41">
        <f t="shared" si="4"/>
        <v>297.4847286980617</v>
      </c>
      <c r="E93" s="57"/>
      <c r="F93" s="57"/>
      <c r="G93" s="57"/>
      <c r="H93" s="58">
        <v>113.83609899894893</v>
      </c>
      <c r="I93" s="58">
        <v>80.318897327363487</v>
      </c>
      <c r="J93" s="45">
        <v>103.32973237174929</v>
      </c>
      <c r="K93" s="13"/>
      <c r="L93" s="57"/>
      <c r="M93" s="57"/>
      <c r="N93" s="57"/>
      <c r="O93" s="57"/>
      <c r="P93" s="57"/>
      <c r="Q93" s="45" t="s">
        <v>27</v>
      </c>
      <c r="R93" s="13"/>
      <c r="S93" s="57"/>
      <c r="T93" s="57"/>
      <c r="U93" s="57"/>
      <c r="V93" s="58">
        <v>46.907999612390995</v>
      </c>
      <c r="W93" s="58">
        <v>94.784001260995865</v>
      </c>
      <c r="X93" s="58">
        <v>457.62100732326508</v>
      </c>
      <c r="Y93" s="27"/>
      <c r="Z93" s="57"/>
      <c r="AA93" s="57"/>
      <c r="AB93" s="57"/>
      <c r="AC93" s="57"/>
      <c r="AD93" s="57"/>
      <c r="AE93" s="57"/>
      <c r="AF93" s="41">
        <f t="shared" si="5"/>
        <v>599.31300819665194</v>
      </c>
    </row>
    <row r="94" spans="1:32" ht="15" customHeight="1">
      <c r="A94" s="3">
        <v>87</v>
      </c>
      <c r="B94" s="8" t="s">
        <v>113</v>
      </c>
      <c r="C94" s="23" t="s">
        <v>151</v>
      </c>
      <c r="D94" s="41">
        <f t="shared" si="4"/>
        <v>772.45723465248636</v>
      </c>
      <c r="E94" s="58">
        <v>247.50783382415773</v>
      </c>
      <c r="F94" s="57"/>
      <c r="G94" s="58">
        <v>191.98036032414436</v>
      </c>
      <c r="H94" s="58">
        <v>54.316901079535484</v>
      </c>
      <c r="I94" s="58">
        <v>29.625899960279465</v>
      </c>
      <c r="J94" s="45">
        <v>43.100659759998777</v>
      </c>
      <c r="K94" s="13"/>
      <c r="L94" s="57"/>
      <c r="M94" s="57"/>
      <c r="N94" s="58">
        <v>71.432226997107264</v>
      </c>
      <c r="O94" s="58">
        <v>99.819575115233661</v>
      </c>
      <c r="P94" s="58">
        <v>15.038594002794474</v>
      </c>
      <c r="Q94" s="45">
        <v>19.635183589235293</v>
      </c>
      <c r="R94" s="13"/>
      <c r="S94" s="58">
        <v>11.38700008392334</v>
      </c>
      <c r="T94" s="57"/>
      <c r="U94" s="58">
        <v>32.875000238418579</v>
      </c>
      <c r="V94" s="58">
        <v>21.333999663591385</v>
      </c>
      <c r="W94" s="58">
        <v>31.961000204086304</v>
      </c>
      <c r="X94" s="58">
        <v>180.47500115633011</v>
      </c>
      <c r="Y94" s="27"/>
      <c r="Z94" s="57"/>
      <c r="AA94" s="57"/>
      <c r="AB94" s="58">
        <v>4.4709999859333038</v>
      </c>
      <c r="AC94" s="58">
        <v>11.99299992620945</v>
      </c>
      <c r="AD94" s="58">
        <v>8.046000000089407</v>
      </c>
      <c r="AE94" s="58">
        <v>53.047998949885368</v>
      </c>
      <c r="AF94" s="41">
        <f t="shared" si="5"/>
        <v>355.59000020846725</v>
      </c>
    </row>
    <row r="95" spans="1:32" ht="15" customHeight="1">
      <c r="A95" s="3">
        <v>88</v>
      </c>
      <c r="B95" s="8" t="s">
        <v>114</v>
      </c>
      <c r="C95" s="23" t="s">
        <v>150</v>
      </c>
      <c r="D95" s="41">
        <f t="shared" si="4"/>
        <v>411.61284229170531</v>
      </c>
      <c r="E95" s="57"/>
      <c r="F95" s="58">
        <v>26.204549407958986</v>
      </c>
      <c r="G95" s="58">
        <v>185.35901574558019</v>
      </c>
      <c r="H95" s="58">
        <v>60.683712101817129</v>
      </c>
      <c r="I95" s="58">
        <v>61.201068560540676</v>
      </c>
      <c r="J95" s="45">
        <v>78.164496475808278</v>
      </c>
      <c r="K95" s="13"/>
      <c r="L95" s="57"/>
      <c r="M95" s="57"/>
      <c r="N95" s="57"/>
      <c r="O95" s="57"/>
      <c r="P95" s="57"/>
      <c r="Q95" s="45" t="s">
        <v>27</v>
      </c>
      <c r="R95" s="13"/>
      <c r="S95" s="57"/>
      <c r="T95" s="58">
        <v>5.4029998779296875</v>
      </c>
      <c r="U95" s="58">
        <v>56.990999042987823</v>
      </c>
      <c r="V95" s="58">
        <v>45.93800076842308</v>
      </c>
      <c r="W95" s="58">
        <v>97.03199976682663</v>
      </c>
      <c r="X95" s="58">
        <v>416.06599727272987</v>
      </c>
      <c r="Y95" s="27"/>
      <c r="Z95" s="57"/>
      <c r="AA95" s="57"/>
      <c r="AB95" s="57"/>
      <c r="AC95" s="57"/>
      <c r="AD95" s="57"/>
      <c r="AE95" s="57"/>
      <c r="AF95" s="41">
        <f t="shared" si="5"/>
        <v>621.42999672889709</v>
      </c>
    </row>
    <row r="96" spans="1:32" ht="15" customHeight="1">
      <c r="A96" s="3">
        <v>89</v>
      </c>
      <c r="B96" s="8" t="s">
        <v>115</v>
      </c>
      <c r="C96" s="23" t="s">
        <v>150</v>
      </c>
      <c r="D96" s="41">
        <f t="shared" si="4"/>
        <v>987.81644588046947</v>
      </c>
      <c r="E96" s="57"/>
      <c r="F96" s="58">
        <v>337.68018347486856</v>
      </c>
      <c r="G96" s="57"/>
      <c r="H96" s="58">
        <v>290.15080170089004</v>
      </c>
      <c r="I96" s="58">
        <v>106.37115438985825</v>
      </c>
      <c r="J96" s="45">
        <v>152.61941593605258</v>
      </c>
      <c r="K96" s="13"/>
      <c r="L96" s="57"/>
      <c r="M96" s="57"/>
      <c r="N96" s="58">
        <v>43.634340113401414</v>
      </c>
      <c r="O96" s="58">
        <v>34.075211112439632</v>
      </c>
      <c r="P96" s="58">
        <v>8.5915970884561546</v>
      </c>
      <c r="Q96" s="45">
        <v>14.693742064502963</v>
      </c>
      <c r="R96" s="13"/>
      <c r="S96" s="57"/>
      <c r="T96" s="58">
        <v>46.235999196767807</v>
      </c>
      <c r="U96" s="57"/>
      <c r="V96" s="58">
        <v>85.767999365925789</v>
      </c>
      <c r="W96" s="58">
        <v>97.066998243331909</v>
      </c>
      <c r="X96" s="58">
        <v>584.27699819207191</v>
      </c>
      <c r="Y96" s="27"/>
      <c r="Z96" s="57"/>
      <c r="AA96" s="57"/>
      <c r="AB96" s="58">
        <v>5.8180000185966492</v>
      </c>
      <c r="AC96" s="58">
        <v>7.0430000275373459</v>
      </c>
      <c r="AD96" s="58">
        <v>4.093000054359436</v>
      </c>
      <c r="AE96" s="58">
        <v>36.920998886227608</v>
      </c>
      <c r="AF96" s="41">
        <f t="shared" si="5"/>
        <v>867.22299398481846</v>
      </c>
    </row>
    <row r="97" spans="1:32" ht="15" customHeight="1">
      <c r="A97" s="3">
        <v>90</v>
      </c>
      <c r="B97" s="8" t="s">
        <v>116</v>
      </c>
      <c r="C97" s="23" t="s">
        <v>151</v>
      </c>
      <c r="D97" s="41">
        <f t="shared" si="4"/>
        <v>1201.6157245409861</v>
      </c>
      <c r="E97" s="57"/>
      <c r="F97" s="58">
        <v>297.6966929855347</v>
      </c>
      <c r="G97" s="58">
        <v>351.46734813117979</v>
      </c>
      <c r="H97" s="58">
        <v>186.79929121068119</v>
      </c>
      <c r="I97" s="58">
        <v>71.962165387064218</v>
      </c>
      <c r="J97" s="45">
        <v>100.09749019804246</v>
      </c>
      <c r="K97" s="13"/>
      <c r="L97" s="57"/>
      <c r="M97" s="57"/>
      <c r="N97" s="58">
        <v>125.9801449187398</v>
      </c>
      <c r="O97" s="58">
        <v>41.396519675999883</v>
      </c>
      <c r="P97" s="58">
        <v>5.2611378736197949</v>
      </c>
      <c r="Q97" s="45">
        <v>20.954934160124193</v>
      </c>
      <c r="R97" s="13"/>
      <c r="S97" s="57"/>
      <c r="T97" s="58">
        <v>30.430000305175781</v>
      </c>
      <c r="U97" s="58">
        <v>40.895000517368317</v>
      </c>
      <c r="V97" s="58">
        <v>84.187001347541809</v>
      </c>
      <c r="W97" s="58">
        <v>80.620999097824097</v>
      </c>
      <c r="X97" s="58">
        <v>429.14099983125925</v>
      </c>
      <c r="Y97" s="27"/>
      <c r="Z97" s="57"/>
      <c r="AA97" s="57"/>
      <c r="AB97" s="58">
        <v>8.4180000275373459</v>
      </c>
      <c r="AC97" s="58">
        <v>4.4149999842047691</v>
      </c>
      <c r="AD97" s="58">
        <v>3.4849999248981476</v>
      </c>
      <c r="AE97" s="58">
        <v>64.695001304149628</v>
      </c>
      <c r="AF97" s="41">
        <f t="shared" si="5"/>
        <v>746.28700233995914</v>
      </c>
    </row>
    <row r="98" spans="1:32" ht="15" customHeight="1">
      <c r="A98" s="3">
        <v>91</v>
      </c>
      <c r="B98" s="8" t="s">
        <v>117</v>
      </c>
      <c r="C98" s="23" t="s">
        <v>150</v>
      </c>
      <c r="D98" s="41">
        <f t="shared" si="4"/>
        <v>161.53846948448137</v>
      </c>
      <c r="E98" s="57"/>
      <c r="F98" s="58">
        <v>59.116548319578172</v>
      </c>
      <c r="G98" s="57"/>
      <c r="H98" s="58">
        <v>55.851007128357885</v>
      </c>
      <c r="I98" s="58">
        <v>15.899213697075844</v>
      </c>
      <c r="J98" s="45">
        <v>30.671700339469457</v>
      </c>
      <c r="K98" s="13"/>
      <c r="L98" s="57"/>
      <c r="M98" s="57"/>
      <c r="N98" s="57"/>
      <c r="O98" s="57"/>
      <c r="P98" s="57"/>
      <c r="Q98" s="45" t="s">
        <v>27</v>
      </c>
      <c r="R98" s="13"/>
      <c r="S98" s="57"/>
      <c r="T98" s="58">
        <v>12.132000088691711</v>
      </c>
      <c r="U98" s="57"/>
      <c r="V98" s="58">
        <v>30.864000350236893</v>
      </c>
      <c r="W98" s="58">
        <v>44.344999372959137</v>
      </c>
      <c r="X98" s="58">
        <v>232.4949941188097</v>
      </c>
      <c r="Y98" s="27"/>
      <c r="Z98" s="57"/>
      <c r="AA98" s="57"/>
      <c r="AB98" s="57"/>
      <c r="AC98" s="57"/>
      <c r="AD98" s="57"/>
      <c r="AE98" s="57"/>
      <c r="AF98" s="41">
        <f t="shared" si="5"/>
        <v>319.83599393069744</v>
      </c>
    </row>
    <row r="99" spans="1:32" ht="15" customHeight="1">
      <c r="A99" s="3">
        <v>92</v>
      </c>
      <c r="B99" s="8" t="s">
        <v>118</v>
      </c>
      <c r="C99" s="23" t="s">
        <v>150</v>
      </c>
      <c r="D99" s="41">
        <f t="shared" si="4"/>
        <v>925.36814336032353</v>
      </c>
      <c r="E99" s="57"/>
      <c r="F99" s="58">
        <v>387.7491803808212</v>
      </c>
      <c r="G99" s="58">
        <v>83.560988714694972</v>
      </c>
      <c r="H99" s="58">
        <v>273.9738810276985</v>
      </c>
      <c r="I99" s="58">
        <v>54.43202240586281</v>
      </c>
      <c r="J99" s="45">
        <v>125.65207083124604</v>
      </c>
      <c r="K99" s="13"/>
      <c r="L99" s="57"/>
      <c r="M99" s="57"/>
      <c r="N99" s="57"/>
      <c r="O99" s="57"/>
      <c r="P99" s="57"/>
      <c r="Q99" s="45" t="s">
        <v>27</v>
      </c>
      <c r="R99" s="13"/>
      <c r="S99" s="57"/>
      <c r="T99" s="58">
        <v>46.278999328613281</v>
      </c>
      <c r="U99" s="58">
        <v>7.6690000295639038</v>
      </c>
      <c r="V99" s="58">
        <v>112.11500123143196</v>
      </c>
      <c r="W99" s="58">
        <v>91.528000116348267</v>
      </c>
      <c r="X99" s="58">
        <v>694.38800862431526</v>
      </c>
      <c r="Y99" s="27"/>
      <c r="Z99" s="57"/>
      <c r="AA99" s="57"/>
      <c r="AB99" s="57"/>
      <c r="AC99" s="57"/>
      <c r="AD99" s="57"/>
      <c r="AE99" s="57"/>
      <c r="AF99" s="41">
        <f t="shared" si="5"/>
        <v>951.97900933027267</v>
      </c>
    </row>
    <row r="100" spans="1:32" ht="15" customHeight="1">
      <c r="A100" s="3">
        <v>93</v>
      </c>
      <c r="B100" s="8" t="s">
        <v>119</v>
      </c>
      <c r="C100" s="23" t="s">
        <v>152</v>
      </c>
      <c r="D100" s="41">
        <f t="shared" si="4"/>
        <v>1342.0007310333272</v>
      </c>
      <c r="E100" s="58">
        <v>101.45900142192841</v>
      </c>
      <c r="F100" s="57"/>
      <c r="G100" s="58">
        <v>138.8334677529335</v>
      </c>
      <c r="H100" s="58">
        <v>16.696504796028137</v>
      </c>
      <c r="I100" s="58">
        <v>59.317436524450777</v>
      </c>
      <c r="J100" s="45">
        <v>61.84460442880674</v>
      </c>
      <c r="K100" s="13"/>
      <c r="L100" s="58">
        <v>539.58379892921448</v>
      </c>
      <c r="M100" s="57"/>
      <c r="N100" s="58">
        <v>89.261930499911301</v>
      </c>
      <c r="O100" s="58">
        <v>166.1075723966062</v>
      </c>
      <c r="P100" s="58">
        <v>61.371594711303707</v>
      </c>
      <c r="Q100" s="45">
        <v>107.52481957214388</v>
      </c>
      <c r="R100" s="13"/>
      <c r="S100" s="58">
        <v>2.8580000400543213</v>
      </c>
      <c r="T100" s="57"/>
      <c r="U100" s="58">
        <v>34.142000079154968</v>
      </c>
      <c r="V100" s="58">
        <v>9.2539999485015869</v>
      </c>
      <c r="W100" s="58">
        <v>37.925000220537186</v>
      </c>
      <c r="X100" s="58">
        <v>186.75700354576111</v>
      </c>
      <c r="Y100" s="27"/>
      <c r="Z100" s="58">
        <v>10.553999900817871</v>
      </c>
      <c r="AA100" s="57"/>
      <c r="AB100" s="58">
        <v>7.3600000292062759</v>
      </c>
      <c r="AC100" s="58">
        <v>18.844999745488167</v>
      </c>
      <c r="AD100" s="58">
        <v>18.202999904751778</v>
      </c>
      <c r="AE100" s="58">
        <v>200.9420044273138</v>
      </c>
      <c r="AF100" s="41">
        <f t="shared" si="5"/>
        <v>526.84000784158707</v>
      </c>
    </row>
    <row r="101" spans="1:32" ht="15" customHeight="1">
      <c r="A101" s="3">
        <v>94</v>
      </c>
      <c r="B101" s="8" t="s">
        <v>120</v>
      </c>
      <c r="C101" s="23" t="s">
        <v>150</v>
      </c>
      <c r="D101" s="41">
        <f t="shared" si="4"/>
        <v>242.84004079384093</v>
      </c>
      <c r="E101" s="57"/>
      <c r="F101" s="58">
        <v>95.105309199810023</v>
      </c>
      <c r="G101" s="58">
        <v>20.550932075023653</v>
      </c>
      <c r="H101" s="58">
        <v>66.197693648874761</v>
      </c>
      <c r="I101" s="58">
        <v>16.784665238916872</v>
      </c>
      <c r="J101" s="45">
        <v>44.201440631215611</v>
      </c>
      <c r="K101" s="13"/>
      <c r="L101" s="57"/>
      <c r="M101" s="57"/>
      <c r="N101" s="57"/>
      <c r="O101" s="57"/>
      <c r="P101" s="57"/>
      <c r="Q101" s="45" t="s">
        <v>27</v>
      </c>
      <c r="R101" s="13"/>
      <c r="S101" s="57"/>
      <c r="T101" s="58">
        <v>27.110999703407288</v>
      </c>
      <c r="U101" s="58">
        <v>9.0929999351501465</v>
      </c>
      <c r="V101" s="58">
        <v>84.982999563217163</v>
      </c>
      <c r="W101" s="58">
        <v>42.102000534534454</v>
      </c>
      <c r="X101" s="58">
        <v>313.56100371479988</v>
      </c>
      <c r="Y101" s="27"/>
      <c r="Z101" s="57"/>
      <c r="AA101" s="57"/>
      <c r="AB101" s="57"/>
      <c r="AC101" s="57"/>
      <c r="AD101" s="57"/>
      <c r="AE101" s="57"/>
      <c r="AF101" s="41">
        <f t="shared" si="5"/>
        <v>476.85000345110893</v>
      </c>
    </row>
    <row r="102" spans="1:32" ht="15" customHeight="1">
      <c r="A102" s="3">
        <v>95</v>
      </c>
      <c r="B102" s="8" t="s">
        <v>121</v>
      </c>
      <c r="C102" s="23" t="s">
        <v>150</v>
      </c>
      <c r="D102" s="41">
        <f t="shared" si="4"/>
        <v>107.6540333722204</v>
      </c>
      <c r="E102" s="57"/>
      <c r="F102" s="57"/>
      <c r="G102" s="58">
        <v>17.07865829193592</v>
      </c>
      <c r="H102" s="58">
        <v>50.342637107416991</v>
      </c>
      <c r="I102" s="58">
        <v>12.170052086472511</v>
      </c>
      <c r="J102" s="45">
        <v>28.062685886394966</v>
      </c>
      <c r="K102" s="13"/>
      <c r="L102" s="57"/>
      <c r="M102" s="57"/>
      <c r="N102" s="57"/>
      <c r="O102" s="57"/>
      <c r="P102" s="57"/>
      <c r="Q102" s="45" t="s">
        <v>27</v>
      </c>
      <c r="R102" s="13"/>
      <c r="S102" s="57"/>
      <c r="T102" s="57"/>
      <c r="U102" s="58">
        <v>5.330000102519989</v>
      </c>
      <c r="V102" s="58">
        <v>50.096000872552395</v>
      </c>
      <c r="W102" s="58">
        <v>42.994000285863876</v>
      </c>
      <c r="X102" s="58">
        <v>246.56899613142014</v>
      </c>
      <c r="Y102" s="27"/>
      <c r="Z102" s="57"/>
      <c r="AA102" s="57"/>
      <c r="AB102" s="57"/>
      <c r="AC102" s="57"/>
      <c r="AD102" s="57"/>
      <c r="AE102" s="57"/>
      <c r="AF102" s="41">
        <f t="shared" si="5"/>
        <v>344.9889973923564</v>
      </c>
    </row>
    <row r="103" spans="1:32" ht="15" customHeight="1">
      <c r="A103" s="3">
        <v>96</v>
      </c>
      <c r="B103" s="8" t="s">
        <v>122</v>
      </c>
      <c r="C103" s="23" t="s">
        <v>150</v>
      </c>
      <c r="D103" s="41">
        <f t="shared" si="4"/>
        <v>322.49511635843641</v>
      </c>
      <c r="E103" s="57"/>
      <c r="F103" s="58">
        <v>152.13073257684707</v>
      </c>
      <c r="G103" s="58">
        <v>8.437109813690185</v>
      </c>
      <c r="H103" s="58">
        <v>36.12652744162083</v>
      </c>
      <c r="I103" s="58">
        <v>55.918827186048034</v>
      </c>
      <c r="J103" s="45">
        <v>69.881919340230283</v>
      </c>
      <c r="K103" s="13"/>
      <c r="L103" s="57"/>
      <c r="M103" s="57"/>
      <c r="N103" s="57"/>
      <c r="O103" s="57"/>
      <c r="P103" s="57"/>
      <c r="Q103" s="45" t="s">
        <v>27</v>
      </c>
      <c r="R103" s="13"/>
      <c r="S103" s="57"/>
      <c r="T103" s="58">
        <v>23.679000377655029</v>
      </c>
      <c r="U103" s="58">
        <v>10.364999771118164</v>
      </c>
      <c r="V103" s="58">
        <v>31.414000332355499</v>
      </c>
      <c r="W103" s="58">
        <v>71.472000181674957</v>
      </c>
      <c r="X103" s="58">
        <v>323.22100901603699</v>
      </c>
      <c r="Y103" s="27"/>
      <c r="Z103" s="57"/>
      <c r="AA103" s="57"/>
      <c r="AB103" s="57"/>
      <c r="AC103" s="57"/>
      <c r="AD103" s="57"/>
      <c r="AE103" s="57"/>
      <c r="AF103" s="41">
        <f t="shared" si="5"/>
        <v>460.15100967884064</v>
      </c>
    </row>
    <row r="104" spans="1:32" ht="15" customHeight="1">
      <c r="A104" s="3">
        <v>97</v>
      </c>
      <c r="B104" s="8" t="s">
        <v>123</v>
      </c>
      <c r="C104" s="23" t="s">
        <v>151</v>
      </c>
      <c r="D104" s="41">
        <f t="shared" ref="D104:D127" si="6">SUM(E104:J104)+SUM(L104:Q104)</f>
        <v>973.52187873771231</v>
      </c>
      <c r="E104" s="57"/>
      <c r="F104" s="58">
        <v>466.53379764032366</v>
      </c>
      <c r="G104" s="58">
        <v>84.065124801963563</v>
      </c>
      <c r="H104" s="58">
        <v>191.53030671310424</v>
      </c>
      <c r="I104" s="58">
        <v>84.634844275474549</v>
      </c>
      <c r="J104" s="45">
        <v>146.75780530684639</v>
      </c>
      <c r="K104" s="13"/>
      <c r="L104" s="57"/>
      <c r="M104" s="57"/>
      <c r="N104" s="57"/>
      <c r="O104" s="57"/>
      <c r="P104" s="57"/>
      <c r="Q104" s="45" t="s">
        <v>27</v>
      </c>
      <c r="R104" s="13"/>
      <c r="S104" s="57"/>
      <c r="T104" s="58">
        <v>41.193000018596649</v>
      </c>
      <c r="U104" s="58">
        <v>11.649999976158142</v>
      </c>
      <c r="V104" s="58">
        <v>84.025999784469604</v>
      </c>
      <c r="W104" s="58">
        <v>75.942000210285187</v>
      </c>
      <c r="X104" s="58">
        <v>547.17299060337245</v>
      </c>
      <c r="Y104" s="27"/>
      <c r="Z104" s="57"/>
      <c r="AA104" s="57"/>
      <c r="AB104" s="57"/>
      <c r="AC104" s="57"/>
      <c r="AD104" s="57"/>
      <c r="AE104" s="57"/>
      <c r="AF104" s="41">
        <f t="shared" ref="AF104:AF127" si="7">SUM(S104:AE104)</f>
        <v>759.98399059288204</v>
      </c>
    </row>
    <row r="105" spans="1:32" ht="15" customHeight="1">
      <c r="A105" s="3">
        <v>98</v>
      </c>
      <c r="B105" s="8" t="s">
        <v>124</v>
      </c>
      <c r="C105" s="23" t="s">
        <v>151</v>
      </c>
      <c r="D105" s="41">
        <f t="shared" si="6"/>
        <v>2102.9741694871263</v>
      </c>
      <c r="E105" s="57"/>
      <c r="F105" s="58">
        <v>747.52177275109295</v>
      </c>
      <c r="G105" s="58">
        <v>74.661023899376389</v>
      </c>
      <c r="H105" s="58">
        <v>375.30037281262872</v>
      </c>
      <c r="I105" s="58">
        <v>215.93203600031137</v>
      </c>
      <c r="J105" s="45">
        <v>244.03003991689022</v>
      </c>
      <c r="K105" s="13"/>
      <c r="L105" s="57"/>
      <c r="M105" s="57"/>
      <c r="N105" s="58">
        <v>300.52908757245541</v>
      </c>
      <c r="O105" s="58">
        <v>75.592422205388544</v>
      </c>
      <c r="P105" s="58">
        <v>28.351588776946066</v>
      </c>
      <c r="Q105" s="45">
        <v>41.055825552036467</v>
      </c>
      <c r="R105" s="13"/>
      <c r="S105" s="57"/>
      <c r="T105" s="58">
        <v>72.977000117301941</v>
      </c>
      <c r="U105" s="58">
        <v>22.813999570906162</v>
      </c>
      <c r="V105" s="58">
        <v>144.34500040113926</v>
      </c>
      <c r="W105" s="58">
        <v>160.94999831914902</v>
      </c>
      <c r="X105" s="58">
        <v>811.76500874012709</v>
      </c>
      <c r="Y105" s="27"/>
      <c r="Z105" s="57"/>
      <c r="AA105" s="57"/>
      <c r="AB105" s="58">
        <v>10.917000144720078</v>
      </c>
      <c r="AC105" s="58">
        <v>10.199000179767609</v>
      </c>
      <c r="AD105" s="58">
        <v>5.6919999718666077</v>
      </c>
      <c r="AE105" s="58">
        <v>60.123001098632812</v>
      </c>
      <c r="AF105" s="41">
        <f t="shared" si="7"/>
        <v>1299.7820085436106</v>
      </c>
    </row>
    <row r="106" spans="1:32" ht="15" customHeight="1">
      <c r="A106" s="3">
        <v>99</v>
      </c>
      <c r="B106" s="8" t="s">
        <v>125</v>
      </c>
      <c r="C106" s="23" t="s">
        <v>150</v>
      </c>
      <c r="D106" s="41">
        <f t="shared" si="6"/>
        <v>463.67618435820606</v>
      </c>
      <c r="E106" s="57"/>
      <c r="F106" s="58">
        <v>244.82112202453612</v>
      </c>
      <c r="G106" s="58">
        <v>65.596710203647618</v>
      </c>
      <c r="H106" s="58">
        <v>82.178352885894483</v>
      </c>
      <c r="I106" s="58">
        <v>32.920888532698157</v>
      </c>
      <c r="J106" s="45">
        <v>38.159110711429705</v>
      </c>
      <c r="K106" s="13"/>
      <c r="L106" s="57"/>
      <c r="M106" s="57"/>
      <c r="N106" s="57"/>
      <c r="O106" s="57"/>
      <c r="P106" s="57"/>
      <c r="Q106" s="45" t="s">
        <v>27</v>
      </c>
      <c r="R106" s="13"/>
      <c r="S106" s="57"/>
      <c r="T106" s="58">
        <v>24.086999893188477</v>
      </c>
      <c r="U106" s="58">
        <v>13.861999690532684</v>
      </c>
      <c r="V106" s="58">
        <v>39.191000409424305</v>
      </c>
      <c r="W106" s="58">
        <v>52.176000237464905</v>
      </c>
      <c r="X106" s="58">
        <v>203.19100849330425</v>
      </c>
      <c r="Y106" s="27"/>
      <c r="Z106" s="57"/>
      <c r="AA106" s="57"/>
      <c r="AB106" s="57"/>
      <c r="AC106" s="57"/>
      <c r="AD106" s="57"/>
      <c r="AE106" s="57"/>
      <c r="AF106" s="41">
        <f t="shared" si="7"/>
        <v>332.50700872391462</v>
      </c>
    </row>
    <row r="107" spans="1:32" ht="15" customHeight="1">
      <c r="A107" s="3">
        <v>100</v>
      </c>
      <c r="B107" s="8" t="s">
        <v>126</v>
      </c>
      <c r="C107" s="23" t="s">
        <v>151</v>
      </c>
      <c r="D107" s="41">
        <f t="shared" si="6"/>
        <v>1905.6138156976922</v>
      </c>
      <c r="E107" s="57"/>
      <c r="F107" s="58">
        <v>693.82391390049463</v>
      </c>
      <c r="G107" s="58">
        <v>44.371896416306498</v>
      </c>
      <c r="H107" s="58">
        <v>226.42581656390428</v>
      </c>
      <c r="I107" s="58">
        <v>146.28962430652976</v>
      </c>
      <c r="J107" s="45">
        <v>309.30642969818814</v>
      </c>
      <c r="K107" s="13"/>
      <c r="L107" s="57"/>
      <c r="M107" s="58">
        <v>10.057950353622436</v>
      </c>
      <c r="N107" s="58">
        <v>262.28248771488666</v>
      </c>
      <c r="O107" s="58">
        <v>101.51095618063212</v>
      </c>
      <c r="P107" s="58">
        <v>39.222380399644372</v>
      </c>
      <c r="Q107" s="45">
        <v>72.322360163483452</v>
      </c>
      <c r="R107" s="13"/>
      <c r="S107" s="57"/>
      <c r="T107" s="58">
        <v>77.214999705553055</v>
      </c>
      <c r="U107" s="58">
        <v>4.1360000371932983</v>
      </c>
      <c r="V107" s="58">
        <v>83.030999690294266</v>
      </c>
      <c r="W107" s="58">
        <v>147.30499961972237</v>
      </c>
      <c r="X107" s="58">
        <v>1240.5450569540262</v>
      </c>
      <c r="Y107" s="27"/>
      <c r="Z107" s="57"/>
      <c r="AA107" s="58">
        <v>1.0850000381469727</v>
      </c>
      <c r="AB107" s="58">
        <v>10.251000016927719</v>
      </c>
      <c r="AC107" s="58">
        <v>14.942000076174736</v>
      </c>
      <c r="AD107" s="58">
        <v>8.7290001064538956</v>
      </c>
      <c r="AE107" s="58">
        <v>112.95199803262949</v>
      </c>
      <c r="AF107" s="41">
        <f t="shared" si="7"/>
        <v>1700.191054277122</v>
      </c>
    </row>
    <row r="108" spans="1:32" ht="15" customHeight="1">
      <c r="A108" s="3">
        <v>101</v>
      </c>
      <c r="B108" s="8" t="s">
        <v>127</v>
      </c>
      <c r="C108" s="23" t="s">
        <v>150</v>
      </c>
      <c r="D108" s="41">
        <f t="shared" si="6"/>
        <v>40.675794277457193</v>
      </c>
      <c r="E108" s="57"/>
      <c r="F108" s="58">
        <v>5.1674559745788571</v>
      </c>
      <c r="G108" s="57"/>
      <c r="H108" s="58">
        <v>22.615705211639405</v>
      </c>
      <c r="I108" s="58">
        <v>2.8120560162067414</v>
      </c>
      <c r="J108" s="45">
        <v>10.080577075032188</v>
      </c>
      <c r="K108" s="13"/>
      <c r="L108" s="57"/>
      <c r="M108" s="57"/>
      <c r="N108" s="57"/>
      <c r="O108" s="57"/>
      <c r="P108" s="57"/>
      <c r="Q108" s="45" t="s">
        <v>27</v>
      </c>
      <c r="R108" s="13"/>
      <c r="S108" s="57"/>
      <c r="T108" s="58">
        <v>1.3569999933242798</v>
      </c>
      <c r="U108" s="57"/>
      <c r="V108" s="58">
        <v>31.805000305175781</v>
      </c>
      <c r="W108" s="58">
        <v>13.180999994277954</v>
      </c>
      <c r="X108" s="58">
        <v>105.6879985332489</v>
      </c>
      <c r="Y108" s="27"/>
      <c r="Z108" s="57"/>
      <c r="AA108" s="57"/>
      <c r="AB108" s="57"/>
      <c r="AC108" s="57"/>
      <c r="AD108" s="57"/>
      <c r="AE108" s="57"/>
      <c r="AF108" s="41">
        <f t="shared" si="7"/>
        <v>152.03099882602692</v>
      </c>
    </row>
    <row r="109" spans="1:32" ht="15" customHeight="1">
      <c r="A109" s="3">
        <v>102</v>
      </c>
      <c r="B109" s="8" t="s">
        <v>128</v>
      </c>
      <c r="C109" s="23" t="s">
        <v>150</v>
      </c>
      <c r="D109" s="41">
        <f t="shared" si="6"/>
        <v>1168.3983567411162</v>
      </c>
      <c r="E109" s="58">
        <v>774.17554140472407</v>
      </c>
      <c r="F109" s="58">
        <v>86.952861726045612</v>
      </c>
      <c r="G109" s="58">
        <v>93.663562499832366</v>
      </c>
      <c r="H109" s="58">
        <v>78.886903164625167</v>
      </c>
      <c r="I109" s="58">
        <v>53.133500093162063</v>
      </c>
      <c r="J109" s="45">
        <v>81.585987852727172</v>
      </c>
      <c r="K109" s="13"/>
      <c r="L109" s="57"/>
      <c r="M109" s="57"/>
      <c r="N109" s="57"/>
      <c r="O109" s="57"/>
      <c r="P109" s="57"/>
      <c r="Q109" s="45" t="s">
        <v>27</v>
      </c>
      <c r="R109" s="13"/>
      <c r="S109" s="58">
        <v>22.640999794006348</v>
      </c>
      <c r="T109" s="58">
        <v>10.183000028133392</v>
      </c>
      <c r="U109" s="58">
        <v>14.247999932384118</v>
      </c>
      <c r="V109" s="58">
        <v>29.58499950170517</v>
      </c>
      <c r="W109" s="58">
        <v>94.246999859809875</v>
      </c>
      <c r="X109" s="58">
        <v>466.19299771264195</v>
      </c>
      <c r="Y109" s="27"/>
      <c r="Z109" s="57"/>
      <c r="AA109" s="57"/>
      <c r="AB109" s="57"/>
      <c r="AC109" s="57"/>
      <c r="AD109" s="57"/>
      <c r="AE109" s="57"/>
      <c r="AF109" s="41">
        <f t="shared" si="7"/>
        <v>637.09699682868086</v>
      </c>
    </row>
    <row r="110" spans="1:32" ht="15" customHeight="1">
      <c r="A110" s="3">
        <v>103</v>
      </c>
      <c r="B110" s="8" t="s">
        <v>129</v>
      </c>
      <c r="C110" s="23" t="s">
        <v>151</v>
      </c>
      <c r="D110" s="41">
        <f t="shared" si="6"/>
        <v>876.46752424522856</v>
      </c>
      <c r="E110" s="58">
        <v>298.81220281124115</v>
      </c>
      <c r="F110" s="57"/>
      <c r="G110" s="58">
        <v>92.16365861439705</v>
      </c>
      <c r="H110" s="58">
        <v>188.03679987362028</v>
      </c>
      <c r="I110" s="58">
        <v>39.030550092816355</v>
      </c>
      <c r="J110" s="45">
        <v>94.7907579756003</v>
      </c>
      <c r="K110" s="13"/>
      <c r="L110" s="57"/>
      <c r="M110" s="57"/>
      <c r="N110" s="58">
        <v>80.275821674108499</v>
      </c>
      <c r="O110" s="58">
        <v>52.471449615597727</v>
      </c>
      <c r="P110" s="58">
        <v>3.5449799807369708</v>
      </c>
      <c r="Q110" s="45">
        <v>27.341303607110181</v>
      </c>
      <c r="R110" s="13"/>
      <c r="S110" s="58">
        <v>19.710000276565552</v>
      </c>
      <c r="T110" s="57"/>
      <c r="U110" s="58">
        <v>15.118000030517578</v>
      </c>
      <c r="V110" s="58">
        <v>64.43199910223484</v>
      </c>
      <c r="W110" s="58">
        <v>37.092999696731567</v>
      </c>
      <c r="X110" s="58">
        <v>366.68799313902855</v>
      </c>
      <c r="Y110" s="27"/>
      <c r="Z110" s="57"/>
      <c r="AA110" s="57"/>
      <c r="AB110" s="58">
        <v>3.0309999138116837</v>
      </c>
      <c r="AC110" s="58">
        <v>3.7339999675750732</v>
      </c>
      <c r="AD110" s="58">
        <v>0.70499999821186066</v>
      </c>
      <c r="AE110" s="58">
        <v>39.802999548614025</v>
      </c>
      <c r="AF110" s="41">
        <f t="shared" si="7"/>
        <v>550.31399167329073</v>
      </c>
    </row>
    <row r="111" spans="1:32" ht="15" customHeight="1">
      <c r="A111" s="3">
        <v>104</v>
      </c>
      <c r="B111" s="8" t="s">
        <v>130</v>
      </c>
      <c r="C111" s="23" t="s">
        <v>150</v>
      </c>
      <c r="D111" s="41">
        <f t="shared" si="6"/>
        <v>525.97778195670321</v>
      </c>
      <c r="E111" s="57"/>
      <c r="F111" s="58">
        <v>211.16336431705952</v>
      </c>
      <c r="G111" s="57"/>
      <c r="H111" s="58">
        <v>97.790705232918256</v>
      </c>
      <c r="I111" s="58">
        <v>93.395116905033589</v>
      </c>
      <c r="J111" s="45">
        <v>123.62859550169189</v>
      </c>
      <c r="K111" s="13"/>
      <c r="L111" s="57"/>
      <c r="M111" s="57"/>
      <c r="N111" s="57"/>
      <c r="O111" s="57"/>
      <c r="P111" s="57"/>
      <c r="Q111" s="45" t="s">
        <v>27</v>
      </c>
      <c r="R111" s="13"/>
      <c r="S111" s="57"/>
      <c r="T111" s="58">
        <v>40.508999884128571</v>
      </c>
      <c r="U111" s="57"/>
      <c r="V111" s="58">
        <v>35.865999639034271</v>
      </c>
      <c r="W111" s="58">
        <v>90.563000738620758</v>
      </c>
      <c r="X111" s="58">
        <v>484.29498860985041</v>
      </c>
      <c r="Y111" s="27"/>
      <c r="Z111" s="57"/>
      <c r="AA111" s="57"/>
      <c r="AB111" s="57"/>
      <c r="AC111" s="57"/>
      <c r="AD111" s="57"/>
      <c r="AE111" s="57"/>
      <c r="AF111" s="41">
        <f t="shared" si="7"/>
        <v>651.23298887163401</v>
      </c>
    </row>
    <row r="112" spans="1:32" ht="15" customHeight="1">
      <c r="A112" s="3">
        <v>105</v>
      </c>
      <c r="B112" s="8" t="s">
        <v>131</v>
      </c>
      <c r="C112" s="23" t="s">
        <v>151</v>
      </c>
      <c r="D112" s="41">
        <f t="shared" si="6"/>
        <v>1807.391246395367</v>
      </c>
      <c r="E112" s="58">
        <v>814.22886314296727</v>
      </c>
      <c r="F112" s="58">
        <v>25.88139979839325</v>
      </c>
      <c r="G112" s="58">
        <v>126.58774866783619</v>
      </c>
      <c r="H112" s="58">
        <v>97.176336430937056</v>
      </c>
      <c r="I112" s="58">
        <v>63.406517928421501</v>
      </c>
      <c r="J112" s="45">
        <v>58.766298237297868</v>
      </c>
      <c r="K112" s="13"/>
      <c r="L112" s="58">
        <v>171.42530511140822</v>
      </c>
      <c r="M112" s="57"/>
      <c r="N112" s="58">
        <v>192.28065147447586</v>
      </c>
      <c r="O112" s="58">
        <v>121.16174495309592</v>
      </c>
      <c r="P112" s="58">
        <v>42.246520943641663</v>
      </c>
      <c r="Q112" s="45">
        <v>94.229859706892171</v>
      </c>
      <c r="R112" s="13"/>
      <c r="S112" s="58">
        <v>22.010000228881836</v>
      </c>
      <c r="T112" s="58">
        <v>1.7139999866485596</v>
      </c>
      <c r="U112" s="58">
        <v>21.999999761581421</v>
      </c>
      <c r="V112" s="58">
        <v>45.736999899148941</v>
      </c>
      <c r="W112" s="58">
        <v>65.391000688076019</v>
      </c>
      <c r="X112" s="58">
        <v>247.37800161540508</v>
      </c>
      <c r="Y112" s="27"/>
      <c r="Z112" s="58">
        <v>4.3309998512268066</v>
      </c>
      <c r="AA112" s="57"/>
      <c r="AB112" s="58">
        <v>13.215999782085419</v>
      </c>
      <c r="AC112" s="58">
        <v>9.5299999415874481</v>
      </c>
      <c r="AD112" s="58">
        <v>7.4280001223087311</v>
      </c>
      <c r="AE112" s="58">
        <v>127.09200199693441</v>
      </c>
      <c r="AF112" s="41">
        <f t="shared" si="7"/>
        <v>565.82700387388468</v>
      </c>
    </row>
    <row r="113" spans="1:32" ht="15" customHeight="1">
      <c r="A113" s="3">
        <v>106</v>
      </c>
      <c r="B113" s="8" t="s">
        <v>132</v>
      </c>
      <c r="C113" s="23" t="s">
        <v>151</v>
      </c>
      <c r="D113" s="41">
        <f t="shared" si="6"/>
        <v>1672.208351659147</v>
      </c>
      <c r="E113" s="58">
        <v>942.20269676685336</v>
      </c>
      <c r="F113" s="57"/>
      <c r="G113" s="58">
        <v>236.60696623331307</v>
      </c>
      <c r="H113" s="58">
        <v>72.278478989362711</v>
      </c>
      <c r="I113" s="58">
        <v>90.756613600164656</v>
      </c>
      <c r="J113" s="45">
        <v>64.343845031997873</v>
      </c>
      <c r="K113" s="13"/>
      <c r="L113" s="57"/>
      <c r="M113" s="57"/>
      <c r="N113" s="58">
        <v>197.48520519924165</v>
      </c>
      <c r="O113" s="58">
        <v>11.940323776721954</v>
      </c>
      <c r="P113" s="58">
        <v>22.067932926490904</v>
      </c>
      <c r="Q113" s="45">
        <v>34.526289135000674</v>
      </c>
      <c r="R113" s="13"/>
      <c r="S113" s="58">
        <v>22.328999757766724</v>
      </c>
      <c r="T113" s="57"/>
      <c r="U113" s="58">
        <v>50.500000655651093</v>
      </c>
      <c r="V113" s="58">
        <v>35.224000096321106</v>
      </c>
      <c r="W113" s="58">
        <v>114.34700025618076</v>
      </c>
      <c r="X113" s="58">
        <v>296.85899812728167</v>
      </c>
      <c r="Y113" s="27"/>
      <c r="Z113" s="57"/>
      <c r="AA113" s="57"/>
      <c r="AB113" s="58">
        <v>13.016000211238861</v>
      </c>
      <c r="AC113" s="58">
        <v>1.7339999675750732</v>
      </c>
      <c r="AD113" s="58">
        <v>8.0229999609291553</v>
      </c>
      <c r="AE113" s="58">
        <v>73.272998809814453</v>
      </c>
      <c r="AF113" s="41">
        <f t="shared" si="7"/>
        <v>615.30499784275889</v>
      </c>
    </row>
    <row r="114" spans="1:32" ht="15" customHeight="1">
      <c r="A114" s="3">
        <v>107</v>
      </c>
      <c r="B114" s="8" t="s">
        <v>133</v>
      </c>
      <c r="C114" s="23" t="s">
        <v>151</v>
      </c>
      <c r="D114" s="41">
        <f t="shared" si="6"/>
        <v>957.87586272897704</v>
      </c>
      <c r="E114" s="58">
        <v>540.99087915873531</v>
      </c>
      <c r="F114" s="57"/>
      <c r="G114" s="58">
        <v>48.205520372390744</v>
      </c>
      <c r="H114" s="58">
        <v>116.80130770254135</v>
      </c>
      <c r="I114" s="58">
        <v>46.923197791814808</v>
      </c>
      <c r="J114" s="45">
        <v>53.02601187348327</v>
      </c>
      <c r="K114" s="13"/>
      <c r="L114" s="57"/>
      <c r="M114" s="57"/>
      <c r="N114" s="57"/>
      <c r="O114" s="58">
        <v>121.56096727883816</v>
      </c>
      <c r="P114" s="58">
        <v>9.0774518774449824</v>
      </c>
      <c r="Q114" s="45">
        <v>21.290526673728454</v>
      </c>
      <c r="R114" s="13"/>
      <c r="S114" s="58">
        <v>13.711000025272369</v>
      </c>
      <c r="T114" s="57"/>
      <c r="U114" s="58">
        <v>4.3190000057220459</v>
      </c>
      <c r="V114" s="58">
        <v>46.563000082969666</v>
      </c>
      <c r="W114" s="58">
        <v>75.164000988006592</v>
      </c>
      <c r="X114" s="58">
        <v>284.23901474475861</v>
      </c>
      <c r="Y114" s="27"/>
      <c r="Z114" s="57"/>
      <c r="AA114" s="57"/>
      <c r="AB114" s="57"/>
      <c r="AC114" s="58">
        <v>19.706000030040741</v>
      </c>
      <c r="AD114" s="58">
        <v>5.5919999033212662</v>
      </c>
      <c r="AE114" s="58">
        <v>62.817001640796661</v>
      </c>
      <c r="AF114" s="41">
        <f t="shared" si="7"/>
        <v>512.11101742088795</v>
      </c>
    </row>
    <row r="115" spans="1:32" ht="15" customHeight="1">
      <c r="A115" s="3">
        <v>108</v>
      </c>
      <c r="B115" s="8" t="s">
        <v>134</v>
      </c>
      <c r="C115" s="23" t="s">
        <v>150</v>
      </c>
      <c r="D115" s="41">
        <f t="shared" si="6"/>
        <v>340.50779307368248</v>
      </c>
      <c r="E115" s="57"/>
      <c r="F115" s="57"/>
      <c r="G115" s="58">
        <v>175.61674395155907</v>
      </c>
      <c r="H115" s="58">
        <v>69.838074220180516</v>
      </c>
      <c r="I115" s="58">
        <v>40.077164032697681</v>
      </c>
      <c r="J115" s="45">
        <v>54.975810869245187</v>
      </c>
      <c r="K115" s="13"/>
      <c r="L115" s="57"/>
      <c r="M115" s="57"/>
      <c r="N115" s="57"/>
      <c r="O115" s="57"/>
      <c r="P115" s="57"/>
      <c r="Q115" s="45" t="s">
        <v>27</v>
      </c>
      <c r="R115" s="13"/>
      <c r="S115" s="57"/>
      <c r="T115" s="57"/>
      <c r="U115" s="58">
        <v>23.736000001430511</v>
      </c>
      <c r="V115" s="58">
        <v>24.176000356674194</v>
      </c>
      <c r="W115" s="58">
        <v>48.357999980449677</v>
      </c>
      <c r="X115" s="58">
        <v>246.87899515777826</v>
      </c>
      <c r="Y115" s="27"/>
      <c r="Z115" s="57"/>
      <c r="AA115" s="57"/>
      <c r="AB115" s="57"/>
      <c r="AC115" s="57"/>
      <c r="AD115" s="57"/>
      <c r="AE115" s="57"/>
      <c r="AF115" s="41">
        <f t="shared" si="7"/>
        <v>343.14899549633265</v>
      </c>
    </row>
    <row r="116" spans="1:32" ht="15" customHeight="1">
      <c r="A116" s="3">
        <v>109</v>
      </c>
      <c r="B116" s="8" t="s">
        <v>135</v>
      </c>
      <c r="C116" s="23" t="s">
        <v>151</v>
      </c>
      <c r="D116" s="41">
        <f t="shared" si="6"/>
        <v>625.86261443334342</v>
      </c>
      <c r="E116" s="57"/>
      <c r="F116" s="58">
        <v>190.33934648454189</v>
      </c>
      <c r="G116" s="58">
        <v>28.59929963396862</v>
      </c>
      <c r="H116" s="58">
        <v>55.958471773147586</v>
      </c>
      <c r="I116" s="58">
        <v>59.476471601068972</v>
      </c>
      <c r="J116" s="45">
        <v>71.468011528043988</v>
      </c>
      <c r="K116" s="13"/>
      <c r="L116" s="57"/>
      <c r="M116" s="57"/>
      <c r="N116" s="58">
        <v>77.62958977514505</v>
      </c>
      <c r="O116" s="58">
        <v>27.564814613044263</v>
      </c>
      <c r="P116" s="58">
        <v>69.300957383692264</v>
      </c>
      <c r="Q116" s="45">
        <v>45.525651640690739</v>
      </c>
      <c r="R116" s="13"/>
      <c r="S116" s="57"/>
      <c r="T116" s="58">
        <v>29.318000018596649</v>
      </c>
      <c r="U116" s="58">
        <v>3.7889999458566308</v>
      </c>
      <c r="V116" s="58">
        <v>27.291000008583069</v>
      </c>
      <c r="W116" s="58">
        <v>86.861999869346619</v>
      </c>
      <c r="X116" s="58">
        <v>361.59999258071184</v>
      </c>
      <c r="Y116" s="27"/>
      <c r="Z116" s="57"/>
      <c r="AA116" s="57"/>
      <c r="AB116" s="58">
        <v>6.2619998902082443</v>
      </c>
      <c r="AC116" s="58">
        <v>3.7020000964403152</v>
      </c>
      <c r="AD116" s="58">
        <v>15.12199991941452</v>
      </c>
      <c r="AE116" s="58">
        <v>70.231001853942871</v>
      </c>
      <c r="AF116" s="41">
        <f t="shared" si="7"/>
        <v>604.17699418310076</v>
      </c>
    </row>
    <row r="117" spans="1:32" ht="15" customHeight="1">
      <c r="A117" s="3">
        <v>110</v>
      </c>
      <c r="B117" s="8" t="s">
        <v>136</v>
      </c>
      <c r="C117" s="23" t="s">
        <v>150</v>
      </c>
      <c r="D117" s="41">
        <f t="shared" si="6"/>
        <v>346.80349032544143</v>
      </c>
      <c r="E117" s="57"/>
      <c r="F117" s="58">
        <v>70.171985377430914</v>
      </c>
      <c r="G117" s="58">
        <v>62.202244123518469</v>
      </c>
      <c r="H117" s="58">
        <v>110.23352611982823</v>
      </c>
      <c r="I117" s="58">
        <v>41.263522078067062</v>
      </c>
      <c r="J117" s="45">
        <v>62.93221262659678</v>
      </c>
      <c r="K117" s="13"/>
      <c r="L117" s="57"/>
      <c r="M117" s="57"/>
      <c r="N117" s="57"/>
      <c r="O117" s="57"/>
      <c r="P117" s="57"/>
      <c r="Q117" s="45" t="s">
        <v>27</v>
      </c>
      <c r="R117" s="13"/>
      <c r="S117" s="57"/>
      <c r="T117" s="58">
        <v>14.422000110149384</v>
      </c>
      <c r="U117" s="58">
        <v>23.064000397920609</v>
      </c>
      <c r="V117" s="58">
        <v>62.165000855922699</v>
      </c>
      <c r="W117" s="58">
        <v>85.023998469114304</v>
      </c>
      <c r="X117" s="58">
        <v>394.81299963593483</v>
      </c>
      <c r="Y117" s="27"/>
      <c r="Z117" s="57"/>
      <c r="AA117" s="57"/>
      <c r="AB117" s="57"/>
      <c r="AC117" s="57"/>
      <c r="AD117" s="57"/>
      <c r="AE117" s="57"/>
      <c r="AF117" s="41">
        <f t="shared" si="7"/>
        <v>579.48799946904182</v>
      </c>
    </row>
    <row r="118" spans="1:32" ht="15" customHeight="1">
      <c r="A118" s="3">
        <v>111</v>
      </c>
      <c r="B118" s="8" t="s">
        <v>137</v>
      </c>
      <c r="C118" s="23" t="s">
        <v>150</v>
      </c>
      <c r="D118" s="41">
        <f t="shared" si="6"/>
        <v>612.57143764181126</v>
      </c>
      <c r="E118" s="58">
        <v>214.58236773681639</v>
      </c>
      <c r="F118" s="58">
        <v>144.82051088750362</v>
      </c>
      <c r="G118" s="57"/>
      <c r="H118" s="58">
        <v>55.105070805668831</v>
      </c>
      <c r="I118" s="58">
        <v>67.626995871782299</v>
      </c>
      <c r="J118" s="45">
        <v>130.43649234004013</v>
      </c>
      <c r="K118" s="13"/>
      <c r="L118" s="57"/>
      <c r="M118" s="57"/>
      <c r="N118" s="57"/>
      <c r="O118" s="57"/>
      <c r="P118" s="57"/>
      <c r="Q118" s="45" t="s">
        <v>27</v>
      </c>
      <c r="R118" s="13"/>
      <c r="S118" s="58">
        <v>12.440999984741211</v>
      </c>
      <c r="T118" s="58">
        <v>28.111999809741974</v>
      </c>
      <c r="U118" s="57"/>
      <c r="V118" s="58">
        <v>55.970999717712402</v>
      </c>
      <c r="W118" s="58">
        <v>97.760999321937561</v>
      </c>
      <c r="X118" s="58">
        <v>655.75601274892688</v>
      </c>
      <c r="Y118" s="27"/>
      <c r="Z118" s="57"/>
      <c r="AA118" s="57"/>
      <c r="AB118" s="57"/>
      <c r="AC118" s="57"/>
      <c r="AD118" s="57"/>
      <c r="AE118" s="57"/>
      <c r="AF118" s="41">
        <f t="shared" si="7"/>
        <v>850.04101158306003</v>
      </c>
    </row>
    <row r="119" spans="1:32" ht="15" customHeight="1">
      <c r="A119" s="3">
        <v>112</v>
      </c>
      <c r="B119" s="8" t="s">
        <v>138</v>
      </c>
      <c r="C119" s="23" t="s">
        <v>150</v>
      </c>
      <c r="D119" s="41">
        <f t="shared" si="6"/>
        <v>211.24832774049924</v>
      </c>
      <c r="E119" s="58">
        <v>20.216000080108643</v>
      </c>
      <c r="F119" s="57"/>
      <c r="G119" s="58">
        <v>80.699734155654909</v>
      </c>
      <c r="H119" s="58">
        <v>57.831324467301371</v>
      </c>
      <c r="I119" s="58">
        <v>22.677211260795595</v>
      </c>
      <c r="J119" s="45">
        <v>29.824057776638725</v>
      </c>
      <c r="K119" s="13"/>
      <c r="L119" s="57"/>
      <c r="M119" s="57"/>
      <c r="N119" s="57"/>
      <c r="O119" s="57"/>
      <c r="P119" s="57"/>
      <c r="Q119" s="45" t="s">
        <v>27</v>
      </c>
      <c r="R119" s="13"/>
      <c r="S119" s="58">
        <v>0.72200000286102295</v>
      </c>
      <c r="T119" s="57"/>
      <c r="U119" s="58">
        <v>19.369000434875488</v>
      </c>
      <c r="V119" s="58">
        <v>17.693000078201294</v>
      </c>
      <c r="W119" s="58">
        <v>43.323000490665436</v>
      </c>
      <c r="X119" s="58">
        <v>178.46899415180087</v>
      </c>
      <c r="Y119" s="27"/>
      <c r="Z119" s="57"/>
      <c r="AA119" s="57"/>
      <c r="AB119" s="57"/>
      <c r="AC119" s="57"/>
      <c r="AD119" s="57"/>
      <c r="AE119" s="57"/>
      <c r="AF119" s="41">
        <f t="shared" si="7"/>
        <v>259.57599515840411</v>
      </c>
    </row>
    <row r="120" spans="1:32" ht="15" customHeight="1">
      <c r="A120" s="3">
        <v>113</v>
      </c>
      <c r="B120" s="8" t="s">
        <v>139</v>
      </c>
      <c r="C120" s="23" t="s">
        <v>150</v>
      </c>
      <c r="D120" s="41">
        <f t="shared" si="6"/>
        <v>388.84210023299227</v>
      </c>
      <c r="E120" s="57"/>
      <c r="F120" s="58">
        <v>128.76914204573632</v>
      </c>
      <c r="G120" s="58">
        <v>70.472739447593682</v>
      </c>
      <c r="H120" s="58">
        <v>38.310673800230028</v>
      </c>
      <c r="I120" s="58">
        <v>60.772508855342863</v>
      </c>
      <c r="J120" s="45">
        <v>90.517036084089341</v>
      </c>
      <c r="K120" s="13"/>
      <c r="L120" s="57"/>
      <c r="M120" s="57"/>
      <c r="N120" s="57"/>
      <c r="O120" s="57"/>
      <c r="P120" s="57"/>
      <c r="Q120" s="45" t="s">
        <v>27</v>
      </c>
      <c r="R120" s="13"/>
      <c r="S120" s="57"/>
      <c r="T120" s="58">
        <v>26.345000028610229</v>
      </c>
      <c r="U120" s="58">
        <v>27.234000265598297</v>
      </c>
      <c r="V120" s="58">
        <v>30.481999814510345</v>
      </c>
      <c r="W120" s="58">
        <v>79.673999309539795</v>
      </c>
      <c r="X120" s="58">
        <v>428.1139989644289</v>
      </c>
      <c r="Y120" s="27"/>
      <c r="Z120" s="57"/>
      <c r="AA120" s="57"/>
      <c r="AB120" s="57"/>
      <c r="AC120" s="57"/>
      <c r="AD120" s="57"/>
      <c r="AE120" s="57"/>
      <c r="AF120" s="41">
        <f t="shared" si="7"/>
        <v>591.84899838268757</v>
      </c>
    </row>
    <row r="121" spans="1:32" ht="15" customHeight="1">
      <c r="A121" s="3">
        <v>114</v>
      </c>
      <c r="B121" s="8" t="s">
        <v>140</v>
      </c>
      <c r="C121" s="23" t="s">
        <v>151</v>
      </c>
      <c r="D121" s="41">
        <f t="shared" si="6"/>
        <v>3689.7616138229373</v>
      </c>
      <c r="E121" s="58">
        <v>953.0658997297287</v>
      </c>
      <c r="F121" s="58">
        <v>269.7190693259239</v>
      </c>
      <c r="G121" s="58">
        <v>59.184075352311133</v>
      </c>
      <c r="H121" s="58">
        <v>256.97240904414656</v>
      </c>
      <c r="I121" s="58">
        <v>153.74818785881996</v>
      </c>
      <c r="J121" s="45">
        <v>162.95467582327754</v>
      </c>
      <c r="K121" s="13"/>
      <c r="L121" s="58">
        <v>311.24272164964674</v>
      </c>
      <c r="M121" s="58">
        <v>115.83450774526597</v>
      </c>
      <c r="N121" s="58">
        <v>392.80181126487253</v>
      </c>
      <c r="O121" s="58">
        <v>492.08829259103538</v>
      </c>
      <c r="P121" s="58">
        <v>234.10479326045512</v>
      </c>
      <c r="Q121" s="45">
        <v>288.04517017745388</v>
      </c>
      <c r="R121" s="13"/>
      <c r="S121" s="58">
        <v>21.680999994277954</v>
      </c>
      <c r="T121" s="58">
        <v>24.026999890804291</v>
      </c>
      <c r="U121" s="58">
        <v>12.30100005865097</v>
      </c>
      <c r="V121" s="58">
        <v>62.770000040531158</v>
      </c>
      <c r="W121" s="58">
        <v>147.77399927377701</v>
      </c>
      <c r="X121" s="58">
        <v>634.83300992846489</v>
      </c>
      <c r="Y121" s="27"/>
      <c r="Z121" s="58">
        <v>7.497999906539917</v>
      </c>
      <c r="AA121" s="58">
        <v>7.4429998397827148</v>
      </c>
      <c r="AB121" s="58">
        <v>19.495000004768372</v>
      </c>
      <c r="AC121" s="58">
        <v>30.885000139474869</v>
      </c>
      <c r="AD121" s="58">
        <v>34.288000017404556</v>
      </c>
      <c r="AE121" s="58">
        <v>346.48801466077566</v>
      </c>
      <c r="AF121" s="41">
        <f t="shared" si="7"/>
        <v>1349.4830237552524</v>
      </c>
    </row>
    <row r="122" spans="1:32" ht="15" customHeight="1">
      <c r="A122" s="3">
        <v>115</v>
      </c>
      <c r="B122" s="8" t="s">
        <v>141</v>
      </c>
      <c r="C122" s="23" t="s">
        <v>150</v>
      </c>
      <c r="D122" s="41">
        <f t="shared" si="6"/>
        <v>383.3644231048977</v>
      </c>
      <c r="E122" s="57"/>
      <c r="F122" s="58">
        <v>159.40914334654809</v>
      </c>
      <c r="G122" s="58">
        <v>101.89567379570008</v>
      </c>
      <c r="H122" s="58">
        <v>49.0431717158854</v>
      </c>
      <c r="I122" s="58">
        <v>29.830475773692132</v>
      </c>
      <c r="J122" s="45">
        <v>43.185958473072013</v>
      </c>
      <c r="K122" s="13"/>
      <c r="L122" s="57"/>
      <c r="M122" s="57"/>
      <c r="N122" s="57"/>
      <c r="O122" s="57"/>
      <c r="P122" s="57"/>
      <c r="Q122" s="45" t="s">
        <v>27</v>
      </c>
      <c r="R122" s="13"/>
      <c r="S122" s="57"/>
      <c r="T122" s="58">
        <v>24.829000234603882</v>
      </c>
      <c r="U122" s="58">
        <v>20.427000045776367</v>
      </c>
      <c r="V122" s="58">
        <v>43.027999714016914</v>
      </c>
      <c r="W122" s="58">
        <v>71.042999386787415</v>
      </c>
      <c r="X122" s="58">
        <v>296.58699392527342</v>
      </c>
      <c r="Y122" s="27"/>
      <c r="Z122" s="57"/>
      <c r="AA122" s="57"/>
      <c r="AB122" s="57"/>
      <c r="AC122" s="57"/>
      <c r="AD122" s="57"/>
      <c r="AE122" s="57"/>
      <c r="AF122" s="41">
        <f t="shared" si="7"/>
        <v>455.913993306458</v>
      </c>
    </row>
    <row r="123" spans="1:32" ht="15" customHeight="1">
      <c r="A123" s="3">
        <v>116</v>
      </c>
      <c r="B123" s="8" t="s">
        <v>142</v>
      </c>
      <c r="C123" s="23" t="s">
        <v>151</v>
      </c>
      <c r="D123" s="41">
        <f t="shared" si="6"/>
        <v>503.58375710082532</v>
      </c>
      <c r="E123" s="57"/>
      <c r="F123" s="57"/>
      <c r="G123" s="58">
        <v>165.75303981876374</v>
      </c>
      <c r="H123" s="58">
        <v>23.058263727188109</v>
      </c>
      <c r="I123" s="58">
        <v>87.782629930257798</v>
      </c>
      <c r="J123" s="45">
        <v>88.257613006709178</v>
      </c>
      <c r="K123" s="13"/>
      <c r="L123" s="57"/>
      <c r="M123" s="57"/>
      <c r="N123" s="58">
        <v>54.16535954618454</v>
      </c>
      <c r="O123" s="58">
        <v>59.243832807421683</v>
      </c>
      <c r="P123" s="58">
        <v>8.1999350547939542</v>
      </c>
      <c r="Q123" s="45">
        <v>17.123083209506305</v>
      </c>
      <c r="R123" s="13"/>
      <c r="S123" s="57"/>
      <c r="T123" s="57"/>
      <c r="U123" s="58">
        <v>20.211000442504883</v>
      </c>
      <c r="V123" s="58">
        <v>12.251999855041504</v>
      </c>
      <c r="W123" s="58">
        <v>135.93000030517578</v>
      </c>
      <c r="X123" s="58">
        <v>463.18301033973694</v>
      </c>
      <c r="Y123" s="27"/>
      <c r="Z123" s="57"/>
      <c r="AA123" s="57"/>
      <c r="AB123" s="58">
        <v>5.0239999294281006</v>
      </c>
      <c r="AC123" s="58">
        <v>6.0760000348091125</v>
      </c>
      <c r="AD123" s="58">
        <v>4.213000014424324</v>
      </c>
      <c r="AE123" s="58">
        <v>45.104999732226133</v>
      </c>
      <c r="AF123" s="41">
        <f t="shared" si="7"/>
        <v>691.99401065334678</v>
      </c>
    </row>
    <row r="124" spans="1:32" ht="15" customHeight="1">
      <c r="A124" s="3">
        <v>117</v>
      </c>
      <c r="B124" s="8" t="s">
        <v>143</v>
      </c>
      <c r="C124" s="23" t="s">
        <v>150</v>
      </c>
      <c r="D124" s="41">
        <f t="shared" si="6"/>
        <v>464.12943875746896</v>
      </c>
      <c r="E124" s="57"/>
      <c r="F124" s="58">
        <v>123.47977254867554</v>
      </c>
      <c r="G124" s="58">
        <v>79.201343672811987</v>
      </c>
      <c r="H124" s="58">
        <v>144.22398628741502</v>
      </c>
      <c r="I124" s="58">
        <v>47.812326381325718</v>
      </c>
      <c r="J124" s="45">
        <v>69.412009867240741</v>
      </c>
      <c r="K124" s="13"/>
      <c r="L124" s="57"/>
      <c r="M124" s="57"/>
      <c r="N124" s="57"/>
      <c r="O124" s="57"/>
      <c r="P124" s="57"/>
      <c r="Q124" s="45" t="s">
        <v>27</v>
      </c>
      <c r="R124" s="13"/>
      <c r="S124" s="57"/>
      <c r="T124" s="58">
        <v>10.302000045776367</v>
      </c>
      <c r="U124" s="58">
        <v>27.700998812913895</v>
      </c>
      <c r="V124" s="58">
        <v>67.11200088262558</v>
      </c>
      <c r="W124" s="58">
        <v>92.576001018285751</v>
      </c>
      <c r="X124" s="58">
        <v>418.86399939656258</v>
      </c>
      <c r="Y124" s="27"/>
      <c r="Z124" s="57"/>
      <c r="AA124" s="57"/>
      <c r="AB124" s="57"/>
      <c r="AC124" s="57"/>
      <c r="AD124" s="57"/>
      <c r="AE124" s="57"/>
      <c r="AF124" s="41">
        <f t="shared" si="7"/>
        <v>616.55500015616417</v>
      </c>
    </row>
    <row r="125" spans="1:32" ht="15" customHeight="1">
      <c r="A125" s="3">
        <v>118</v>
      </c>
      <c r="B125" s="8" t="s">
        <v>144</v>
      </c>
      <c r="C125" s="23" t="s">
        <v>151</v>
      </c>
      <c r="D125" s="41">
        <f t="shared" si="6"/>
        <v>1507.5941090776168</v>
      </c>
      <c r="E125" s="58">
        <v>696.09326164436345</v>
      </c>
      <c r="F125" s="58">
        <v>1.3004999756813049</v>
      </c>
      <c r="G125" s="58">
        <v>63.94132470202446</v>
      </c>
      <c r="H125" s="58">
        <v>214.17270214852689</v>
      </c>
      <c r="I125" s="58">
        <v>62.093251234650609</v>
      </c>
      <c r="J125" s="45">
        <v>132.99576794793174</v>
      </c>
      <c r="K125" s="13"/>
      <c r="L125" s="58">
        <v>113.10961091709137</v>
      </c>
      <c r="M125" s="57"/>
      <c r="N125" s="58">
        <v>36.038009551763537</v>
      </c>
      <c r="O125" s="58">
        <v>126.01111281175912</v>
      </c>
      <c r="P125" s="58">
        <v>32.364127497226001</v>
      </c>
      <c r="Q125" s="45">
        <v>29.47444064659862</v>
      </c>
      <c r="R125" s="13"/>
      <c r="S125" s="58">
        <v>24.357000350952148</v>
      </c>
      <c r="T125" s="58">
        <v>0.15299999713897705</v>
      </c>
      <c r="U125" s="58">
        <v>16.026000082492828</v>
      </c>
      <c r="V125" s="58">
        <v>78.570999711751938</v>
      </c>
      <c r="W125" s="58">
        <v>72.336000323295593</v>
      </c>
      <c r="X125" s="58">
        <v>584.27201494574547</v>
      </c>
      <c r="Y125" s="27"/>
      <c r="Z125" s="58">
        <v>3.5859999656677246</v>
      </c>
      <c r="AA125" s="57"/>
      <c r="AB125" s="58">
        <v>2.9989999532699585</v>
      </c>
      <c r="AC125" s="58">
        <v>15.317999966442585</v>
      </c>
      <c r="AD125" s="58">
        <v>14.125000104308128</v>
      </c>
      <c r="AE125" s="58">
        <v>70.116003409028053</v>
      </c>
      <c r="AF125" s="41">
        <f t="shared" si="7"/>
        <v>881.8590188100934</v>
      </c>
    </row>
    <row r="126" spans="1:32" ht="15" customHeight="1">
      <c r="A126" s="3">
        <v>119</v>
      </c>
      <c r="B126" s="8" t="s">
        <v>145</v>
      </c>
      <c r="C126" s="23" t="s">
        <v>150</v>
      </c>
      <c r="D126" s="41">
        <f t="shared" si="6"/>
        <v>311.78346610032361</v>
      </c>
      <c r="E126" s="57"/>
      <c r="F126" s="58">
        <v>181.5449959435463</v>
      </c>
      <c r="G126" s="58">
        <v>15.597386668682098</v>
      </c>
      <c r="H126" s="58">
        <v>62.236479305028915</v>
      </c>
      <c r="I126" s="58">
        <v>19.739392094656825</v>
      </c>
      <c r="J126" s="45">
        <v>32.66521208840949</v>
      </c>
      <c r="K126" s="13"/>
      <c r="L126" s="57"/>
      <c r="M126" s="57"/>
      <c r="N126" s="57"/>
      <c r="O126" s="57"/>
      <c r="P126" s="57"/>
      <c r="Q126" s="45" t="s">
        <v>27</v>
      </c>
      <c r="R126" s="13"/>
      <c r="S126" s="57"/>
      <c r="T126" s="58">
        <v>32.431999415159225</v>
      </c>
      <c r="U126" s="58">
        <v>7.3539998531341553</v>
      </c>
      <c r="V126" s="58">
        <v>50.114999413490295</v>
      </c>
      <c r="W126" s="58">
        <v>53.245000436902046</v>
      </c>
      <c r="X126" s="58">
        <v>242.48600318096578</v>
      </c>
      <c r="Y126" s="27"/>
      <c r="Z126" s="57"/>
      <c r="AA126" s="57"/>
      <c r="AB126" s="57"/>
      <c r="AC126" s="57"/>
      <c r="AD126" s="57"/>
      <c r="AE126" s="57"/>
      <c r="AF126" s="41">
        <f t="shared" si="7"/>
        <v>385.6320022996515</v>
      </c>
    </row>
    <row r="127" spans="1:32" ht="15" customHeight="1">
      <c r="A127" s="3">
        <v>120</v>
      </c>
      <c r="B127" s="8" t="s">
        <v>146</v>
      </c>
      <c r="C127" s="23" t="s">
        <v>151</v>
      </c>
      <c r="D127" s="41">
        <f t="shared" si="6"/>
        <v>1057.7781667477539</v>
      </c>
      <c r="E127" s="58">
        <v>271.62593175029753</v>
      </c>
      <c r="F127" s="58">
        <v>376.62232725620271</v>
      </c>
      <c r="G127" s="58">
        <v>47.181359204530715</v>
      </c>
      <c r="H127" s="58">
        <v>107.43017115652562</v>
      </c>
      <c r="I127" s="58">
        <v>52.412304976224902</v>
      </c>
      <c r="J127" s="45">
        <v>36.645955621718706</v>
      </c>
      <c r="K127" s="13"/>
      <c r="L127" s="57"/>
      <c r="M127" s="57"/>
      <c r="N127" s="58">
        <v>56.254299122095105</v>
      </c>
      <c r="O127" s="58">
        <v>45.785905778557066</v>
      </c>
      <c r="P127" s="58">
        <v>28.488395675167443</v>
      </c>
      <c r="Q127" s="45">
        <v>35.331516206434145</v>
      </c>
      <c r="R127" s="13"/>
      <c r="S127" s="58">
        <v>7.6750001907348633</v>
      </c>
      <c r="T127" s="58">
        <v>19.718000173568726</v>
      </c>
      <c r="U127" s="58">
        <v>7.7590002417564392</v>
      </c>
      <c r="V127" s="58">
        <v>36.363000206649303</v>
      </c>
      <c r="W127" s="58">
        <v>56.534999370574951</v>
      </c>
      <c r="X127" s="58">
        <v>153.43299971520901</v>
      </c>
      <c r="Y127" s="27"/>
      <c r="Z127" s="57"/>
      <c r="AA127" s="57"/>
      <c r="AB127" s="58">
        <v>2.5079999566078186</v>
      </c>
      <c r="AC127" s="58">
        <v>7.0269999876618385</v>
      </c>
      <c r="AD127" s="58">
        <v>7.0229999087750912</v>
      </c>
      <c r="AE127" s="58">
        <v>58.822000652551651</v>
      </c>
      <c r="AF127" s="41">
        <f t="shared" si="7"/>
        <v>356.86300040408969</v>
      </c>
    </row>
    <row r="128" spans="1:32" s="36" customFormat="1" ht="15.75">
      <c r="A128" s="28"/>
      <c r="B128" s="29"/>
      <c r="C128" s="30"/>
      <c r="D128" s="42"/>
      <c r="E128" s="31"/>
      <c r="F128" s="31"/>
      <c r="G128" s="31"/>
      <c r="H128" s="31"/>
      <c r="I128" s="31"/>
      <c r="J128" s="46"/>
      <c r="K128" s="32"/>
      <c r="L128" s="33"/>
      <c r="M128" s="33"/>
      <c r="N128" s="33"/>
      <c r="O128" s="33"/>
      <c r="P128" s="33"/>
      <c r="Q128" s="46"/>
      <c r="R128" s="32"/>
      <c r="S128" s="34"/>
      <c r="T128" s="34"/>
      <c r="U128" s="34"/>
      <c r="V128" s="34"/>
      <c r="W128" s="34"/>
      <c r="X128" s="35"/>
      <c r="Y128" s="35"/>
      <c r="Z128" s="34"/>
      <c r="AA128" s="34"/>
      <c r="AB128" s="34"/>
      <c r="AC128" s="34"/>
      <c r="AD128" s="34"/>
      <c r="AE128" s="35"/>
      <c r="AF128" s="42"/>
    </row>
    <row r="129" spans="1:32" ht="15.75">
      <c r="A129" s="3"/>
      <c r="B129" s="50" t="s">
        <v>147</v>
      </c>
      <c r="C129" s="51"/>
      <c r="D129" s="41">
        <f t="shared" ref="D129:J129" si="8">SUM(D8:D127)</f>
        <v>129414.71314626301</v>
      </c>
      <c r="E129" s="41">
        <f t="shared" si="8"/>
        <v>18060.86562025738</v>
      </c>
      <c r="F129" s="41">
        <f t="shared" si="8"/>
        <v>19195.345267160872</v>
      </c>
      <c r="G129" s="41">
        <f t="shared" si="8"/>
        <v>7713.4918199524309</v>
      </c>
      <c r="H129" s="41">
        <f t="shared" si="8"/>
        <v>13341.931125882753</v>
      </c>
      <c r="I129" s="41">
        <f t="shared" si="8"/>
        <v>6597.1831888494598</v>
      </c>
      <c r="J129" s="41">
        <f t="shared" si="8"/>
        <v>9569.1702684729971</v>
      </c>
      <c r="K129" s="52"/>
      <c r="L129" s="41">
        <f t="shared" ref="L129:Q129" si="9">SUM(L8:L127)</f>
        <v>16304.931345838429</v>
      </c>
      <c r="M129" s="41">
        <f t="shared" si="9"/>
        <v>2169.2870692959427</v>
      </c>
      <c r="N129" s="41">
        <f t="shared" si="9"/>
        <v>15558.468705555659</v>
      </c>
      <c r="O129" s="41">
        <f t="shared" si="9"/>
        <v>9896.4992057146501</v>
      </c>
      <c r="P129" s="41">
        <f t="shared" si="9"/>
        <v>4689.6349666262777</v>
      </c>
      <c r="Q129" s="41">
        <f t="shared" si="9"/>
        <v>6317.9045626561701</v>
      </c>
      <c r="R129" s="52"/>
      <c r="S129" s="41">
        <f t="shared" ref="S129:AF129" si="10">SUM(S8:S127)</f>
        <v>552.95500203967094</v>
      </c>
      <c r="T129" s="41">
        <f t="shared" si="10"/>
        <v>2359.7740010628477</v>
      </c>
      <c r="U129" s="41">
        <f t="shared" si="10"/>
        <v>1707.642000433756</v>
      </c>
      <c r="V129" s="41">
        <f t="shared" si="10"/>
        <v>6218.7730100005865</v>
      </c>
      <c r="W129" s="41">
        <f t="shared" si="10"/>
        <v>8938.1979981875047</v>
      </c>
      <c r="X129" s="41">
        <f t="shared" si="10"/>
        <v>46602.413911434822</v>
      </c>
      <c r="Y129" s="41"/>
      <c r="Z129" s="41">
        <f t="shared" si="10"/>
        <v>209.4330008327961</v>
      </c>
      <c r="AA129" s="41">
        <f t="shared" si="10"/>
        <v>67.050999850034714</v>
      </c>
      <c r="AB129" s="41">
        <f t="shared" si="10"/>
        <v>792.49300068989396</v>
      </c>
      <c r="AC129" s="41">
        <f t="shared" si="10"/>
        <v>1011.5639987420291</v>
      </c>
      <c r="AD129" s="41">
        <f t="shared" si="10"/>
        <v>975.59399878687691</v>
      </c>
      <c r="AE129" s="41">
        <f t="shared" si="10"/>
        <v>9527.3311705831438</v>
      </c>
      <c r="AF129" s="41">
        <f t="shared" si="10"/>
        <v>78963.222092643962</v>
      </c>
    </row>
    <row r="130" spans="1:32" ht="15.75">
      <c r="A130" s="3"/>
      <c r="B130" s="53" t="s">
        <v>160</v>
      </c>
      <c r="C130" s="51"/>
      <c r="D130" s="41"/>
      <c r="E130" s="54">
        <f>E129/$D$129</f>
        <v>0.13955805473095784</v>
      </c>
      <c r="F130" s="54">
        <f t="shared" ref="F130:Q130" si="11">F129/$D$129</f>
        <v>0.1483242886414817</v>
      </c>
      <c r="G130" s="54">
        <f t="shared" si="11"/>
        <v>5.9602897015540515E-2</v>
      </c>
      <c r="H130" s="54">
        <f t="shared" si="11"/>
        <v>0.10309439167711833</v>
      </c>
      <c r="I130" s="54">
        <f t="shared" si="11"/>
        <v>5.0977072300839553E-2</v>
      </c>
      <c r="J130" s="54">
        <f t="shared" si="11"/>
        <v>7.3941903790012128E-2</v>
      </c>
      <c r="K130" s="54"/>
      <c r="L130" s="54">
        <f t="shared" si="11"/>
        <v>0.12598978083280829</v>
      </c>
      <c r="M130" s="54">
        <f t="shared" si="11"/>
        <v>1.6762290906167984E-2</v>
      </c>
      <c r="N130" s="54">
        <f t="shared" si="11"/>
        <v>0.1202217918450405</v>
      </c>
      <c r="O130" s="54">
        <f t="shared" si="11"/>
        <v>7.6471206133492273E-2</v>
      </c>
      <c r="P130" s="54">
        <f t="shared" si="11"/>
        <v>3.6237262770316594E-2</v>
      </c>
      <c r="Q130" s="54">
        <f t="shared" si="11"/>
        <v>4.8819059356224416E-2</v>
      </c>
      <c r="R130" s="55"/>
      <c r="S130" s="54">
        <f>S129/$AF$129</f>
        <v>7.0026904600082552E-3</v>
      </c>
      <c r="T130" s="54">
        <f t="shared" ref="T130:AE130" si="12">T129/$AF$129</f>
        <v>2.9884469484974054E-2</v>
      </c>
      <c r="U130" s="54">
        <f t="shared" si="12"/>
        <v>2.1625789262123288E-2</v>
      </c>
      <c r="V130" s="54">
        <f t="shared" si="12"/>
        <v>7.8755309689672773E-2</v>
      </c>
      <c r="W130" s="54">
        <f t="shared" si="12"/>
        <v>0.11319444370824588</v>
      </c>
      <c r="X130" s="54">
        <f t="shared" si="12"/>
        <v>0.59017872721503595</v>
      </c>
      <c r="Y130" s="54"/>
      <c r="Z130" s="54">
        <f t="shared" si="12"/>
        <v>2.6522853967012373E-3</v>
      </c>
      <c r="AA130" s="54">
        <f t="shared" si="12"/>
        <v>8.4914214583805636E-4</v>
      </c>
      <c r="AB130" s="54">
        <f t="shared" si="12"/>
        <v>1.0036229268356069E-2</v>
      </c>
      <c r="AC130" s="54">
        <f t="shared" si="12"/>
        <v>1.281057145255809E-2</v>
      </c>
      <c r="AD130" s="54">
        <f t="shared" si="12"/>
        <v>1.2355042929254543E-2</v>
      </c>
      <c r="AE130" s="54">
        <f t="shared" si="12"/>
        <v>0.12065529898723179</v>
      </c>
      <c r="AF130" s="54"/>
    </row>
  </sheetData>
  <mergeCells count="4">
    <mergeCell ref="Z5:AE5"/>
    <mergeCell ref="E5:J5"/>
    <mergeCell ref="L5:Q5"/>
    <mergeCell ref="S5:X5"/>
  </mergeCells>
  <phoneticPr fontId="18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8013202-462E-40A6-8198-778AD945A48F}"/>
</file>

<file path=customXml/itemProps2.xml><?xml version="1.0" encoding="utf-8"?>
<ds:datastoreItem xmlns:ds="http://schemas.openxmlformats.org/officeDocument/2006/customXml" ds:itemID="{328DA136-222B-48E9-9364-E43BAFA19CAD}"/>
</file>

<file path=customXml/itemProps3.xml><?xml version="1.0" encoding="utf-8"?>
<ds:datastoreItem xmlns:ds="http://schemas.openxmlformats.org/officeDocument/2006/customXml" ds:itemID="{5CFC7FC4-F0DA-4975-B192-ACF6F61841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2009</vt:lpstr>
      <vt:lpstr>'2009'!Print_Titles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Enter your name here</dc:creator>
  <cp:lastModifiedBy>Sanford, Gretchen (KYTC)</cp:lastModifiedBy>
  <cp:lastPrinted>2008-03-24T13:52:18Z</cp:lastPrinted>
  <dcterms:created xsi:type="dcterms:W3CDTF">2000-09-06T17:52:56Z</dcterms:created>
  <dcterms:modified xsi:type="dcterms:W3CDTF">2013-08-20T20:17:05Z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