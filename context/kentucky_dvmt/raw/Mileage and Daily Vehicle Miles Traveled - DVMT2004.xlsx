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" yWindow="105" windowWidth="15135" windowHeight="9150"/>
  </bookViews>
  <sheets>
    <sheet name="Curr" sheetId="6" r:id="rId1"/>
  </sheets>
  <definedNames>
    <definedName name="_xlnm._FilterDatabase" localSheetId="0" hidden="1">Curr!$A$1:$AF$141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Curr!$A$2:$AF$127</definedName>
    <definedName name="Z_9B35B1A4_5380_11D4_9606_00B0D02CABC0_.wvu.PrintTitles" localSheetId="0" hidden="1">Curr!$A:$B,Curr!$5:$7</definedName>
  </definedNames>
  <calcPr calcId="125725" fullCalcOnLoad="1"/>
</workbook>
</file>

<file path=xl/calcChain.xml><?xml version="1.0" encoding="utf-8"?>
<calcChain xmlns="http://schemas.openxmlformats.org/spreadsheetml/2006/main">
  <c r="T129" i="6"/>
  <c r="U129"/>
  <c r="V129"/>
  <c r="W129"/>
  <c r="X129"/>
  <c r="S129"/>
  <c r="Z129"/>
  <c r="AA129"/>
  <c r="AB129"/>
  <c r="AC129"/>
  <c r="AD129"/>
  <c r="AE129"/>
  <c r="F129"/>
  <c r="G129"/>
  <c r="H129"/>
  <c r="I129"/>
  <c r="E129"/>
  <c r="J129"/>
  <c r="L129"/>
  <c r="M129"/>
  <c r="N129"/>
  <c r="O129"/>
  <c r="P129"/>
  <c r="Q129"/>
  <c r="AF8"/>
  <c r="AF9"/>
  <c r="AF10"/>
  <c r="AF129" s="1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D8"/>
  <c r="D9"/>
  <c r="D10"/>
  <c r="D11"/>
  <c r="D129" s="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AA130" l="1"/>
  <c r="AE130"/>
  <c r="Z130"/>
  <c r="X130"/>
  <c r="S130"/>
  <c r="U130"/>
  <c r="AC130"/>
  <c r="AB130"/>
  <c r="AD130"/>
  <c r="E130"/>
  <c r="T130"/>
  <c r="L130"/>
  <c r="V130"/>
  <c r="M130"/>
  <c r="G130"/>
  <c r="P130"/>
  <c r="F130"/>
  <c r="O130"/>
  <c r="N130"/>
  <c r="J130"/>
  <c r="I130"/>
  <c r="H130"/>
  <c r="Q130"/>
  <c r="W130"/>
</calcChain>
</file>

<file path=xl/sharedStrings.xml><?xml version="1.0" encoding="utf-8"?>
<sst xmlns="http://schemas.openxmlformats.org/spreadsheetml/2006/main" count="373" uniqueCount="162">
  <si>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</si>
  <si>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</si>
  <si>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</si>
  <si>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</si>
  <si>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</si>
  <si>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</si>
  <si>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</si>
  <si>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</si>
  <si>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</si>
  <si>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</si>
  <si>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</si>
  <si>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</si>
  <si>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</si>
  <si>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</si>
  <si>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</t>
  </si>
  <si>
    <t>2</t>
  </si>
  <si>
    <t>6</t>
  </si>
  <si>
    <t>7</t>
  </si>
  <si>
    <t>8</t>
  </si>
  <si>
    <t>11</t>
  </si>
  <si>
    <t>12</t>
  </si>
  <si>
    <t>14</t>
  </si>
  <si>
    <t>16</t>
  </si>
  <si>
    <t>17</t>
  </si>
  <si>
    <t>9</t>
  </si>
  <si>
    <t>19</t>
  </si>
  <si>
    <t>ADAIR</t>
  </si>
  <si>
    <t/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</si>
  <si>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</si>
  <si>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</si>
  <si>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</si>
  <si>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</si>
  <si>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</si>
  <si>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</si>
  <si>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</si>
  <si>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</si>
  <si>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</si>
  <si>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</si>
  <si>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</si>
  <si>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</si>
  <si>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</si>
  <si>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</si>
  <si>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</si>
  <si>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</si>
  <si>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</si>
  <si>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</si>
  <si>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</si>
  <si>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</si>
  <si>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</si>
  <si>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</si>
  <si>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</si>
  <si>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</si>
  <si>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</si>
  <si>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</si>
  <si>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</si>
  <si>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</si>
  <si>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</si>
  <si>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</si>
  <si>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</si>
  <si>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</si>
  <si>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</si>
  <si>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</si>
  <si>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</si>
  <si>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</si>
  <si>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</si>
  <si>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</si>
  <si>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</si>
  <si>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</si>
  <si>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</si>
  <si>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</si>
  <si>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</si>
  <si>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</si>
  <si>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</si>
  <si>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</si>
  <si>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</si>
  <si>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</si>
  <si>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</si>
  <si>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</si>
  <si>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</si>
  <si>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</si>
  <si>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</si>
  <si>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</si>
  <si>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</si>
  <si>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</si>
  <si>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</si>
  <si>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</si>
  <si>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</si>
  <si>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</si>
  <si>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</si>
  <si>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</si>
  <si>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</si>
  <si>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</si>
  <si>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</si>
  <si>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</si>
  <si>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</si>
  <si>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</si>
  <si>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</si>
  <si>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</si>
  <si>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</si>
  <si>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</si>
  <si>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</si>
  <si>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</si>
  <si>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</si>
  <si>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</si>
  <si>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</si>
  <si>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</si>
  <si>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</si>
  <si>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</si>
  <si>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</si>
  <si>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</si>
  <si>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</si>
  <si>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</si>
  <si>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</si>
  <si>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</si>
  <si>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</si>
  <si>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</si>
  <si>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</si>
  <si>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</si>
  <si>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</si>
  <si>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</si>
  <si>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</si>
  <si>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</si>
  <si>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</si>
  <si>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</si>
  <si>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</si>
  <si>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</si>
  <si>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</si>
  <si>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</si>
  <si>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</si>
  <si>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</si>
  <si>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</si>
  <si>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</si>
  <si>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</si>
  <si>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</si>
  <si>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</si>
  <si>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</si>
  <si>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</si>
  <si>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</si>
  <si>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</si>
  <si>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</si>
  <si>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</si>
  <si>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</si>
  <si>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</si>
  <si>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</si>
  <si>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</si>
  <si>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</si>
  <si>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</si>
  <si>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</si>
  <si>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</si>
  <si>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</si>
  <si>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</si>
  <si>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</si>
  <si>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</si>
  <si>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</si>
  <si>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</si>
  <si>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</si>
  <si>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</si>
  <si>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</si>
  <si>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</si>
  <si>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</si>
  <si>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Percent of Total</t>
  </si>
  <si>
    <t>2004 DVMT (in thousands) and Mileage by County and Functional Class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</si>
</sst>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9" formatCode="[$-409]mmmm\ d\,\ yyyy;@"/>
  </numFmts>
  <fonts count="20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4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8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55"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6" fillId="0" borderId="0" xfId="0" applyNumberFormat="1" applyFont="1"/>
    <xf numFmtId="0" fontId="9" fillId="0" borderId="0" xfId="0" applyFont="1"/>
    <xf numFmtId="0" fontId="10" fillId="0" borderId="0" xfId="0" applyFont="1"/>
    <xf numFmtId="15" fontId="10" fillId="0" borderId="0" xfId="0" quotePrefix="1" applyNumberFormat="1" applyFont="1"/>
    <xf numFmtId="0" fontId="11" fillId="0" borderId="0" xfId="0" applyFont="1"/>
    <xf numFmtId="49" fontId="11" fillId="0" borderId="0" xfId="0" applyNumberFormat="1" applyFont="1" applyAlignment="1">
      <alignment horizontal="left"/>
    </xf>
    <xf numFmtId="49" fontId="10" fillId="0" borderId="0" xfId="0" applyNumberFormat="1" applyFont="1"/>
    <xf numFmtId="49" fontId="11" fillId="0" borderId="0" xfId="0" applyNumberFormat="1" applyFont="1"/>
    <xf numFmtId="0" fontId="12" fillId="0" borderId="0" xfId="0" applyFont="1"/>
    <xf numFmtId="0" fontId="3" fillId="0" borderId="0" xfId="0" applyFont="1" applyAlignment="1">
      <alignment horizontal="right"/>
    </xf>
    <xf numFmtId="15" fontId="13" fillId="0" borderId="0" xfId="0" applyNumberFormat="1" applyFont="1"/>
    <xf numFmtId="3" fontId="2" fillId="0" borderId="0" xfId="0" applyNumberFormat="1" applyFont="1" applyAlignment="1">
      <alignment horizontal="center"/>
    </xf>
    <xf numFmtId="3" fontId="5" fillId="0" borderId="1" xfId="2" applyNumberFormat="1" applyFont="1" applyFill="1" applyBorder="1" applyAlignment="1">
      <alignment horizontal="right" wrapText="1"/>
    </xf>
    <xf numFmtId="3" fontId="14" fillId="0" borderId="0" xfId="0" applyNumberFormat="1" applyFont="1"/>
    <xf numFmtId="0" fontId="2" fillId="0" borderId="0" xfId="0" applyFont="1" applyBorder="1"/>
    <xf numFmtId="49" fontId="2" fillId="0" borderId="0" xfId="0" applyNumberFormat="1" applyFont="1" applyBorder="1"/>
    <xf numFmtId="49" fontId="10" fillId="0" borderId="0" xfId="0" applyNumberFormat="1" applyFont="1" applyBorder="1"/>
    <xf numFmtId="3" fontId="3" fillId="0" borderId="0" xfId="0" applyNumberFormat="1" applyFont="1" applyBorder="1"/>
    <xf numFmtId="3" fontId="4" fillId="0" borderId="0" xfId="1" applyNumberFormat="1" applyFont="1" applyFill="1" applyBorder="1" applyAlignment="1">
      <alignment horizontal="right" wrapText="1"/>
    </xf>
    <xf numFmtId="3" fontId="0" fillId="0" borderId="0" xfId="0" applyNumberFormat="1" applyBorder="1"/>
    <xf numFmtId="164" fontId="7" fillId="0" borderId="0" xfId="0" applyNumberFormat="1" applyFont="1" applyBorder="1"/>
    <xf numFmtId="3" fontId="2" fillId="0" borderId="0" xfId="0" applyNumberFormat="1" applyFont="1" applyBorder="1"/>
    <xf numFmtId="3" fontId="5" fillId="0" borderId="0" xfId="4" applyNumberFormat="1" applyFont="1" applyFill="1" applyBorder="1" applyAlignment="1">
      <alignment horizontal="right" wrapText="1"/>
    </xf>
    <xf numFmtId="3" fontId="4" fillId="0" borderId="0" xfId="4" applyNumberFormat="1" applyFont="1" applyFill="1" applyBorder="1" applyAlignment="1">
      <alignment horizontal="right" wrapText="1"/>
    </xf>
    <xf numFmtId="0" fontId="0" fillId="0" borderId="0" xfId="0" applyBorder="1"/>
    <xf numFmtId="0" fontId="7" fillId="0" borderId="0" xfId="0" applyFont="1" applyAlignment="1">
      <alignment horizontal="right"/>
    </xf>
    <xf numFmtId="165" fontId="7" fillId="0" borderId="0" xfId="0" applyNumberFormat="1" applyFont="1"/>
    <xf numFmtId="3" fontId="15" fillId="0" borderId="0" xfId="0" applyNumberFormat="1" applyFont="1"/>
    <xf numFmtId="0" fontId="16" fillId="0" borderId="0" xfId="0" applyFont="1"/>
    <xf numFmtId="3" fontId="17" fillId="0" borderId="0" xfId="0" applyNumberFormat="1" applyFont="1"/>
    <xf numFmtId="3" fontId="5" fillId="0" borderId="2" xfId="2" applyNumberFormat="1" applyFont="1" applyFill="1" applyBorder="1" applyAlignment="1">
      <alignment horizontal="center"/>
    </xf>
    <xf numFmtId="169" fontId="2" fillId="0" borderId="0" xfId="0" applyNumberFormat="1" applyFont="1"/>
    <xf numFmtId="1" fontId="3" fillId="0" borderId="0" xfId="0" quotePrefix="1" applyNumberFormat="1" applyFont="1" applyAlignment="1">
      <alignment horizontal="right"/>
    </xf>
    <xf numFmtId="3" fontId="18" fillId="2" borderId="2" xfId="3" applyNumberFormat="1" applyFont="1" applyFill="1" applyBorder="1" applyAlignment="1">
      <alignment horizontal="center"/>
    </xf>
    <xf numFmtId="3" fontId="4" fillId="0" borderId="0" xfId="3" applyNumberFormat="1"/>
    <xf numFmtId="3" fontId="18" fillId="0" borderId="1" xfId="3" applyNumberFormat="1" applyFont="1" applyFill="1" applyBorder="1" applyAlignment="1">
      <alignment horizontal="right" wrapText="1"/>
    </xf>
    <xf numFmtId="3" fontId="2" fillId="0" borderId="0" xfId="0" applyNumberFormat="1" applyFont="1" applyAlignment="1">
      <alignment horizontal="center"/>
    </xf>
  </cellXfs>
  <cellStyles count="5">
    <cellStyle name="Normal" xfId="0" builtinId="0"/>
    <cellStyle name="Normal_2000_1" xfId="1"/>
    <cellStyle name="Normal_Curr" xfId="2"/>
    <cellStyle name="Normal_Curr_1" xfId="3"/>
    <cellStyle name="Normal_VMT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41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5.140625" customWidth="1"/>
    <col min="2" max="2" width="18.28515625" customWidth="1"/>
    <col min="3" max="3" width="5.7109375" style="26" customWidth="1"/>
    <col min="4" max="4" width="11.5703125" style="18" customWidth="1"/>
    <col min="5" max="5" width="10.28515625" style="9" customWidth="1"/>
    <col min="6" max="10" width="9.5703125" style="9" customWidth="1"/>
    <col min="11" max="11" width="6.5703125" style="11" customWidth="1"/>
    <col min="12" max="17" width="9" style="9" customWidth="1"/>
    <col min="18" max="18" width="6.42578125" style="14" customWidth="1"/>
    <col min="19" max="24" width="9.28515625" style="2" bestFit="1" customWidth="1"/>
    <col min="25" max="25" width="4.140625" style="2" customWidth="1"/>
    <col min="26" max="26" width="10.42578125" style="2" customWidth="1"/>
    <col min="27" max="30" width="9.28515625" style="2" bestFit="1" customWidth="1"/>
    <col min="31" max="31" width="10.85546875" style="2" bestFit="1" customWidth="1"/>
    <col min="32" max="32" width="13.7109375" style="10" customWidth="1"/>
  </cols>
  <sheetData>
    <row r="1" spans="1:32" ht="15.75">
      <c r="A1" s="28"/>
      <c r="B1" s="46"/>
      <c r="C1" s="19"/>
      <c r="D1" s="16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AF1" s="1"/>
    </row>
    <row r="2" spans="1:32" ht="15.75">
      <c r="A2" s="1" t="s">
        <v>161</v>
      </c>
      <c r="B2" s="3"/>
      <c r="C2" s="20"/>
      <c r="D2" s="16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AF2" s="1"/>
    </row>
    <row r="3" spans="1:32" ht="15.75">
      <c r="A3" s="11" t="s">
        <v>148</v>
      </c>
      <c r="B3" s="3"/>
      <c r="C3" s="20"/>
      <c r="D3" s="16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AF3" s="1"/>
    </row>
    <row r="4" spans="1:32" ht="15.75">
      <c r="A4" s="3"/>
      <c r="B4" s="49">
        <v>38498</v>
      </c>
      <c r="C4" s="21"/>
      <c r="D4" s="16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AF4" s="1"/>
    </row>
    <row r="5" spans="1:32" ht="15.75">
      <c r="A5" s="3"/>
      <c r="B5" s="3"/>
      <c r="C5" s="22" t="s">
        <v>153</v>
      </c>
      <c r="D5" s="50">
        <v>2004</v>
      </c>
      <c r="E5" s="54" t="s">
        <v>0</v>
      </c>
      <c r="F5" s="54"/>
      <c r="G5" s="54"/>
      <c r="H5" s="54"/>
      <c r="I5" s="54"/>
      <c r="J5" s="54"/>
      <c r="K5" s="12"/>
      <c r="L5" s="54" t="s">
        <v>1</v>
      </c>
      <c r="M5" s="54"/>
      <c r="N5" s="54"/>
      <c r="O5" s="54"/>
      <c r="P5" s="54"/>
      <c r="Q5" s="54"/>
      <c r="R5" s="12"/>
      <c r="S5" s="54" t="s">
        <v>2</v>
      </c>
      <c r="T5" s="54"/>
      <c r="U5" s="54"/>
      <c r="V5" s="54"/>
      <c r="W5" s="54"/>
      <c r="X5" s="54"/>
      <c r="Y5" s="29"/>
      <c r="Z5" s="54" t="s">
        <v>3</v>
      </c>
      <c r="AA5" s="54"/>
      <c r="AB5" s="54"/>
      <c r="AC5" s="54"/>
      <c r="AD5" s="54"/>
      <c r="AE5" s="54"/>
      <c r="AF5" s="1"/>
    </row>
    <row r="6" spans="1:32" s="7" customFormat="1" ht="15.75">
      <c r="A6" s="4"/>
      <c r="B6" s="5" t="s">
        <v>4</v>
      </c>
      <c r="C6" s="23" t="s">
        <v>154</v>
      </c>
      <c r="D6" s="27" t="s">
        <v>157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12"/>
      <c r="L6" s="6" t="s">
        <v>5</v>
      </c>
      <c r="M6" s="6" t="s">
        <v>11</v>
      </c>
      <c r="N6" s="6" t="s">
        <v>6</v>
      </c>
      <c r="O6" s="6" t="s">
        <v>7</v>
      </c>
      <c r="P6" s="6" t="s">
        <v>12</v>
      </c>
      <c r="Q6" s="6" t="s">
        <v>10</v>
      </c>
      <c r="R6" s="12"/>
      <c r="S6" s="6" t="s">
        <v>5</v>
      </c>
      <c r="T6" s="6" t="s">
        <v>6</v>
      </c>
      <c r="U6" s="6" t="s">
        <v>7</v>
      </c>
      <c r="V6" s="6" t="s">
        <v>8</v>
      </c>
      <c r="W6" s="6" t="s">
        <v>9</v>
      </c>
      <c r="X6" s="6" t="s">
        <v>10</v>
      </c>
      <c r="Y6" s="6"/>
      <c r="Z6" s="6" t="s">
        <v>5</v>
      </c>
      <c r="AA6" s="6" t="s">
        <v>11</v>
      </c>
      <c r="AB6" s="6" t="s">
        <v>6</v>
      </c>
      <c r="AC6" s="6" t="s">
        <v>7</v>
      </c>
      <c r="AD6" s="6" t="s">
        <v>12</v>
      </c>
      <c r="AE6" s="6" t="s">
        <v>10</v>
      </c>
      <c r="AF6" s="27" t="s">
        <v>13</v>
      </c>
    </row>
    <row r="7" spans="1:32" ht="15" customHeight="1">
      <c r="A7" s="3"/>
      <c r="B7" s="8"/>
      <c r="C7" s="24"/>
      <c r="D7" s="17" t="s">
        <v>155</v>
      </c>
      <c r="E7" s="51" t="s">
        <v>14</v>
      </c>
      <c r="F7" s="51" t="s">
        <v>15</v>
      </c>
      <c r="G7" s="51" t="s">
        <v>16</v>
      </c>
      <c r="H7" s="51" t="s">
        <v>17</v>
      </c>
      <c r="I7" s="51" t="s">
        <v>18</v>
      </c>
      <c r="J7" s="29" t="s">
        <v>149</v>
      </c>
      <c r="K7" s="12"/>
      <c r="L7" s="51" t="s">
        <v>19</v>
      </c>
      <c r="M7" s="51" t="s">
        <v>20</v>
      </c>
      <c r="N7" s="51" t="s">
        <v>21</v>
      </c>
      <c r="O7" s="51" t="s">
        <v>22</v>
      </c>
      <c r="P7" s="51" t="s">
        <v>23</v>
      </c>
      <c r="Q7" s="29" t="s">
        <v>25</v>
      </c>
      <c r="R7" s="12"/>
      <c r="S7" s="51" t="s">
        <v>14</v>
      </c>
      <c r="T7" s="51" t="s">
        <v>15</v>
      </c>
      <c r="U7" s="51" t="s">
        <v>16</v>
      </c>
      <c r="V7" s="51" t="s">
        <v>17</v>
      </c>
      <c r="W7" s="51" t="s">
        <v>18</v>
      </c>
      <c r="X7" s="51" t="s">
        <v>24</v>
      </c>
      <c r="Y7" s="48"/>
      <c r="Z7" s="51" t="s">
        <v>19</v>
      </c>
      <c r="AA7" s="51" t="s">
        <v>20</v>
      </c>
      <c r="AB7" s="51" t="s">
        <v>21</v>
      </c>
      <c r="AC7" s="51" t="s">
        <v>22</v>
      </c>
      <c r="AD7" s="51" t="s">
        <v>23</v>
      </c>
      <c r="AE7" s="51" t="s">
        <v>25</v>
      </c>
      <c r="AF7" s="27" t="s">
        <v>156</v>
      </c>
    </row>
    <row r="8" spans="1:32" ht="15" customHeight="1">
      <c r="A8" s="3">
        <v>1</v>
      </c>
      <c r="B8" s="8" t="s">
        <v>26</v>
      </c>
      <c r="C8" s="25" t="s">
        <v>150</v>
      </c>
      <c r="D8" s="16">
        <f t="shared" ref="D8:D39" si="0">SUM(E8:J8)+SUM(L8:Q8)</f>
        <v>584.42019149390876</v>
      </c>
      <c r="E8" s="52"/>
      <c r="F8" s="53">
        <v>191.75301483981312</v>
      </c>
      <c r="G8" s="53">
        <v>23.815935361385346</v>
      </c>
      <c r="H8" s="53">
        <v>162.83113736329972</v>
      </c>
      <c r="I8" s="53">
        <v>78.502649904713039</v>
      </c>
      <c r="J8" s="2">
        <v>127.51745402469754</v>
      </c>
      <c r="K8" s="13"/>
      <c r="L8" s="52"/>
      <c r="M8" s="52"/>
      <c r="N8" s="52"/>
      <c r="O8" s="52"/>
      <c r="P8" s="52"/>
      <c r="Q8" s="2" t="s">
        <v>27</v>
      </c>
      <c r="R8" s="13"/>
      <c r="S8" s="52"/>
      <c r="T8" s="53">
        <v>30.571999844163656</v>
      </c>
      <c r="U8" s="53">
        <v>9.0399999916553497</v>
      </c>
      <c r="V8" s="53">
        <v>73.521999375894666</v>
      </c>
      <c r="W8" s="53">
        <v>114.40300045162439</v>
      </c>
      <c r="X8" s="53">
        <v>644.32402830570936</v>
      </c>
      <c r="Y8" s="30"/>
      <c r="Z8" s="52"/>
      <c r="AA8" s="52"/>
      <c r="AB8" s="52"/>
      <c r="AC8" s="52"/>
      <c r="AD8" s="52"/>
      <c r="AE8" s="52"/>
      <c r="AF8" s="16">
        <f t="shared" ref="AF8:AF39" si="1">SUM(S8:AE8)</f>
        <v>871.86102796904743</v>
      </c>
    </row>
    <row r="9" spans="1:32" ht="15" customHeight="1">
      <c r="A9" s="3">
        <v>2</v>
      </c>
      <c r="B9" s="8" t="s">
        <v>28</v>
      </c>
      <c r="C9" s="25" t="s">
        <v>150</v>
      </c>
      <c r="D9" s="16">
        <f t="shared" si="0"/>
        <v>467.45926535682901</v>
      </c>
      <c r="E9" s="52"/>
      <c r="F9" s="53">
        <v>110.63216502249242</v>
      </c>
      <c r="G9" s="53">
        <v>54.583596724689009</v>
      </c>
      <c r="H9" s="53">
        <v>127.60278445374966</v>
      </c>
      <c r="I9" s="53">
        <v>65.894300912745294</v>
      </c>
      <c r="J9" s="2">
        <v>108.7464182431526</v>
      </c>
      <c r="K9" s="13"/>
      <c r="L9" s="52"/>
      <c r="M9" s="52"/>
      <c r="N9" s="52"/>
      <c r="O9" s="52"/>
      <c r="P9" s="52"/>
      <c r="Q9" s="2" t="s">
        <v>27</v>
      </c>
      <c r="R9" s="13"/>
      <c r="S9" s="52"/>
      <c r="T9" s="53">
        <v>17.485000163316727</v>
      </c>
      <c r="U9" s="53">
        <v>10.578999936580658</v>
      </c>
      <c r="V9" s="53">
        <v>53.606000273488462</v>
      </c>
      <c r="W9" s="53">
        <v>88.17699958011508</v>
      </c>
      <c r="X9" s="53">
        <v>520.95899685844779</v>
      </c>
      <c r="Y9" s="30"/>
      <c r="Z9" s="52"/>
      <c r="AA9" s="52"/>
      <c r="AB9" s="52"/>
      <c r="AC9" s="52"/>
      <c r="AD9" s="52"/>
      <c r="AE9" s="52"/>
      <c r="AF9" s="16">
        <f t="shared" si="1"/>
        <v>690.80599681194872</v>
      </c>
    </row>
    <row r="10" spans="1:32" ht="15" customHeight="1">
      <c r="A10" s="3">
        <v>3</v>
      </c>
      <c r="B10" s="8" t="s">
        <v>29</v>
      </c>
      <c r="C10" s="25" t="s">
        <v>151</v>
      </c>
      <c r="D10" s="16">
        <f t="shared" si="0"/>
        <v>611.36265895668419</v>
      </c>
      <c r="E10" s="52"/>
      <c r="F10" s="53">
        <v>287.45693613672256</v>
      </c>
      <c r="G10" s="53">
        <v>26.523644719839098</v>
      </c>
      <c r="H10" s="53">
        <v>59.604173270463946</v>
      </c>
      <c r="I10" s="53">
        <v>23.849457918316126</v>
      </c>
      <c r="J10" s="2">
        <v>45.346569934222366</v>
      </c>
      <c r="K10" s="13"/>
      <c r="L10" s="52"/>
      <c r="M10" s="52"/>
      <c r="N10" s="53">
        <v>67.729439530372616</v>
      </c>
      <c r="O10" s="52"/>
      <c r="P10" s="53">
        <v>65.061894495546824</v>
      </c>
      <c r="Q10" s="2">
        <v>35.790542951200607</v>
      </c>
      <c r="R10" s="13"/>
      <c r="S10" s="52"/>
      <c r="T10" s="53">
        <v>21.00599979609251</v>
      </c>
      <c r="U10" s="53">
        <v>4.5870001316070557</v>
      </c>
      <c r="V10" s="53">
        <v>37.531999737024307</v>
      </c>
      <c r="W10" s="53">
        <v>35.126999944448471</v>
      </c>
      <c r="X10" s="53">
        <v>230.65300690475851</v>
      </c>
      <c r="Y10" s="30"/>
      <c r="Z10" s="52"/>
      <c r="AA10" s="52"/>
      <c r="AB10" s="53">
        <v>3.5759999752044678</v>
      </c>
      <c r="AC10" s="52"/>
      <c r="AD10" s="53">
        <v>8.8790000826120377</v>
      </c>
      <c r="AE10" s="53">
        <v>41.180000245571136</v>
      </c>
      <c r="AF10" s="16">
        <f t="shared" si="1"/>
        <v>382.5400068173185</v>
      </c>
    </row>
    <row r="11" spans="1:32" ht="15" customHeight="1">
      <c r="A11" s="3">
        <v>4</v>
      </c>
      <c r="B11" s="8" t="s">
        <v>30</v>
      </c>
      <c r="C11" s="25" t="s">
        <v>150</v>
      </c>
      <c r="D11" s="16">
        <f t="shared" si="0"/>
        <v>267.40745286400858</v>
      </c>
      <c r="E11" s="52"/>
      <c r="F11" s="53">
        <v>137.90425569954513</v>
      </c>
      <c r="G11" s="53">
        <v>13.369059872597456</v>
      </c>
      <c r="H11" s="53">
        <v>49.439317846551539</v>
      </c>
      <c r="I11" s="53">
        <v>26.041930990658699</v>
      </c>
      <c r="J11" s="2">
        <v>40.652888454655752</v>
      </c>
      <c r="K11" s="13"/>
      <c r="L11" s="52"/>
      <c r="M11" s="52"/>
      <c r="N11" s="52"/>
      <c r="O11" s="52"/>
      <c r="P11" s="52"/>
      <c r="Q11" s="2" t="s">
        <v>27</v>
      </c>
      <c r="R11" s="13"/>
      <c r="S11" s="52"/>
      <c r="T11" s="53">
        <v>25.233999863266945</v>
      </c>
      <c r="U11" s="53">
        <v>8.6889998875558376</v>
      </c>
      <c r="V11" s="53">
        <v>25.191999984905124</v>
      </c>
      <c r="W11" s="53">
        <v>65.533000405877829</v>
      </c>
      <c r="X11" s="53">
        <v>288.96800699830055</v>
      </c>
      <c r="Y11" s="30"/>
      <c r="Z11" s="52"/>
      <c r="AA11" s="52"/>
      <c r="AB11" s="52"/>
      <c r="AC11" s="52"/>
      <c r="AD11" s="52"/>
      <c r="AE11" s="52"/>
      <c r="AF11" s="16">
        <f t="shared" si="1"/>
        <v>413.61600713990629</v>
      </c>
    </row>
    <row r="12" spans="1:32" ht="15" customHeight="1">
      <c r="A12" s="3">
        <v>5</v>
      </c>
      <c r="B12" s="8" t="s">
        <v>31</v>
      </c>
      <c r="C12" s="25" t="s">
        <v>151</v>
      </c>
      <c r="D12" s="16">
        <f t="shared" si="0"/>
        <v>1541.0632594716481</v>
      </c>
      <c r="E12" s="53">
        <v>264.6691739974022</v>
      </c>
      <c r="F12" s="53">
        <v>156.14882210373878</v>
      </c>
      <c r="G12" s="53">
        <v>215.21076095708833</v>
      </c>
      <c r="H12" s="53">
        <v>235.19183997455238</v>
      </c>
      <c r="I12" s="53">
        <v>120.95152021202445</v>
      </c>
      <c r="J12" s="2">
        <v>162.61168361169112</v>
      </c>
      <c r="K12" s="13"/>
      <c r="L12" s="52"/>
      <c r="M12" s="53">
        <v>25.709417306900026</v>
      </c>
      <c r="N12" s="53">
        <v>125.28816093727946</v>
      </c>
      <c r="O12" s="53">
        <v>112.66781580521166</v>
      </c>
      <c r="P12" s="53">
        <v>58.002732463665303</v>
      </c>
      <c r="Q12" s="2">
        <v>64.611332102094323</v>
      </c>
      <c r="R12" s="13"/>
      <c r="S12" s="53">
        <v>8.4379999041557312</v>
      </c>
      <c r="T12" s="53">
        <v>19.81000030040741</v>
      </c>
      <c r="U12" s="53">
        <v>30.126000318676233</v>
      </c>
      <c r="V12" s="53">
        <v>81.272000074386597</v>
      </c>
      <c r="W12" s="53">
        <v>127.36699979007244</v>
      </c>
      <c r="X12" s="53">
        <v>670.69098389148712</v>
      </c>
      <c r="Y12" s="30"/>
      <c r="Z12" s="52"/>
      <c r="AA12" s="53">
        <v>2.5469999313354492</v>
      </c>
      <c r="AB12" s="53">
        <v>8.0549999848008156</v>
      </c>
      <c r="AC12" s="53">
        <v>14.241999749094248</v>
      </c>
      <c r="AD12" s="53">
        <v>10.910999946296215</v>
      </c>
      <c r="AE12" s="53">
        <v>90.847000598907471</v>
      </c>
      <c r="AF12" s="16">
        <f t="shared" si="1"/>
        <v>1064.3059844896197</v>
      </c>
    </row>
    <row r="13" spans="1:32" ht="15" customHeight="1">
      <c r="A13" s="3">
        <v>6</v>
      </c>
      <c r="B13" s="8" t="s">
        <v>32</v>
      </c>
      <c r="C13" s="25" t="s">
        <v>150</v>
      </c>
      <c r="D13" s="16">
        <f t="shared" si="0"/>
        <v>492.54719027590176</v>
      </c>
      <c r="E13" s="53">
        <v>257.19655240535735</v>
      </c>
      <c r="F13" s="52"/>
      <c r="G13" s="53">
        <v>34.356098845481874</v>
      </c>
      <c r="H13" s="53">
        <v>121.55306635345518</v>
      </c>
      <c r="I13" s="53">
        <v>28.787548139810561</v>
      </c>
      <c r="J13" s="2">
        <v>50.653924531796783</v>
      </c>
      <c r="K13" s="13"/>
      <c r="L13" s="52"/>
      <c r="M13" s="52"/>
      <c r="N13" s="52"/>
      <c r="O13" s="52"/>
      <c r="P13" s="52"/>
      <c r="Q13" s="2" t="s">
        <v>27</v>
      </c>
      <c r="R13" s="13"/>
      <c r="S13" s="53">
        <v>13.308000087738037</v>
      </c>
      <c r="T13" s="52"/>
      <c r="U13" s="53">
        <v>12.541999936103821</v>
      </c>
      <c r="V13" s="53">
        <v>51.969999887049198</v>
      </c>
      <c r="W13" s="53">
        <v>59.025000393390656</v>
      </c>
      <c r="X13" s="53">
        <v>316.80500004068017</v>
      </c>
      <c r="Y13" s="30"/>
      <c r="Z13" s="52"/>
      <c r="AA13" s="52"/>
      <c r="AB13" s="52"/>
      <c r="AC13" s="52"/>
      <c r="AD13" s="52"/>
      <c r="AE13" s="52"/>
      <c r="AF13" s="16">
        <f t="shared" si="1"/>
        <v>453.65000034496188</v>
      </c>
    </row>
    <row r="14" spans="1:32" ht="15" customHeight="1">
      <c r="A14" s="3">
        <v>7</v>
      </c>
      <c r="B14" s="8" t="s">
        <v>33</v>
      </c>
      <c r="C14" s="25" t="s">
        <v>151</v>
      </c>
      <c r="D14" s="16">
        <f t="shared" si="0"/>
        <v>790.73724880575537</v>
      </c>
      <c r="E14" s="52"/>
      <c r="F14" s="53">
        <v>400.76707389521601</v>
      </c>
      <c r="G14" s="52"/>
      <c r="H14" s="53">
        <v>128.88483759511635</v>
      </c>
      <c r="I14" s="53">
        <v>23.173424135535956</v>
      </c>
      <c r="J14" s="2">
        <v>48.647650981311727</v>
      </c>
      <c r="K14" s="13"/>
      <c r="L14" s="52"/>
      <c r="M14" s="52"/>
      <c r="N14" s="53">
        <v>42.635305455684659</v>
      </c>
      <c r="O14" s="53">
        <v>69.837459130801264</v>
      </c>
      <c r="P14" s="53">
        <v>40.029480898022655</v>
      </c>
      <c r="Q14" s="2">
        <v>36.762016714066803</v>
      </c>
      <c r="R14" s="13"/>
      <c r="S14" s="52"/>
      <c r="T14" s="53">
        <v>32.530000105500221</v>
      </c>
      <c r="U14" s="52"/>
      <c r="V14" s="53">
        <v>97.838999684900045</v>
      </c>
      <c r="W14" s="53">
        <v>44.256000109016895</v>
      </c>
      <c r="X14" s="53">
        <v>291.04900242388248</v>
      </c>
      <c r="Y14" s="30"/>
      <c r="Z14" s="52"/>
      <c r="AA14" s="52"/>
      <c r="AB14" s="53">
        <v>2.000999927520752</v>
      </c>
      <c r="AC14" s="53">
        <v>7.7429998749867082</v>
      </c>
      <c r="AD14" s="53">
        <v>11.372999986633658</v>
      </c>
      <c r="AE14" s="53">
        <v>66.8790003657341</v>
      </c>
      <c r="AF14" s="16">
        <f t="shared" si="1"/>
        <v>553.67000247817487</v>
      </c>
    </row>
    <row r="15" spans="1:32" ht="15" customHeight="1">
      <c r="A15" s="3">
        <v>8</v>
      </c>
      <c r="B15" s="8" t="s">
        <v>34</v>
      </c>
      <c r="C15" s="25" t="s">
        <v>152</v>
      </c>
      <c r="D15" s="16">
        <f t="shared" si="0"/>
        <v>3778.9676263992342</v>
      </c>
      <c r="E15" s="53">
        <v>662.2300769343376</v>
      </c>
      <c r="F15" s="52"/>
      <c r="G15" s="52"/>
      <c r="H15" s="53">
        <v>158.32829777725041</v>
      </c>
      <c r="I15" s="53">
        <v>74.590328828990465</v>
      </c>
      <c r="J15" s="2">
        <v>60.899659601748233</v>
      </c>
      <c r="K15" s="13"/>
      <c r="L15" s="53">
        <v>1493.4219169914722</v>
      </c>
      <c r="M15" s="52"/>
      <c r="N15" s="53">
        <v>382.2766519837603</v>
      </c>
      <c r="O15" s="53">
        <v>638.11996819473427</v>
      </c>
      <c r="P15" s="53">
        <v>112.44554377172888</v>
      </c>
      <c r="Q15" s="2">
        <v>196.65518231521162</v>
      </c>
      <c r="R15" s="13"/>
      <c r="S15" s="53">
        <v>17.338000118732452</v>
      </c>
      <c r="T15" s="52"/>
      <c r="U15" s="52"/>
      <c r="V15" s="53">
        <v>58.773000653833151</v>
      </c>
      <c r="W15" s="53">
        <v>46.952999867498875</v>
      </c>
      <c r="X15" s="53">
        <v>182.12300278246403</v>
      </c>
      <c r="Y15" s="30"/>
      <c r="Z15" s="53">
        <v>16.644999980926514</v>
      </c>
      <c r="AA15" s="52"/>
      <c r="AB15" s="53">
        <v>13.979000063613057</v>
      </c>
      <c r="AC15" s="53">
        <v>47.33799965493381</v>
      </c>
      <c r="AD15" s="53">
        <v>22.04600016772747</v>
      </c>
      <c r="AE15" s="53">
        <v>283.74999341368675</v>
      </c>
      <c r="AF15" s="16">
        <f t="shared" si="1"/>
        <v>688.94499670341611</v>
      </c>
    </row>
    <row r="16" spans="1:32" ht="15" customHeight="1">
      <c r="A16" s="3">
        <v>9</v>
      </c>
      <c r="B16" s="8" t="s">
        <v>35</v>
      </c>
      <c r="C16" s="25" t="s">
        <v>151</v>
      </c>
      <c r="D16" s="16">
        <f t="shared" si="0"/>
        <v>582.90325478759746</v>
      </c>
      <c r="E16" s="52"/>
      <c r="F16" s="53">
        <v>182.08271735927462</v>
      </c>
      <c r="G16" s="53">
        <v>81.818412552282211</v>
      </c>
      <c r="H16" s="53">
        <v>36.447151654183862</v>
      </c>
      <c r="I16" s="53">
        <v>56.906559391915799</v>
      </c>
      <c r="J16" s="2">
        <v>39.383444111163278</v>
      </c>
      <c r="K16" s="13"/>
      <c r="L16" s="52"/>
      <c r="M16" s="52"/>
      <c r="N16" s="53">
        <v>81.830179618224506</v>
      </c>
      <c r="O16" s="53">
        <v>50.875802778420038</v>
      </c>
      <c r="P16" s="53">
        <v>29.447321563176811</v>
      </c>
      <c r="Q16" s="2">
        <v>24.111665758956292</v>
      </c>
      <c r="R16" s="13"/>
      <c r="S16" s="52"/>
      <c r="T16" s="53">
        <v>20.353000104427338</v>
      </c>
      <c r="U16" s="53">
        <v>29.186000145971775</v>
      </c>
      <c r="V16" s="53">
        <v>25.367999792098999</v>
      </c>
      <c r="W16" s="53">
        <v>67.840999573469162</v>
      </c>
      <c r="X16" s="53">
        <v>175.52999441884458</v>
      </c>
      <c r="Y16" s="30"/>
      <c r="Z16" s="52"/>
      <c r="AA16" s="52"/>
      <c r="AB16" s="53">
        <v>5.8959998972713947</v>
      </c>
      <c r="AC16" s="53">
        <v>6.7890000818297267</v>
      </c>
      <c r="AD16" s="53">
        <v>8.5189999379217625</v>
      </c>
      <c r="AE16" s="53">
        <v>44.363001823425293</v>
      </c>
      <c r="AF16" s="16">
        <f t="shared" si="1"/>
        <v>383.84499577526003</v>
      </c>
    </row>
    <row r="17" spans="1:32" ht="15" customHeight="1">
      <c r="A17" s="3">
        <v>10</v>
      </c>
      <c r="B17" s="8" t="s">
        <v>36</v>
      </c>
      <c r="C17" s="25" t="s">
        <v>152</v>
      </c>
      <c r="D17" s="16">
        <f t="shared" si="0"/>
        <v>1431.2985532159573</v>
      </c>
      <c r="E17" s="53">
        <v>220.44217942059041</v>
      </c>
      <c r="F17" s="53">
        <v>137.69937791392206</v>
      </c>
      <c r="G17" s="52"/>
      <c r="H17" s="53">
        <v>105.23063374754787</v>
      </c>
      <c r="I17" s="53">
        <v>26.785997004479171</v>
      </c>
      <c r="J17" s="2">
        <v>44.173567476679587</v>
      </c>
      <c r="K17" s="13"/>
      <c r="L17" s="52"/>
      <c r="M17" s="52"/>
      <c r="N17" s="53">
        <v>490.9790271803513</v>
      </c>
      <c r="O17" s="53">
        <v>151.53641871529072</v>
      </c>
      <c r="P17" s="53">
        <v>106.12029665178805</v>
      </c>
      <c r="Q17" s="2">
        <v>148.33105510530837</v>
      </c>
      <c r="R17" s="13"/>
      <c r="S17" s="53">
        <v>10.694999992847443</v>
      </c>
      <c r="T17" s="53">
        <v>12.390999652445316</v>
      </c>
      <c r="U17" s="52"/>
      <c r="V17" s="53">
        <v>30.657000087201595</v>
      </c>
      <c r="W17" s="53">
        <v>34.277000151574612</v>
      </c>
      <c r="X17" s="53">
        <v>205.78899358026683</v>
      </c>
      <c r="Y17" s="30"/>
      <c r="Z17" s="52"/>
      <c r="AA17" s="52"/>
      <c r="AB17" s="53">
        <v>22.958000211045146</v>
      </c>
      <c r="AC17" s="53">
        <v>21.968000095337629</v>
      </c>
      <c r="AD17" s="53">
        <v>25.040000151842833</v>
      </c>
      <c r="AE17" s="53">
        <v>240.28499829955399</v>
      </c>
      <c r="AF17" s="16">
        <f t="shared" si="1"/>
        <v>604.0599922221154</v>
      </c>
    </row>
    <row r="18" spans="1:32" ht="15" customHeight="1">
      <c r="A18" s="3">
        <v>11</v>
      </c>
      <c r="B18" s="8" t="s">
        <v>37</v>
      </c>
      <c r="C18" s="25" t="s">
        <v>151</v>
      </c>
      <c r="D18" s="16">
        <f t="shared" si="0"/>
        <v>744.29998757517183</v>
      </c>
      <c r="E18" s="52"/>
      <c r="F18" s="53">
        <v>135.41273905342445</v>
      </c>
      <c r="G18" s="53">
        <v>106.43025963968039</v>
      </c>
      <c r="H18" s="53">
        <v>33.001929685264827</v>
      </c>
      <c r="I18" s="53">
        <v>38.770086070507766</v>
      </c>
      <c r="J18" s="2">
        <v>50.129242626007667</v>
      </c>
      <c r="K18" s="13"/>
      <c r="L18" s="52"/>
      <c r="M18" s="52"/>
      <c r="N18" s="53">
        <v>247.71056819234789</v>
      </c>
      <c r="O18" s="53">
        <v>35.642998356200756</v>
      </c>
      <c r="P18" s="53">
        <v>44.197624945677816</v>
      </c>
      <c r="Q18" s="2">
        <v>53.004539006060213</v>
      </c>
      <c r="R18" s="13"/>
      <c r="S18" s="52"/>
      <c r="T18" s="53">
        <v>11.272999838925898</v>
      </c>
      <c r="U18" s="53">
        <v>26.495999902486801</v>
      </c>
      <c r="V18" s="53">
        <v>13.703999951481819</v>
      </c>
      <c r="W18" s="53">
        <v>37.53799994289875</v>
      </c>
      <c r="X18" s="53">
        <v>196.18899595737457</v>
      </c>
      <c r="Y18" s="30"/>
      <c r="Z18" s="52"/>
      <c r="AA18" s="52"/>
      <c r="AB18" s="53">
        <v>17.18899979814887</v>
      </c>
      <c r="AC18" s="53">
        <v>6.7550000976771116</v>
      </c>
      <c r="AD18" s="53">
        <v>10.140999995172024</v>
      </c>
      <c r="AE18" s="53">
        <v>84.375002838671207</v>
      </c>
      <c r="AF18" s="16">
        <f t="shared" si="1"/>
        <v>403.65999832283705</v>
      </c>
    </row>
    <row r="19" spans="1:32" ht="15" customHeight="1">
      <c r="A19" s="3">
        <v>12</v>
      </c>
      <c r="B19" s="8" t="s">
        <v>38</v>
      </c>
      <c r="C19" s="25" t="s">
        <v>150</v>
      </c>
      <c r="D19" s="16">
        <f t="shared" si="0"/>
        <v>297.25915460929963</v>
      </c>
      <c r="E19" s="52"/>
      <c r="F19" s="53">
        <v>160.40484883499147</v>
      </c>
      <c r="G19" s="52"/>
      <c r="H19" s="53">
        <v>81.967731147348886</v>
      </c>
      <c r="I19" s="53">
        <v>20.485863986715675</v>
      </c>
      <c r="J19" s="2">
        <v>34.400710640243567</v>
      </c>
      <c r="K19" s="13"/>
      <c r="L19" s="52"/>
      <c r="M19" s="52"/>
      <c r="N19" s="52"/>
      <c r="O19" s="52"/>
      <c r="P19" s="52"/>
      <c r="Q19" s="2" t="s">
        <v>27</v>
      </c>
      <c r="R19" s="13"/>
      <c r="S19" s="52"/>
      <c r="T19" s="53">
        <v>19.857000350952148</v>
      </c>
      <c r="U19" s="52"/>
      <c r="V19" s="53">
        <v>61.602000825107098</v>
      </c>
      <c r="W19" s="53">
        <v>47.714000061154366</v>
      </c>
      <c r="X19" s="53">
        <v>232.98899510107003</v>
      </c>
      <c r="Y19" s="30"/>
      <c r="Z19" s="52"/>
      <c r="AA19" s="52"/>
      <c r="AB19" s="52"/>
      <c r="AC19" s="52"/>
      <c r="AD19" s="52"/>
      <c r="AE19" s="52"/>
      <c r="AF19" s="16">
        <f t="shared" si="1"/>
        <v>362.16199633828364</v>
      </c>
    </row>
    <row r="20" spans="1:32" ht="15" customHeight="1">
      <c r="A20" s="3">
        <v>13</v>
      </c>
      <c r="B20" s="8" t="s">
        <v>39</v>
      </c>
      <c r="C20" s="25" t="s">
        <v>150</v>
      </c>
      <c r="D20" s="16">
        <f t="shared" si="0"/>
        <v>451.10922169619539</v>
      </c>
      <c r="E20" s="52"/>
      <c r="F20" s="53">
        <v>210.9399432567358</v>
      </c>
      <c r="G20" s="52"/>
      <c r="H20" s="53">
        <v>116.75402695959154</v>
      </c>
      <c r="I20" s="53">
        <v>66.822499207139018</v>
      </c>
      <c r="J20" s="2">
        <v>56.59275227272903</v>
      </c>
      <c r="K20" s="13"/>
      <c r="L20" s="52"/>
      <c r="M20" s="52"/>
      <c r="N20" s="52"/>
      <c r="O20" s="52"/>
      <c r="P20" s="52"/>
      <c r="Q20" s="2" t="s">
        <v>27</v>
      </c>
      <c r="R20" s="13"/>
      <c r="S20" s="52"/>
      <c r="T20" s="53">
        <v>27.505000233650208</v>
      </c>
      <c r="U20" s="52"/>
      <c r="V20" s="53">
        <v>76.195000019855797</v>
      </c>
      <c r="W20" s="53">
        <v>125.94900009036064</v>
      </c>
      <c r="X20" s="53">
        <v>335.81298542022705</v>
      </c>
      <c r="Y20" s="30"/>
      <c r="Z20" s="52"/>
      <c r="AA20" s="52"/>
      <c r="AB20" s="52"/>
      <c r="AC20" s="52"/>
      <c r="AD20" s="52"/>
      <c r="AE20" s="52"/>
      <c r="AF20" s="16">
        <f t="shared" si="1"/>
        <v>565.4619857640937</v>
      </c>
    </row>
    <row r="21" spans="1:32" ht="15" customHeight="1">
      <c r="A21" s="3">
        <v>14</v>
      </c>
      <c r="B21" s="8" t="s">
        <v>40</v>
      </c>
      <c r="C21" s="25" t="s">
        <v>150</v>
      </c>
      <c r="D21" s="16">
        <f t="shared" si="0"/>
        <v>454.32023253942475</v>
      </c>
      <c r="E21" s="52"/>
      <c r="F21" s="53">
        <v>156.20028131761401</v>
      </c>
      <c r="G21" s="53">
        <v>46.824531752645967</v>
      </c>
      <c r="H21" s="53">
        <v>90.45842228252441</v>
      </c>
      <c r="I21" s="53">
        <v>59.181956678584221</v>
      </c>
      <c r="J21" s="2">
        <v>101.65504050805612</v>
      </c>
      <c r="K21" s="13"/>
      <c r="L21" s="52"/>
      <c r="M21" s="52"/>
      <c r="N21" s="52"/>
      <c r="O21" s="52"/>
      <c r="P21" s="52"/>
      <c r="Q21" s="2" t="s">
        <v>27</v>
      </c>
      <c r="R21" s="13"/>
      <c r="S21" s="52"/>
      <c r="T21" s="53">
        <v>31.811000289395452</v>
      </c>
      <c r="U21" s="53">
        <v>17.596999943256378</v>
      </c>
      <c r="V21" s="53">
        <v>65.528000187128782</v>
      </c>
      <c r="W21" s="53">
        <v>126.80199943482876</v>
      </c>
      <c r="X21" s="53">
        <v>653.49901569634676</v>
      </c>
      <c r="Y21" s="30"/>
      <c r="Z21" s="52"/>
      <c r="AA21" s="52"/>
      <c r="AB21" s="52"/>
      <c r="AC21" s="52"/>
      <c r="AD21" s="52"/>
      <c r="AE21" s="52"/>
      <c r="AF21" s="16">
        <f t="shared" si="1"/>
        <v>895.23701555095613</v>
      </c>
    </row>
    <row r="22" spans="1:32" ht="15" customHeight="1">
      <c r="A22" s="3">
        <v>15</v>
      </c>
      <c r="B22" s="8" t="s">
        <v>41</v>
      </c>
      <c r="C22" s="25" t="s">
        <v>158</v>
      </c>
      <c r="D22" s="16">
        <f t="shared" si="0"/>
        <v>2322.960771960159</v>
      </c>
      <c r="E22" s="53">
        <v>689.01327342224124</v>
      </c>
      <c r="F22" s="53">
        <v>7.9832998663187027</v>
      </c>
      <c r="G22" s="53">
        <v>154.67112147299946</v>
      </c>
      <c r="H22" s="53">
        <v>63.424091281890867</v>
      </c>
      <c r="I22" s="53">
        <v>42.125240656435487</v>
      </c>
      <c r="J22" s="2">
        <v>70.064183268952505</v>
      </c>
      <c r="K22" s="13"/>
      <c r="L22" s="53">
        <v>647.07783932614325</v>
      </c>
      <c r="M22" s="52"/>
      <c r="N22" s="53">
        <v>340.18974480857702</v>
      </c>
      <c r="O22" s="53">
        <v>107.10491955122352</v>
      </c>
      <c r="P22" s="53">
        <v>53.78379669356346</v>
      </c>
      <c r="Q22" s="2">
        <v>147.52326161181335</v>
      </c>
      <c r="R22" s="13"/>
      <c r="S22" s="53">
        <v>12.27400016784668</v>
      </c>
      <c r="T22" s="53">
        <v>0.29899999499320984</v>
      </c>
      <c r="U22" s="53">
        <v>24.109999891370535</v>
      </c>
      <c r="V22" s="53">
        <v>19.843999862670898</v>
      </c>
      <c r="W22" s="53">
        <v>47.55600069463253</v>
      </c>
      <c r="X22" s="53">
        <v>301.81900362670422</v>
      </c>
      <c r="Y22" s="30"/>
      <c r="Z22" s="53">
        <v>7.598000168800354</v>
      </c>
      <c r="AA22" s="52"/>
      <c r="AB22" s="53">
        <v>26.609000196680427</v>
      </c>
      <c r="AC22" s="53">
        <v>13.909000068902969</v>
      </c>
      <c r="AD22" s="53">
        <v>13.226000130176544</v>
      </c>
      <c r="AE22" s="53">
        <v>245.2249955162406</v>
      </c>
      <c r="AF22" s="16">
        <f t="shared" si="1"/>
        <v>712.46900031901896</v>
      </c>
    </row>
    <row r="23" spans="1:32" ht="15" customHeight="1">
      <c r="A23" s="3">
        <v>16</v>
      </c>
      <c r="B23" s="8" t="s">
        <v>42</v>
      </c>
      <c r="C23" s="25" t="s">
        <v>150</v>
      </c>
      <c r="D23" s="16">
        <f t="shared" si="0"/>
        <v>463.88122124892493</v>
      </c>
      <c r="E23" s="52"/>
      <c r="F23" s="53">
        <v>155.99602379447222</v>
      </c>
      <c r="G23" s="52"/>
      <c r="H23" s="53">
        <v>191.42073020958156</v>
      </c>
      <c r="I23" s="53">
        <v>43.388300925210117</v>
      </c>
      <c r="J23" s="2">
        <v>73.076166319661041</v>
      </c>
      <c r="K23" s="13"/>
      <c r="L23" s="52"/>
      <c r="M23" s="52"/>
      <c r="N23" s="52"/>
      <c r="O23" s="52"/>
      <c r="P23" s="52"/>
      <c r="Q23" s="2" t="s">
        <v>27</v>
      </c>
      <c r="R23" s="13"/>
      <c r="S23" s="52"/>
      <c r="T23" s="53">
        <v>17.786000415682793</v>
      </c>
      <c r="U23" s="52"/>
      <c r="V23" s="53">
        <v>90.914999723434448</v>
      </c>
      <c r="W23" s="53">
        <v>92.148000106215477</v>
      </c>
      <c r="X23" s="53">
        <v>467.20001247525215</v>
      </c>
      <c r="Y23" s="30"/>
      <c r="Z23" s="52"/>
      <c r="AA23" s="52"/>
      <c r="AB23" s="52"/>
      <c r="AC23" s="52"/>
      <c r="AD23" s="52"/>
      <c r="AE23" s="52"/>
      <c r="AF23" s="16">
        <f t="shared" si="1"/>
        <v>668.04901272058487</v>
      </c>
    </row>
    <row r="24" spans="1:32" ht="15" customHeight="1">
      <c r="A24" s="3">
        <v>17</v>
      </c>
      <c r="B24" s="8" t="s">
        <v>43</v>
      </c>
      <c r="C24" s="25" t="s">
        <v>151</v>
      </c>
      <c r="D24" s="16">
        <f t="shared" si="0"/>
        <v>503.52558551067682</v>
      </c>
      <c r="E24" s="53">
        <v>38.143870971679689</v>
      </c>
      <c r="F24" s="53">
        <v>140.72745127245784</v>
      </c>
      <c r="G24" s="52"/>
      <c r="H24" s="53">
        <v>123.15177811664343</v>
      </c>
      <c r="I24" s="53">
        <v>23.807647006273271</v>
      </c>
      <c r="J24" s="2">
        <v>48.826919076360475</v>
      </c>
      <c r="K24" s="13"/>
      <c r="L24" s="52"/>
      <c r="M24" s="52"/>
      <c r="N24" s="53">
        <v>12.913920078277588</v>
      </c>
      <c r="O24" s="53">
        <v>89.966802947428079</v>
      </c>
      <c r="P24" s="53">
        <v>4.5069640240147706</v>
      </c>
      <c r="Q24" s="2">
        <v>21.480232017541663</v>
      </c>
      <c r="R24" s="13"/>
      <c r="S24" s="53">
        <v>2.5469999313354492</v>
      </c>
      <c r="T24" s="53">
        <v>19.36700014770031</v>
      </c>
      <c r="U24" s="52"/>
      <c r="V24" s="53">
        <v>75.201000735163689</v>
      </c>
      <c r="W24" s="53">
        <v>66.792000412940979</v>
      </c>
      <c r="X24" s="53">
        <v>371.46801390871406</v>
      </c>
      <c r="Y24" s="30"/>
      <c r="Z24" s="52"/>
      <c r="AA24" s="52"/>
      <c r="AB24" s="53">
        <v>1.4160000085830688</v>
      </c>
      <c r="AC24" s="53">
        <v>14.865999929606915</v>
      </c>
      <c r="AD24" s="53">
        <v>1.9650000091642141</v>
      </c>
      <c r="AE24" s="53">
        <v>51.065998941659927</v>
      </c>
      <c r="AF24" s="16">
        <f t="shared" si="1"/>
        <v>604.68801402486861</v>
      </c>
    </row>
    <row r="25" spans="1:32" ht="15" customHeight="1">
      <c r="A25" s="3">
        <v>18</v>
      </c>
      <c r="B25" s="8" t="s">
        <v>44</v>
      </c>
      <c r="C25" s="25" t="s">
        <v>151</v>
      </c>
      <c r="D25" s="16">
        <f t="shared" si="0"/>
        <v>907.53860399617338</v>
      </c>
      <c r="E25" s="52"/>
      <c r="F25" s="53">
        <v>264.96864495056866</v>
      </c>
      <c r="G25" s="52"/>
      <c r="H25" s="53">
        <v>129.85635182023049</v>
      </c>
      <c r="I25" s="53">
        <v>52.95758044816926</v>
      </c>
      <c r="J25" s="2">
        <v>143.26305373672076</v>
      </c>
      <c r="K25" s="13"/>
      <c r="L25" s="52"/>
      <c r="M25" s="52"/>
      <c r="N25" s="53">
        <v>126.54039023733139</v>
      </c>
      <c r="O25" s="53">
        <v>85.086393390774731</v>
      </c>
      <c r="P25" s="53">
        <v>43.556910922691223</v>
      </c>
      <c r="Q25" s="2">
        <v>61.309278489686918</v>
      </c>
      <c r="R25" s="13"/>
      <c r="S25" s="52"/>
      <c r="T25" s="53">
        <v>31.738999992609024</v>
      </c>
      <c r="U25" s="52"/>
      <c r="V25" s="53">
        <v>35.744999885559082</v>
      </c>
      <c r="W25" s="53">
        <v>82.012000355869532</v>
      </c>
      <c r="X25" s="53">
        <v>751.90197736024857</v>
      </c>
      <c r="Y25" s="30"/>
      <c r="Z25" s="52"/>
      <c r="AA25" s="52"/>
      <c r="AB25" s="53">
        <v>8.2650000303983688</v>
      </c>
      <c r="AC25" s="53">
        <v>9.7149999104440212</v>
      </c>
      <c r="AD25" s="53">
        <v>10.107999987900257</v>
      </c>
      <c r="AE25" s="53">
        <v>98.288996905088425</v>
      </c>
      <c r="AF25" s="16">
        <f t="shared" si="1"/>
        <v>1027.7749744281173</v>
      </c>
    </row>
    <row r="26" spans="1:32" ht="15" customHeight="1">
      <c r="A26" s="3">
        <v>19</v>
      </c>
      <c r="B26" s="8" t="s">
        <v>45</v>
      </c>
      <c r="C26" s="25" t="s">
        <v>152</v>
      </c>
      <c r="D26" s="16">
        <f t="shared" si="0"/>
        <v>2153.7651840106705</v>
      </c>
      <c r="E26" s="52"/>
      <c r="F26" s="53">
        <v>190.51464251491427</v>
      </c>
      <c r="G26" s="53">
        <v>8.6392479329109193</v>
      </c>
      <c r="H26" s="53">
        <v>41.233727821007371</v>
      </c>
      <c r="I26" s="53">
        <v>30.133461746037007</v>
      </c>
      <c r="J26" s="2">
        <v>43.790735092631721</v>
      </c>
      <c r="K26" s="13"/>
      <c r="L26" s="53">
        <v>768.06623026311399</v>
      </c>
      <c r="M26" s="53">
        <v>28.96700057387352</v>
      </c>
      <c r="N26" s="53">
        <v>636.13424124748258</v>
      </c>
      <c r="O26" s="53">
        <v>147.48563991332054</v>
      </c>
      <c r="P26" s="53">
        <v>122.21689992772788</v>
      </c>
      <c r="Q26" s="2">
        <v>136.58335697765091</v>
      </c>
      <c r="R26" s="13"/>
      <c r="S26" s="52"/>
      <c r="T26" s="53">
        <v>15.936999879777431</v>
      </c>
      <c r="U26" s="53">
        <v>4.5279999673366547</v>
      </c>
      <c r="V26" s="53">
        <v>26.423999927937984</v>
      </c>
      <c r="W26" s="53">
        <v>30.095000416040421</v>
      </c>
      <c r="X26" s="53">
        <v>174.73600196838379</v>
      </c>
      <c r="Y26" s="30"/>
      <c r="Z26" s="53">
        <v>9.5339998006820679</v>
      </c>
      <c r="AA26" s="53">
        <v>0.69800001382827759</v>
      </c>
      <c r="AB26" s="53">
        <v>32.673000207170844</v>
      </c>
      <c r="AC26" s="53">
        <v>20.68100006878376</v>
      </c>
      <c r="AD26" s="53">
        <v>31.793000070378184</v>
      </c>
      <c r="AE26" s="53">
        <v>235.15900614112616</v>
      </c>
      <c r="AF26" s="16">
        <f t="shared" si="1"/>
        <v>582.25800846144557</v>
      </c>
    </row>
    <row r="27" spans="1:32" ht="15" customHeight="1">
      <c r="A27" s="3">
        <v>20</v>
      </c>
      <c r="B27" s="8" t="s">
        <v>46</v>
      </c>
      <c r="C27" s="25" t="s">
        <v>150</v>
      </c>
      <c r="D27" s="16">
        <f t="shared" si="0"/>
        <v>158.52341223337558</v>
      </c>
      <c r="E27" s="52"/>
      <c r="F27" s="53">
        <v>35.178054919481276</v>
      </c>
      <c r="G27" s="53">
        <v>20.313888523936271</v>
      </c>
      <c r="H27" s="53">
        <v>63.394369373783469</v>
      </c>
      <c r="I27" s="53">
        <v>15.781699732065201</v>
      </c>
      <c r="J27" s="2">
        <v>23.855399684109369</v>
      </c>
      <c r="K27" s="13"/>
      <c r="L27" s="52"/>
      <c r="M27" s="52"/>
      <c r="N27" s="52"/>
      <c r="O27" s="52"/>
      <c r="P27" s="52"/>
      <c r="Q27" s="2" t="s">
        <v>27</v>
      </c>
      <c r="R27" s="13"/>
      <c r="S27" s="52"/>
      <c r="T27" s="53">
        <v>12.654999613761902</v>
      </c>
      <c r="U27" s="53">
        <v>19.18999969959259</v>
      </c>
      <c r="V27" s="53">
        <v>38.91299955919385</v>
      </c>
      <c r="W27" s="53">
        <v>56.029999315738678</v>
      </c>
      <c r="X27" s="53">
        <v>210.25200128555298</v>
      </c>
      <c r="Y27" s="30"/>
      <c r="Z27" s="52"/>
      <c r="AA27" s="52"/>
      <c r="AB27" s="52"/>
      <c r="AC27" s="52"/>
      <c r="AD27" s="52"/>
      <c r="AE27" s="52"/>
      <c r="AF27" s="16">
        <f t="shared" si="1"/>
        <v>337.03999947384</v>
      </c>
    </row>
    <row r="28" spans="1:32" ht="15" customHeight="1">
      <c r="A28" s="3">
        <v>21</v>
      </c>
      <c r="B28" s="8" t="s">
        <v>47</v>
      </c>
      <c r="C28" s="25" t="s">
        <v>150</v>
      </c>
      <c r="D28" s="16">
        <f t="shared" si="0"/>
        <v>666.42796702516341</v>
      </c>
      <c r="E28" s="53">
        <v>379.825875</v>
      </c>
      <c r="F28" s="52"/>
      <c r="G28" s="52"/>
      <c r="H28" s="53">
        <v>240.98108936102687</v>
      </c>
      <c r="I28" s="53">
        <v>17.003003102183342</v>
      </c>
      <c r="J28" s="2">
        <v>28.61799956195323</v>
      </c>
      <c r="K28" s="13"/>
      <c r="L28" s="52"/>
      <c r="M28" s="52"/>
      <c r="N28" s="52"/>
      <c r="O28" s="52"/>
      <c r="P28" s="52"/>
      <c r="Q28" s="2" t="s">
        <v>27</v>
      </c>
      <c r="R28" s="13"/>
      <c r="S28" s="53">
        <v>14.625</v>
      </c>
      <c r="T28" s="52"/>
      <c r="U28" s="52"/>
      <c r="V28" s="53">
        <v>62.64300000667572</v>
      </c>
      <c r="W28" s="53">
        <v>26.533000126481056</v>
      </c>
      <c r="X28" s="53">
        <v>150.91600229777396</v>
      </c>
      <c r="Y28" s="30"/>
      <c r="Z28" s="52"/>
      <c r="AA28" s="52"/>
      <c r="AB28" s="52"/>
      <c r="AC28" s="52"/>
      <c r="AD28" s="52"/>
      <c r="AE28" s="52"/>
      <c r="AF28" s="16">
        <f t="shared" si="1"/>
        <v>254.71700243093073</v>
      </c>
    </row>
    <row r="29" spans="1:32" ht="15" customHeight="1">
      <c r="A29" s="3">
        <v>22</v>
      </c>
      <c r="B29" s="8" t="s">
        <v>48</v>
      </c>
      <c r="C29" s="25" t="s">
        <v>150</v>
      </c>
      <c r="D29" s="16">
        <f t="shared" si="0"/>
        <v>1137.5855811248587</v>
      </c>
      <c r="E29" s="53">
        <v>507.87526579666138</v>
      </c>
      <c r="F29" s="53">
        <v>86.513607795700437</v>
      </c>
      <c r="G29" s="53">
        <v>64.846061174049979</v>
      </c>
      <c r="H29" s="53">
        <v>246.05583953667431</v>
      </c>
      <c r="I29" s="53">
        <v>75.402778777241707</v>
      </c>
      <c r="J29" s="2">
        <v>156.89202804453092</v>
      </c>
      <c r="K29" s="13"/>
      <c r="L29" s="52"/>
      <c r="M29" s="52"/>
      <c r="N29" s="52"/>
      <c r="O29" s="52"/>
      <c r="P29" s="52"/>
      <c r="Q29" s="2" t="s">
        <v>27</v>
      </c>
      <c r="R29" s="13"/>
      <c r="S29" s="53">
        <v>32.147000432014465</v>
      </c>
      <c r="T29" s="53">
        <v>19.104000421240926</v>
      </c>
      <c r="U29" s="53">
        <v>11.72100006788969</v>
      </c>
      <c r="V29" s="53">
        <v>71.390000222250819</v>
      </c>
      <c r="W29" s="53">
        <v>94.969999849796295</v>
      </c>
      <c r="X29" s="53">
        <v>723.68902215361595</v>
      </c>
      <c r="Y29" s="30"/>
      <c r="Z29" s="52"/>
      <c r="AA29" s="52"/>
      <c r="AB29" s="52"/>
      <c r="AC29" s="52"/>
      <c r="AD29" s="52"/>
      <c r="AE29" s="52"/>
      <c r="AF29" s="16">
        <f t="shared" si="1"/>
        <v>953.02102314680815</v>
      </c>
    </row>
    <row r="30" spans="1:32" ht="15" customHeight="1">
      <c r="A30" s="3">
        <v>23</v>
      </c>
      <c r="B30" s="8" t="s">
        <v>49</v>
      </c>
      <c r="C30" s="25" t="s">
        <v>150</v>
      </c>
      <c r="D30" s="16">
        <f t="shared" si="0"/>
        <v>416.63596572553627</v>
      </c>
      <c r="E30" s="52"/>
      <c r="F30" s="53">
        <v>118.18501851296425</v>
      </c>
      <c r="G30" s="52"/>
      <c r="H30" s="53">
        <v>131.68889315243067</v>
      </c>
      <c r="I30" s="53">
        <v>57.654623937249184</v>
      </c>
      <c r="J30" s="2">
        <v>109.10743012289211</v>
      </c>
      <c r="K30" s="13"/>
      <c r="L30" s="52"/>
      <c r="M30" s="52"/>
      <c r="N30" s="52"/>
      <c r="O30" s="52"/>
      <c r="P30" s="52"/>
      <c r="Q30" s="2" t="s">
        <v>27</v>
      </c>
      <c r="R30" s="13"/>
      <c r="S30" s="52"/>
      <c r="T30" s="53">
        <v>23.715000301599503</v>
      </c>
      <c r="U30" s="52"/>
      <c r="V30" s="53">
        <v>72.472000762820244</v>
      </c>
      <c r="W30" s="53">
        <v>87.648999333381653</v>
      </c>
      <c r="X30" s="53">
        <v>566.05701176822186</v>
      </c>
      <c r="Y30" s="30"/>
      <c r="Z30" s="52"/>
      <c r="AA30" s="52"/>
      <c r="AB30" s="52"/>
      <c r="AC30" s="52"/>
      <c r="AD30" s="52"/>
      <c r="AE30" s="52"/>
      <c r="AF30" s="16">
        <f t="shared" si="1"/>
        <v>749.89301216602325</v>
      </c>
    </row>
    <row r="31" spans="1:32" ht="15" customHeight="1">
      <c r="A31" s="3">
        <v>24</v>
      </c>
      <c r="B31" s="8" t="s">
        <v>50</v>
      </c>
      <c r="C31" s="25" t="s">
        <v>158</v>
      </c>
      <c r="D31" s="16">
        <f t="shared" si="0"/>
        <v>2241.8857912147723</v>
      </c>
      <c r="E31" s="53">
        <v>402.84021780395506</v>
      </c>
      <c r="F31" s="53">
        <v>284.79912750929594</v>
      </c>
      <c r="G31" s="53">
        <v>13.7229798412323</v>
      </c>
      <c r="H31" s="53">
        <v>187.20281918925792</v>
      </c>
      <c r="I31" s="53">
        <v>76.529826634466644</v>
      </c>
      <c r="J31" s="2">
        <v>105.59882897468444</v>
      </c>
      <c r="K31" s="13"/>
      <c r="L31" s="53">
        <v>94.398152591228481</v>
      </c>
      <c r="M31" s="53">
        <v>71.239399405002601</v>
      </c>
      <c r="N31" s="53">
        <v>522.84412315246459</v>
      </c>
      <c r="O31" s="53">
        <v>224.11736744069307</v>
      </c>
      <c r="P31" s="53">
        <v>65.798434431686999</v>
      </c>
      <c r="Q31" s="2">
        <v>192.79451424080432</v>
      </c>
      <c r="R31" s="13"/>
      <c r="S31" s="53">
        <v>20.320999622344971</v>
      </c>
      <c r="T31" s="53">
        <v>35.761000722646713</v>
      </c>
      <c r="U31" s="53">
        <v>5.7719999551773071</v>
      </c>
      <c r="V31" s="53">
        <v>98.4730004966259</v>
      </c>
      <c r="W31" s="53">
        <v>137.52900117635727</v>
      </c>
      <c r="X31" s="53">
        <v>608.2150085568428</v>
      </c>
      <c r="Y31" s="30"/>
      <c r="Z31" s="53">
        <v>3.2219998836517334</v>
      </c>
      <c r="AA31" s="53">
        <v>4.6970000267028809</v>
      </c>
      <c r="AB31" s="53">
        <v>36.971999833360314</v>
      </c>
      <c r="AC31" s="53">
        <v>34.519000098109245</v>
      </c>
      <c r="AD31" s="53">
        <v>12.6720000654459</v>
      </c>
      <c r="AE31" s="53">
        <v>275.09200517833233</v>
      </c>
      <c r="AF31" s="16">
        <f t="shared" si="1"/>
        <v>1273.2450156155974</v>
      </c>
    </row>
    <row r="32" spans="1:32" ht="15" customHeight="1">
      <c r="A32" s="3">
        <v>25</v>
      </c>
      <c r="B32" s="8" t="s">
        <v>51</v>
      </c>
      <c r="C32" s="25" t="s">
        <v>151</v>
      </c>
      <c r="D32" s="16">
        <f t="shared" si="0"/>
        <v>1254.0962383774342</v>
      </c>
      <c r="E32" s="53">
        <v>419.28302712917326</v>
      </c>
      <c r="F32" s="53">
        <v>203.79419020414352</v>
      </c>
      <c r="G32" s="53">
        <v>58.171010472774505</v>
      </c>
      <c r="H32" s="53">
        <v>98.274787943601609</v>
      </c>
      <c r="I32" s="53">
        <v>50.388911184638737</v>
      </c>
      <c r="J32" s="2">
        <v>43.302844401632647</v>
      </c>
      <c r="K32" s="13"/>
      <c r="L32" s="53">
        <v>87.924403667449951</v>
      </c>
      <c r="M32" s="52"/>
      <c r="N32" s="53">
        <v>64.929477907896043</v>
      </c>
      <c r="O32" s="53">
        <v>141.59225907050075</v>
      </c>
      <c r="P32" s="53">
        <v>25.704879298076033</v>
      </c>
      <c r="Q32" s="2">
        <v>60.730447097547284</v>
      </c>
      <c r="R32" s="13"/>
      <c r="S32" s="53">
        <v>12.76800012588501</v>
      </c>
      <c r="T32" s="53">
        <v>17.802999973297119</v>
      </c>
      <c r="U32" s="53">
        <v>8.7339999675750732</v>
      </c>
      <c r="V32" s="53">
        <v>40.321999579668045</v>
      </c>
      <c r="W32" s="53">
        <v>59.99999974668026</v>
      </c>
      <c r="X32" s="53">
        <v>192.85599847137928</v>
      </c>
      <c r="Y32" s="30"/>
      <c r="Z32" s="53">
        <v>2.0120000839233398</v>
      </c>
      <c r="AA32" s="52"/>
      <c r="AB32" s="53">
        <v>3.3529998958110809</v>
      </c>
      <c r="AC32" s="53">
        <v>13.421000029891729</v>
      </c>
      <c r="AD32" s="53">
        <v>6.2160000614821911</v>
      </c>
      <c r="AE32" s="53">
        <v>99.899001806974411</v>
      </c>
      <c r="AF32" s="16">
        <f t="shared" si="1"/>
        <v>457.38399974256754</v>
      </c>
    </row>
    <row r="33" spans="1:32" ht="15" customHeight="1">
      <c r="A33" s="3">
        <v>26</v>
      </c>
      <c r="B33" s="8" t="s">
        <v>52</v>
      </c>
      <c r="C33" s="25" t="s">
        <v>150</v>
      </c>
      <c r="D33" s="16">
        <f t="shared" si="0"/>
        <v>666.89559454015296</v>
      </c>
      <c r="E33" s="52"/>
      <c r="F33" s="53">
        <v>185.08214799785614</v>
      </c>
      <c r="G33" s="53">
        <v>117.49732314398885</v>
      </c>
      <c r="H33" s="53">
        <v>186.65809522005915</v>
      </c>
      <c r="I33" s="53">
        <v>68.092154109761125</v>
      </c>
      <c r="J33" s="2">
        <v>109.56587406848767</v>
      </c>
      <c r="K33" s="13"/>
      <c r="L33" s="52"/>
      <c r="M33" s="52"/>
      <c r="N33" s="52"/>
      <c r="O33" s="52"/>
      <c r="P33" s="52"/>
      <c r="Q33" s="2" t="s">
        <v>27</v>
      </c>
      <c r="R33" s="13"/>
      <c r="S33" s="52"/>
      <c r="T33" s="53">
        <v>25.336000263690948</v>
      </c>
      <c r="U33" s="53">
        <v>16.162000067532063</v>
      </c>
      <c r="V33" s="53">
        <v>87.604000516235828</v>
      </c>
      <c r="W33" s="53">
        <v>89.268999822437763</v>
      </c>
      <c r="X33" s="53">
        <v>518.20399035513401</v>
      </c>
      <c r="Y33" s="30"/>
      <c r="Z33" s="52"/>
      <c r="AA33" s="52"/>
      <c r="AB33" s="52"/>
      <c r="AC33" s="52"/>
      <c r="AD33" s="52"/>
      <c r="AE33" s="52"/>
      <c r="AF33" s="16">
        <f t="shared" si="1"/>
        <v>736.57499102503061</v>
      </c>
    </row>
    <row r="34" spans="1:32" ht="15" customHeight="1">
      <c r="A34" s="3">
        <v>27</v>
      </c>
      <c r="B34" s="8" t="s">
        <v>53</v>
      </c>
      <c r="C34" s="25" t="s">
        <v>150</v>
      </c>
      <c r="D34" s="16">
        <f t="shared" si="0"/>
        <v>290.59044562163115</v>
      </c>
      <c r="E34" s="52"/>
      <c r="F34" s="53">
        <v>95.387292296186089</v>
      </c>
      <c r="G34" s="53">
        <v>56.850872168421745</v>
      </c>
      <c r="H34" s="53">
        <v>25.708424957752229</v>
      </c>
      <c r="I34" s="53">
        <v>58.535010246306655</v>
      </c>
      <c r="J34" s="2">
        <v>54.108845952964387</v>
      </c>
      <c r="K34" s="13"/>
      <c r="L34" s="52"/>
      <c r="M34" s="52"/>
      <c r="N34" s="52"/>
      <c r="O34" s="52"/>
      <c r="P34" s="52"/>
      <c r="Q34" s="2" t="s">
        <v>27</v>
      </c>
      <c r="R34" s="13"/>
      <c r="S34" s="52"/>
      <c r="T34" s="53">
        <v>21.308000013232231</v>
      </c>
      <c r="U34" s="53">
        <v>12.816000044345856</v>
      </c>
      <c r="V34" s="53">
        <v>6.4369997382164001</v>
      </c>
      <c r="W34" s="53">
        <v>78.999999076128006</v>
      </c>
      <c r="X34" s="53">
        <v>260.59799194335937</v>
      </c>
      <c r="Y34" s="30"/>
      <c r="Z34" s="52"/>
      <c r="AA34" s="52"/>
      <c r="AB34" s="52"/>
      <c r="AC34" s="52"/>
      <c r="AD34" s="52"/>
      <c r="AE34" s="52"/>
      <c r="AF34" s="16">
        <f t="shared" si="1"/>
        <v>380.15899081528187</v>
      </c>
    </row>
    <row r="35" spans="1:32" ht="15" customHeight="1">
      <c r="A35" s="3">
        <v>28</v>
      </c>
      <c r="B35" s="8" t="s">
        <v>54</v>
      </c>
      <c r="C35" s="25" t="s">
        <v>150</v>
      </c>
      <c r="D35" s="16">
        <f t="shared" si="0"/>
        <v>223.64926359011957</v>
      </c>
      <c r="E35" s="52"/>
      <c r="F35" s="53">
        <v>116.55619762527942</v>
      </c>
      <c r="G35" s="52"/>
      <c r="H35" s="53">
        <v>28.344720934432001</v>
      </c>
      <c r="I35" s="53">
        <v>27.749723464645445</v>
      </c>
      <c r="J35" s="2">
        <v>50.99862156576269</v>
      </c>
      <c r="K35" s="13"/>
      <c r="L35" s="52"/>
      <c r="M35" s="52"/>
      <c r="N35" s="52"/>
      <c r="O35" s="52"/>
      <c r="P35" s="52"/>
      <c r="Q35" s="2" t="s">
        <v>27</v>
      </c>
      <c r="R35" s="13"/>
      <c r="S35" s="52"/>
      <c r="T35" s="53">
        <v>30.511999607086182</v>
      </c>
      <c r="U35" s="52"/>
      <c r="V35" s="53">
        <v>34.813999868929386</v>
      </c>
      <c r="W35" s="53">
        <v>84.440001193434</v>
      </c>
      <c r="X35" s="53">
        <v>408.19199216365814</v>
      </c>
      <c r="Y35" s="30"/>
      <c r="Z35" s="52"/>
      <c r="AA35" s="52"/>
      <c r="AB35" s="52"/>
      <c r="AC35" s="52"/>
      <c r="AD35" s="52"/>
      <c r="AE35" s="52"/>
      <c r="AF35" s="16">
        <f t="shared" si="1"/>
        <v>557.95799283310771</v>
      </c>
    </row>
    <row r="36" spans="1:32" ht="15" customHeight="1">
      <c r="A36" s="3">
        <v>29</v>
      </c>
      <c r="B36" s="8" t="s">
        <v>55</v>
      </c>
      <c r="C36" s="25" t="s">
        <v>150</v>
      </c>
      <c r="D36" s="16">
        <f t="shared" si="0"/>
        <v>228.31647971520576</v>
      </c>
      <c r="E36" s="52"/>
      <c r="F36" s="52"/>
      <c r="G36" s="53">
        <v>129.32290496709942</v>
      </c>
      <c r="H36" s="53">
        <v>19.30136434161663</v>
      </c>
      <c r="I36" s="53">
        <v>30.641650832414626</v>
      </c>
      <c r="J36" s="2">
        <v>49.050559574075102</v>
      </c>
      <c r="K36" s="13"/>
      <c r="L36" s="52"/>
      <c r="M36" s="52"/>
      <c r="N36" s="52"/>
      <c r="O36" s="52"/>
      <c r="P36" s="52"/>
      <c r="Q36" s="2" t="s">
        <v>27</v>
      </c>
      <c r="R36" s="13"/>
      <c r="S36" s="52"/>
      <c r="T36" s="52"/>
      <c r="U36" s="53">
        <v>36.235999666154385</v>
      </c>
      <c r="V36" s="53">
        <v>12.437000036239624</v>
      </c>
      <c r="W36" s="53">
        <v>72.553999662399292</v>
      </c>
      <c r="X36" s="53">
        <v>335.64800068736076</v>
      </c>
      <c r="Y36" s="30"/>
      <c r="Z36" s="52"/>
      <c r="AA36" s="52"/>
      <c r="AB36" s="52"/>
      <c r="AC36" s="52"/>
      <c r="AD36" s="52"/>
      <c r="AE36" s="52"/>
      <c r="AF36" s="16">
        <f t="shared" si="1"/>
        <v>456.87500005215406</v>
      </c>
    </row>
    <row r="37" spans="1:32" ht="15" customHeight="1">
      <c r="A37" s="3">
        <v>30</v>
      </c>
      <c r="B37" s="8" t="s">
        <v>56</v>
      </c>
      <c r="C37" s="25" t="s">
        <v>152</v>
      </c>
      <c r="D37" s="16">
        <f t="shared" si="0"/>
        <v>2099.8884231516549</v>
      </c>
      <c r="E37" s="52"/>
      <c r="F37" s="53">
        <v>312.57425269687178</v>
      </c>
      <c r="G37" s="53">
        <v>102.46915540775657</v>
      </c>
      <c r="H37" s="53">
        <v>169.18060530853643</v>
      </c>
      <c r="I37" s="53">
        <v>61.594914471186698</v>
      </c>
      <c r="J37" s="2">
        <v>119.53241980845388</v>
      </c>
      <c r="K37" s="13"/>
      <c r="L37" s="52"/>
      <c r="M37" s="53">
        <v>228.22665877819063</v>
      </c>
      <c r="N37" s="53">
        <v>462.20143248035015</v>
      </c>
      <c r="O37" s="53">
        <v>240.67554066665843</v>
      </c>
      <c r="P37" s="53">
        <v>215.0878052907735</v>
      </c>
      <c r="Q37" s="2">
        <v>188.34563824287696</v>
      </c>
      <c r="R37" s="13"/>
      <c r="S37" s="52"/>
      <c r="T37" s="53">
        <v>39.793000519275665</v>
      </c>
      <c r="U37" s="53">
        <v>16.612999979406595</v>
      </c>
      <c r="V37" s="53">
        <v>50.547000212594867</v>
      </c>
      <c r="W37" s="53">
        <v>76.587999772280455</v>
      </c>
      <c r="X37" s="53">
        <v>546.95100694894791</v>
      </c>
      <c r="Y37" s="30"/>
      <c r="Z37" s="52"/>
      <c r="AA37" s="53">
        <v>10.212000131607056</v>
      </c>
      <c r="AB37" s="53">
        <v>31.523999929428101</v>
      </c>
      <c r="AC37" s="53">
        <v>28.19100003875792</v>
      </c>
      <c r="AD37" s="53">
        <v>46.211000084877014</v>
      </c>
      <c r="AE37" s="53">
        <v>287.75100361555815</v>
      </c>
      <c r="AF37" s="16">
        <f t="shared" si="1"/>
        <v>1134.3810112327337</v>
      </c>
    </row>
    <row r="38" spans="1:32" ht="15" customHeight="1">
      <c r="A38" s="3">
        <v>31</v>
      </c>
      <c r="B38" s="8" t="s">
        <v>57</v>
      </c>
      <c r="C38" s="25" t="s">
        <v>150</v>
      </c>
      <c r="D38" s="16">
        <f t="shared" si="0"/>
        <v>342.01424732508258</v>
      </c>
      <c r="E38" s="53">
        <v>88.30080070495606</v>
      </c>
      <c r="F38" s="52"/>
      <c r="G38" s="53">
        <v>89.975047716550534</v>
      </c>
      <c r="H38" s="53">
        <v>81.519089770421388</v>
      </c>
      <c r="I38" s="53">
        <v>28.020948315382004</v>
      </c>
      <c r="J38" s="2">
        <v>54.198360817772596</v>
      </c>
      <c r="K38" s="13"/>
      <c r="L38" s="52"/>
      <c r="M38" s="52"/>
      <c r="N38" s="52"/>
      <c r="O38" s="52"/>
      <c r="P38" s="52"/>
      <c r="Q38" s="2" t="s">
        <v>27</v>
      </c>
      <c r="R38" s="13"/>
      <c r="S38" s="53">
        <v>2.628000020980835</v>
      </c>
      <c r="T38" s="52"/>
      <c r="U38" s="53">
        <v>20.029999990016222</v>
      </c>
      <c r="V38" s="53">
        <v>60.787000514566898</v>
      </c>
      <c r="W38" s="53">
        <v>53.277000427246094</v>
      </c>
      <c r="X38" s="53">
        <v>323.36100386455655</v>
      </c>
      <c r="Y38" s="30"/>
      <c r="Z38" s="52"/>
      <c r="AA38" s="52"/>
      <c r="AB38" s="52"/>
      <c r="AC38" s="52"/>
      <c r="AD38" s="52"/>
      <c r="AE38" s="52"/>
      <c r="AF38" s="16">
        <f t="shared" si="1"/>
        <v>460.0830048173666</v>
      </c>
    </row>
    <row r="39" spans="1:32" ht="15" customHeight="1">
      <c r="A39" s="3">
        <v>32</v>
      </c>
      <c r="B39" s="8" t="s">
        <v>58</v>
      </c>
      <c r="C39" s="25" t="s">
        <v>150</v>
      </c>
      <c r="D39" s="16">
        <f t="shared" si="0"/>
        <v>143.60554526920208</v>
      </c>
      <c r="E39" s="52"/>
      <c r="F39" s="52"/>
      <c r="G39" s="53">
        <v>48.445901062339544</v>
      </c>
      <c r="H39" s="53">
        <v>21.101108275413512</v>
      </c>
      <c r="I39" s="53">
        <v>25.713044962286951</v>
      </c>
      <c r="J39" s="2">
        <v>48.3454909691621</v>
      </c>
      <c r="K39" s="13"/>
      <c r="L39" s="52"/>
      <c r="M39" s="52"/>
      <c r="N39" s="52"/>
      <c r="O39" s="52"/>
      <c r="P39" s="52"/>
      <c r="Q39" s="2" t="s">
        <v>27</v>
      </c>
      <c r="R39" s="13"/>
      <c r="S39" s="52"/>
      <c r="T39" s="52"/>
      <c r="U39" s="53">
        <v>18.89000004529953</v>
      </c>
      <c r="V39" s="53">
        <v>24.823000431060791</v>
      </c>
      <c r="W39" s="53">
        <v>65.9410001039505</v>
      </c>
      <c r="X39" s="53">
        <v>347.73399984370917</v>
      </c>
      <c r="Y39" s="30"/>
      <c r="Z39" s="52"/>
      <c r="AA39" s="52"/>
      <c r="AB39" s="52"/>
      <c r="AC39" s="52"/>
      <c r="AD39" s="52"/>
      <c r="AE39" s="52"/>
      <c r="AF39" s="16">
        <f t="shared" si="1"/>
        <v>457.38800042401999</v>
      </c>
    </row>
    <row r="40" spans="1:32" ht="15" customHeight="1">
      <c r="A40" s="3">
        <v>33</v>
      </c>
      <c r="B40" s="8" t="s">
        <v>59</v>
      </c>
      <c r="C40" s="25" t="s">
        <v>150</v>
      </c>
      <c r="D40" s="16">
        <f t="shared" ref="D40:D71" si="2">SUM(E40:J40)+SUM(L40:Q40)</f>
        <v>362.57278420133986</v>
      </c>
      <c r="E40" s="52"/>
      <c r="F40" s="52"/>
      <c r="G40" s="53">
        <v>115.11851358909533</v>
      </c>
      <c r="H40" s="53">
        <v>112.85275775264203</v>
      </c>
      <c r="I40" s="53">
        <v>60.290941690966484</v>
      </c>
      <c r="J40" s="2">
        <v>74.310571168636059</v>
      </c>
      <c r="K40" s="13"/>
      <c r="L40" s="52"/>
      <c r="M40" s="52"/>
      <c r="N40" s="52"/>
      <c r="O40" s="52"/>
      <c r="P40" s="52"/>
      <c r="Q40" s="2" t="s">
        <v>27</v>
      </c>
      <c r="R40" s="13"/>
      <c r="S40" s="52"/>
      <c r="T40" s="52"/>
      <c r="U40" s="53">
        <v>9.4799998831003904</v>
      </c>
      <c r="V40" s="53">
        <v>51.545999146997929</v>
      </c>
      <c r="W40" s="53">
        <v>62.468999579548836</v>
      </c>
      <c r="X40" s="53">
        <v>303.40800714492798</v>
      </c>
      <c r="Y40" s="30"/>
      <c r="Z40" s="52"/>
      <c r="AA40" s="52"/>
      <c r="AB40" s="52"/>
      <c r="AC40" s="52"/>
      <c r="AD40" s="52"/>
      <c r="AE40" s="52"/>
      <c r="AF40" s="16">
        <f t="shared" ref="AF40:AF71" si="3">SUM(S40:AE40)</f>
        <v>426.90300575457513</v>
      </c>
    </row>
    <row r="41" spans="1:32" ht="15" customHeight="1">
      <c r="A41" s="3">
        <v>34</v>
      </c>
      <c r="B41" s="8" t="s">
        <v>60</v>
      </c>
      <c r="C41" s="25" t="s">
        <v>159</v>
      </c>
      <c r="D41" s="16">
        <f t="shared" si="2"/>
        <v>7449.4668135531356</v>
      </c>
      <c r="E41" s="53">
        <v>1349.9503264694215</v>
      </c>
      <c r="F41" s="53">
        <v>292.91489594304562</v>
      </c>
      <c r="G41" s="53">
        <v>168.88077664306761</v>
      </c>
      <c r="H41" s="53">
        <v>108.69779308601468</v>
      </c>
      <c r="I41" s="53">
        <v>71.69962336523831</v>
      </c>
      <c r="J41" s="2">
        <v>43.181137570899665</v>
      </c>
      <c r="K41" s="13"/>
      <c r="L41" s="53">
        <v>539.40972823476795</v>
      </c>
      <c r="M41" s="53">
        <v>839.82682663917547</v>
      </c>
      <c r="N41" s="53">
        <v>1725.1952950996013</v>
      </c>
      <c r="O41" s="53">
        <v>1202.168463293355</v>
      </c>
      <c r="P41" s="53">
        <v>602.7663412725534</v>
      </c>
      <c r="Q41" s="2">
        <v>504.77560593599492</v>
      </c>
      <c r="R41" s="13"/>
      <c r="S41" s="53">
        <v>27.51200008392334</v>
      </c>
      <c r="T41" s="53">
        <v>13.632000163197517</v>
      </c>
      <c r="U41" s="53">
        <v>27.394999668002129</v>
      </c>
      <c r="V41" s="53">
        <v>33.56500032544136</v>
      </c>
      <c r="W41" s="53">
        <v>52.033999353647232</v>
      </c>
      <c r="X41" s="53">
        <v>141.13999637961388</v>
      </c>
      <c r="Y41" s="30"/>
      <c r="Z41" s="53">
        <v>7.7489997744560242</v>
      </c>
      <c r="AA41" s="53">
        <v>13.763999938964844</v>
      </c>
      <c r="AB41" s="53">
        <v>55.699000032618642</v>
      </c>
      <c r="AC41" s="53">
        <v>76.926999799907207</v>
      </c>
      <c r="AD41" s="53">
        <v>103.4270001379773</v>
      </c>
      <c r="AE41" s="53">
        <v>670.11797121167183</v>
      </c>
      <c r="AF41" s="16">
        <f t="shared" si="3"/>
        <v>1222.9619668694213</v>
      </c>
    </row>
    <row r="42" spans="1:32" ht="15" customHeight="1">
      <c r="A42" s="3">
        <v>35</v>
      </c>
      <c r="B42" s="8" t="s">
        <v>61</v>
      </c>
      <c r="C42" s="25" t="s">
        <v>150</v>
      </c>
      <c r="D42" s="16">
        <f t="shared" si="2"/>
        <v>388.27454981635702</v>
      </c>
      <c r="E42" s="52"/>
      <c r="F42" s="53">
        <v>17.088522294759752</v>
      </c>
      <c r="G42" s="53">
        <v>147.58467341610418</v>
      </c>
      <c r="H42" s="53">
        <v>101.53856587545759</v>
      </c>
      <c r="I42" s="53">
        <v>46.195371793806551</v>
      </c>
      <c r="J42" s="2">
        <v>75.86741643622895</v>
      </c>
      <c r="K42" s="13"/>
      <c r="L42" s="52"/>
      <c r="M42" s="52"/>
      <c r="N42" s="52"/>
      <c r="O42" s="52"/>
      <c r="P42" s="52"/>
      <c r="Q42" s="2" t="s">
        <v>27</v>
      </c>
      <c r="R42" s="13"/>
      <c r="S42" s="52"/>
      <c r="T42" s="53">
        <v>5.4230000972747803</v>
      </c>
      <c r="U42" s="53">
        <v>34.783000281080604</v>
      </c>
      <c r="V42" s="53">
        <v>44.822999554686248</v>
      </c>
      <c r="W42" s="53">
        <v>69.557000955566764</v>
      </c>
      <c r="X42" s="53">
        <v>391.25099391490221</v>
      </c>
      <c r="Y42" s="30"/>
      <c r="Z42" s="52"/>
      <c r="AA42" s="52"/>
      <c r="AB42" s="52"/>
      <c r="AC42" s="52"/>
      <c r="AD42" s="52"/>
      <c r="AE42" s="52"/>
      <c r="AF42" s="16">
        <f t="shared" si="3"/>
        <v>545.83699480351061</v>
      </c>
    </row>
    <row r="43" spans="1:32" ht="15" customHeight="1">
      <c r="A43" s="3">
        <v>36</v>
      </c>
      <c r="B43" s="8" t="s">
        <v>62</v>
      </c>
      <c r="C43" s="25" t="s">
        <v>150</v>
      </c>
      <c r="D43" s="16">
        <f t="shared" si="2"/>
        <v>1433.8355957764243</v>
      </c>
      <c r="E43" s="52"/>
      <c r="F43" s="53">
        <v>781.09505544694696</v>
      </c>
      <c r="G43" s="53">
        <v>65.43792826530337</v>
      </c>
      <c r="H43" s="53">
        <v>337.0699378781095</v>
      </c>
      <c r="I43" s="53">
        <v>117.43847287583351</v>
      </c>
      <c r="J43" s="2">
        <v>132.79420131023093</v>
      </c>
      <c r="K43" s="13"/>
      <c r="L43" s="52"/>
      <c r="M43" s="52"/>
      <c r="N43" s="52"/>
      <c r="O43" s="52"/>
      <c r="P43" s="52"/>
      <c r="Q43" s="2" t="s">
        <v>27</v>
      </c>
      <c r="R43" s="13"/>
      <c r="S43" s="52"/>
      <c r="T43" s="53">
        <v>52.37900089006871</v>
      </c>
      <c r="U43" s="53">
        <v>6.8789999708533287</v>
      </c>
      <c r="V43" s="53">
        <v>102.75299983471632</v>
      </c>
      <c r="W43" s="53">
        <v>113.11799949407578</v>
      </c>
      <c r="X43" s="53">
        <v>518.02999991178513</v>
      </c>
      <c r="Y43" s="30"/>
      <c r="Z43" s="52"/>
      <c r="AA43" s="52"/>
      <c r="AB43" s="52"/>
      <c r="AC43" s="52"/>
      <c r="AD43" s="52"/>
      <c r="AE43" s="52"/>
      <c r="AF43" s="16">
        <f t="shared" si="3"/>
        <v>793.15900010149926</v>
      </c>
    </row>
    <row r="44" spans="1:32" ht="15" customHeight="1">
      <c r="A44" s="3">
        <v>37</v>
      </c>
      <c r="B44" s="8" t="s">
        <v>63</v>
      </c>
      <c r="C44" s="25" t="s">
        <v>151</v>
      </c>
      <c r="D44" s="16">
        <f t="shared" si="2"/>
        <v>1513.5736515683352</v>
      </c>
      <c r="E44" s="53">
        <v>503.20349613666536</v>
      </c>
      <c r="F44" s="53">
        <v>103.12567843496799</v>
      </c>
      <c r="G44" s="53">
        <v>139.66631353873015</v>
      </c>
      <c r="H44" s="53">
        <v>0.17737600034475326</v>
      </c>
      <c r="I44" s="53">
        <v>65.255328075595202</v>
      </c>
      <c r="J44" s="2">
        <v>43.813074269867002</v>
      </c>
      <c r="K44" s="13"/>
      <c r="L44" s="52"/>
      <c r="M44" s="52"/>
      <c r="N44" s="53">
        <v>361.07641630762816</v>
      </c>
      <c r="O44" s="53">
        <v>171.16921488129347</v>
      </c>
      <c r="P44" s="53">
        <v>52.275256337910889</v>
      </c>
      <c r="Q44" s="2">
        <v>73.811497585332432</v>
      </c>
      <c r="R44" s="13"/>
      <c r="S44" s="53">
        <v>13.12799996137619</v>
      </c>
      <c r="T44" s="53">
        <v>5.2499998733401299</v>
      </c>
      <c r="U44" s="53">
        <v>35.945000410079956</v>
      </c>
      <c r="V44" s="53">
        <v>0.18400000035762787</v>
      </c>
      <c r="W44" s="53">
        <v>73.532000415027142</v>
      </c>
      <c r="X44" s="53">
        <v>188.51800127327442</v>
      </c>
      <c r="Y44" s="30"/>
      <c r="Z44" s="52"/>
      <c r="AA44" s="52"/>
      <c r="AB44" s="53">
        <v>16.539000101387501</v>
      </c>
      <c r="AC44" s="53">
        <v>16.456000100821257</v>
      </c>
      <c r="AD44" s="53">
        <v>16.166000058874488</v>
      </c>
      <c r="AE44" s="53">
        <v>141.58399990387261</v>
      </c>
      <c r="AF44" s="16">
        <f t="shared" si="3"/>
        <v>507.30200209841132</v>
      </c>
    </row>
    <row r="45" spans="1:32" ht="15" customHeight="1">
      <c r="A45" s="3">
        <v>38</v>
      </c>
      <c r="B45" s="8" t="s">
        <v>64</v>
      </c>
      <c r="C45" s="25" t="s">
        <v>150</v>
      </c>
      <c r="D45" s="16">
        <f t="shared" si="2"/>
        <v>197.27992833632797</v>
      </c>
      <c r="E45" s="52"/>
      <c r="F45" s="53">
        <v>39.562275141805408</v>
      </c>
      <c r="G45" s="53">
        <v>25.305297410845757</v>
      </c>
      <c r="H45" s="53">
        <v>70.296535034604375</v>
      </c>
      <c r="I45" s="53">
        <v>27.279650140315294</v>
      </c>
      <c r="J45" s="2">
        <v>34.836170608757129</v>
      </c>
      <c r="K45" s="13"/>
      <c r="L45" s="52"/>
      <c r="M45" s="52"/>
      <c r="N45" s="52"/>
      <c r="O45" s="52"/>
      <c r="P45" s="52"/>
      <c r="Q45" s="2" t="s">
        <v>27</v>
      </c>
      <c r="R45" s="13"/>
      <c r="S45" s="52"/>
      <c r="T45" s="53">
        <v>8.1159998625516891</v>
      </c>
      <c r="U45" s="53">
        <v>25.109000325202942</v>
      </c>
      <c r="V45" s="53">
        <v>41.117999840527773</v>
      </c>
      <c r="W45" s="53">
        <v>55.656999811530113</v>
      </c>
      <c r="X45" s="53">
        <v>217.20299713499844</v>
      </c>
      <c r="Y45" s="30"/>
      <c r="Z45" s="52"/>
      <c r="AA45" s="52"/>
      <c r="AB45" s="52"/>
      <c r="AC45" s="52"/>
      <c r="AD45" s="52"/>
      <c r="AE45" s="52"/>
      <c r="AF45" s="16">
        <f t="shared" si="3"/>
        <v>347.20299697481096</v>
      </c>
    </row>
    <row r="46" spans="1:32" ht="15" customHeight="1">
      <c r="A46" s="3">
        <v>39</v>
      </c>
      <c r="B46" s="8" t="s">
        <v>65</v>
      </c>
      <c r="C46" s="25" t="s">
        <v>150</v>
      </c>
      <c r="D46" s="16">
        <f t="shared" si="2"/>
        <v>659.02639726732502</v>
      </c>
      <c r="E46" s="53">
        <v>466.04580374145507</v>
      </c>
      <c r="F46" s="53">
        <v>5.7391288988292217</v>
      </c>
      <c r="G46" s="52"/>
      <c r="H46" s="53">
        <v>142.28116923731565</v>
      </c>
      <c r="I46" s="53">
        <v>21.685602163687349</v>
      </c>
      <c r="J46" s="2">
        <v>23.274693226037726</v>
      </c>
      <c r="K46" s="13"/>
      <c r="L46" s="52"/>
      <c r="M46" s="52"/>
      <c r="N46" s="52"/>
      <c r="O46" s="52"/>
      <c r="P46" s="52"/>
      <c r="Q46" s="2" t="s">
        <v>27</v>
      </c>
      <c r="R46" s="13"/>
      <c r="S46" s="53">
        <v>16.457000732421875</v>
      </c>
      <c r="T46" s="53">
        <v>2.0849999636411667</v>
      </c>
      <c r="U46" s="52"/>
      <c r="V46" s="53">
        <v>42.310999430716038</v>
      </c>
      <c r="W46" s="53">
        <v>23.944000139832497</v>
      </c>
      <c r="X46" s="53">
        <v>98.880998156964779</v>
      </c>
      <c r="Y46" s="30"/>
      <c r="Z46" s="52"/>
      <c r="AA46" s="52"/>
      <c r="AB46" s="52"/>
      <c r="AC46" s="52"/>
      <c r="AD46" s="52"/>
      <c r="AE46" s="52"/>
      <c r="AF46" s="16">
        <f t="shared" si="3"/>
        <v>183.67799842357635</v>
      </c>
    </row>
    <row r="47" spans="1:32" ht="15" customHeight="1">
      <c r="A47" s="3">
        <v>40</v>
      </c>
      <c r="B47" s="8" t="s">
        <v>66</v>
      </c>
      <c r="C47" s="25" t="s">
        <v>150</v>
      </c>
      <c r="D47" s="16">
        <f t="shared" si="2"/>
        <v>396.23179352367788</v>
      </c>
      <c r="E47" s="52"/>
      <c r="F47" s="53">
        <v>227.16256468215585</v>
      </c>
      <c r="G47" s="53">
        <v>68.554031098432844</v>
      </c>
      <c r="H47" s="53">
        <v>12.562730099856854</v>
      </c>
      <c r="I47" s="53">
        <v>40.906222475171091</v>
      </c>
      <c r="J47" s="2">
        <v>47.046245168061176</v>
      </c>
      <c r="K47" s="13"/>
      <c r="L47" s="52"/>
      <c r="M47" s="52"/>
      <c r="N47" s="52"/>
      <c r="O47" s="52"/>
      <c r="P47" s="52"/>
      <c r="Q47" s="2" t="s">
        <v>27</v>
      </c>
      <c r="R47" s="13"/>
      <c r="S47" s="52"/>
      <c r="T47" s="53">
        <v>18.027000268921256</v>
      </c>
      <c r="U47" s="53">
        <v>27.866999980062246</v>
      </c>
      <c r="V47" s="53">
        <v>8.2230000793933868</v>
      </c>
      <c r="W47" s="53">
        <v>64.980000913143158</v>
      </c>
      <c r="X47" s="53">
        <v>250.87099295854568</v>
      </c>
      <c r="Y47" s="30"/>
      <c r="Z47" s="52"/>
      <c r="AA47" s="52"/>
      <c r="AB47" s="52"/>
      <c r="AC47" s="52"/>
      <c r="AD47" s="52"/>
      <c r="AE47" s="52"/>
      <c r="AF47" s="16">
        <f t="shared" si="3"/>
        <v>369.96799420006573</v>
      </c>
    </row>
    <row r="48" spans="1:32" ht="15" customHeight="1">
      <c r="A48" s="3">
        <v>41</v>
      </c>
      <c r="B48" s="8" t="s">
        <v>67</v>
      </c>
      <c r="C48" s="25" t="s">
        <v>150</v>
      </c>
      <c r="D48" s="16">
        <f t="shared" si="2"/>
        <v>1316.8712092356268</v>
      </c>
      <c r="E48" s="53">
        <v>924.42310749816897</v>
      </c>
      <c r="F48" s="52"/>
      <c r="G48" s="53">
        <v>111.53892057834565</v>
      </c>
      <c r="H48" s="53">
        <v>144.02457545205951</v>
      </c>
      <c r="I48" s="53">
        <v>51.098001339107753</v>
      </c>
      <c r="J48" s="2">
        <v>85.786604367945159</v>
      </c>
      <c r="K48" s="13"/>
      <c r="L48" s="52"/>
      <c r="M48" s="52"/>
      <c r="N48" s="52"/>
      <c r="O48" s="52"/>
      <c r="P48" s="52"/>
      <c r="Q48" s="2" t="s">
        <v>27</v>
      </c>
      <c r="R48" s="13"/>
      <c r="S48" s="53">
        <v>23.023999691009521</v>
      </c>
      <c r="T48" s="52"/>
      <c r="U48" s="53">
        <v>20.592999901622534</v>
      </c>
      <c r="V48" s="53">
        <v>57.505000744014978</v>
      </c>
      <c r="W48" s="53">
        <v>44.263999551534653</v>
      </c>
      <c r="X48" s="53">
        <v>313.1899945884943</v>
      </c>
      <c r="Y48" s="30"/>
      <c r="Z48" s="52"/>
      <c r="AA48" s="52"/>
      <c r="AB48" s="52"/>
      <c r="AC48" s="52"/>
      <c r="AD48" s="52"/>
      <c r="AE48" s="52"/>
      <c r="AF48" s="16">
        <f t="shared" si="3"/>
        <v>458.57599447667599</v>
      </c>
    </row>
    <row r="49" spans="1:32" ht="15" customHeight="1">
      <c r="A49" s="3">
        <v>42</v>
      </c>
      <c r="B49" s="8" t="s">
        <v>68</v>
      </c>
      <c r="C49" s="25" t="s">
        <v>151</v>
      </c>
      <c r="D49" s="16">
        <f t="shared" si="2"/>
        <v>1114.4379557183734</v>
      </c>
      <c r="E49" s="52"/>
      <c r="F49" s="53">
        <v>354.05129666793346</v>
      </c>
      <c r="G49" s="53">
        <v>50.974688672780992</v>
      </c>
      <c r="H49" s="53">
        <v>198.39107557455449</v>
      </c>
      <c r="I49" s="53">
        <v>110.61390944200754</v>
      </c>
      <c r="J49" s="2">
        <v>133.03686867541265</v>
      </c>
      <c r="K49" s="13"/>
      <c r="L49" s="52"/>
      <c r="M49" s="53">
        <v>45.247348693907263</v>
      </c>
      <c r="N49" s="53">
        <v>102.14196211071126</v>
      </c>
      <c r="O49" s="53">
        <v>61.077968202762307</v>
      </c>
      <c r="P49" s="53">
        <v>21.086599358081816</v>
      </c>
      <c r="Q49" s="2">
        <v>37.816238320221643</v>
      </c>
      <c r="R49" s="13"/>
      <c r="S49" s="52"/>
      <c r="T49" s="53">
        <v>43.174000084400177</v>
      </c>
      <c r="U49" s="53">
        <v>18.410999894142151</v>
      </c>
      <c r="V49" s="53">
        <v>107.66199971735477</v>
      </c>
      <c r="W49" s="53">
        <v>182.10500029474497</v>
      </c>
      <c r="X49" s="53">
        <v>725.4299989528954</v>
      </c>
      <c r="Y49" s="30"/>
      <c r="Z49" s="52"/>
      <c r="AA49" s="53">
        <v>3.4569998979568481</v>
      </c>
      <c r="AB49" s="53">
        <v>11.037000014446676</v>
      </c>
      <c r="AC49" s="53">
        <v>11.471999885514379</v>
      </c>
      <c r="AD49" s="53">
        <v>7.351000115275383</v>
      </c>
      <c r="AE49" s="53">
        <v>78.17700058221817</v>
      </c>
      <c r="AF49" s="16">
        <f t="shared" si="3"/>
        <v>1188.2759994389489</v>
      </c>
    </row>
    <row r="50" spans="1:32" ht="15" customHeight="1">
      <c r="A50" s="3">
        <v>43</v>
      </c>
      <c r="B50" s="8" t="s">
        <v>69</v>
      </c>
      <c r="C50" s="25" t="s">
        <v>150</v>
      </c>
      <c r="D50" s="16">
        <f t="shared" si="2"/>
        <v>815.67826327681735</v>
      </c>
      <c r="E50" s="52"/>
      <c r="F50" s="53">
        <v>261.73441584300997</v>
      </c>
      <c r="G50" s="53">
        <v>48.237717246860264</v>
      </c>
      <c r="H50" s="53">
        <v>213.01830727781356</v>
      </c>
      <c r="I50" s="53">
        <v>58.526278030514717</v>
      </c>
      <c r="J50" s="2">
        <v>113.62828807888532</v>
      </c>
      <c r="K50" s="13"/>
      <c r="L50" s="52"/>
      <c r="M50" s="52"/>
      <c r="N50" s="52"/>
      <c r="O50" s="53">
        <v>93.473595920786266</v>
      </c>
      <c r="P50" s="53">
        <v>9.3762727196216584</v>
      </c>
      <c r="Q50" s="2">
        <v>17.68338815932562</v>
      </c>
      <c r="R50" s="13"/>
      <c r="S50" s="52"/>
      <c r="T50" s="53">
        <v>31.215999782085419</v>
      </c>
      <c r="U50" s="53">
        <v>17.721999816596508</v>
      </c>
      <c r="V50" s="53">
        <v>112.62299838289618</v>
      </c>
      <c r="W50" s="53">
        <v>98.856000304222107</v>
      </c>
      <c r="X50" s="53">
        <v>629.60799250006676</v>
      </c>
      <c r="Y50" s="30"/>
      <c r="Z50" s="52"/>
      <c r="AA50" s="52"/>
      <c r="AB50" s="52"/>
      <c r="AC50" s="53">
        <v>10.442999970167875</v>
      </c>
      <c r="AD50" s="53">
        <v>4.6119998693466187</v>
      </c>
      <c r="AE50" s="53">
        <v>45.330001831054687</v>
      </c>
      <c r="AF50" s="16">
        <f t="shared" si="3"/>
        <v>950.40999245643616</v>
      </c>
    </row>
    <row r="51" spans="1:32" ht="15" customHeight="1">
      <c r="A51" s="3">
        <v>44</v>
      </c>
      <c r="B51" s="8" t="s">
        <v>70</v>
      </c>
      <c r="C51" s="25" t="s">
        <v>150</v>
      </c>
      <c r="D51" s="16">
        <f t="shared" si="2"/>
        <v>255.84349796777263</v>
      </c>
      <c r="E51" s="52"/>
      <c r="F51" s="53">
        <v>3.0225</v>
      </c>
      <c r="G51" s="53">
        <v>114.37503743606061</v>
      </c>
      <c r="H51" s="53">
        <v>58.569872443914413</v>
      </c>
      <c r="I51" s="53">
        <v>23.620822866261005</v>
      </c>
      <c r="J51" s="2">
        <v>56.255265221536625</v>
      </c>
      <c r="K51" s="13"/>
      <c r="L51" s="52"/>
      <c r="M51" s="52"/>
      <c r="N51" s="52"/>
      <c r="O51" s="52"/>
      <c r="P51" s="52"/>
      <c r="Q51" s="2" t="s">
        <v>27</v>
      </c>
      <c r="R51" s="13"/>
      <c r="S51" s="52"/>
      <c r="T51" s="53">
        <v>0.75</v>
      </c>
      <c r="U51" s="53">
        <v>30.800999660044909</v>
      </c>
      <c r="V51" s="53">
        <v>32.70900022983551</v>
      </c>
      <c r="W51" s="53">
        <v>65.6869997382164</v>
      </c>
      <c r="X51" s="53">
        <v>425.6339978389442</v>
      </c>
      <c r="Y51" s="30"/>
      <c r="Z51" s="52"/>
      <c r="AA51" s="52"/>
      <c r="AB51" s="52"/>
      <c r="AC51" s="52"/>
      <c r="AD51" s="52"/>
      <c r="AE51" s="52"/>
      <c r="AF51" s="16">
        <f t="shared" si="3"/>
        <v>555.58099746704102</v>
      </c>
    </row>
    <row r="52" spans="1:32" ht="15" customHeight="1">
      <c r="A52" s="3">
        <v>45</v>
      </c>
      <c r="B52" s="8" t="s">
        <v>71</v>
      </c>
      <c r="C52" s="25" t="s">
        <v>152</v>
      </c>
      <c r="D52" s="16">
        <f t="shared" si="2"/>
        <v>914.32934127099179</v>
      </c>
      <c r="E52" s="52"/>
      <c r="F52" s="53">
        <v>250.57151427249238</v>
      </c>
      <c r="G52" s="53">
        <v>19.219999570399523</v>
      </c>
      <c r="H52" s="53">
        <v>102.78185920515656</v>
      </c>
      <c r="I52" s="53">
        <v>42.340450964406131</v>
      </c>
      <c r="J52" s="2">
        <v>86.899299918663587</v>
      </c>
      <c r="K52" s="13"/>
      <c r="L52" s="52"/>
      <c r="M52" s="52"/>
      <c r="N52" s="53">
        <v>205.45326720824838</v>
      </c>
      <c r="O52" s="53">
        <v>89.285957859675165</v>
      </c>
      <c r="P52" s="53">
        <v>45.88961424975097</v>
      </c>
      <c r="Q52" s="2">
        <v>71.887378022199059</v>
      </c>
      <c r="R52" s="13"/>
      <c r="S52" s="52"/>
      <c r="T52" s="53">
        <v>44.46799959987402</v>
      </c>
      <c r="U52" s="53">
        <v>1.9999999552965164</v>
      </c>
      <c r="V52" s="53">
        <v>59.632999531924725</v>
      </c>
      <c r="W52" s="53">
        <v>73.925999619066715</v>
      </c>
      <c r="X52" s="53">
        <v>491.57599509321153</v>
      </c>
      <c r="Y52" s="30"/>
      <c r="Z52" s="52"/>
      <c r="AA52" s="52"/>
      <c r="AB52" s="53">
        <v>11.734000131487846</v>
      </c>
      <c r="AC52" s="53">
        <v>10.643999973195605</v>
      </c>
      <c r="AD52" s="53">
        <v>13.21799985691905</v>
      </c>
      <c r="AE52" s="53">
        <v>131.90600191429257</v>
      </c>
      <c r="AF52" s="16">
        <f t="shared" si="3"/>
        <v>839.10499567526858</v>
      </c>
    </row>
    <row r="53" spans="1:32" ht="15" customHeight="1">
      <c r="A53" s="3">
        <v>46</v>
      </c>
      <c r="B53" s="8" t="s">
        <v>72</v>
      </c>
      <c r="C53" s="25" t="s">
        <v>150</v>
      </c>
      <c r="D53" s="16">
        <f t="shared" si="2"/>
        <v>255.85359562818991</v>
      </c>
      <c r="E53" s="52"/>
      <c r="F53" s="53">
        <v>156.37992602993549</v>
      </c>
      <c r="G53" s="52"/>
      <c r="H53" s="53">
        <v>29.784607715904713</v>
      </c>
      <c r="I53" s="53">
        <v>27.319114032000304</v>
      </c>
      <c r="J53" s="2">
        <v>42.369947850349412</v>
      </c>
      <c r="K53" s="13"/>
      <c r="L53" s="52"/>
      <c r="M53" s="52"/>
      <c r="N53" s="52"/>
      <c r="O53" s="52"/>
      <c r="P53" s="52"/>
      <c r="Q53" s="2" t="s">
        <v>27</v>
      </c>
      <c r="R53" s="13"/>
      <c r="S53" s="52"/>
      <c r="T53" s="53">
        <v>18.752999670803547</v>
      </c>
      <c r="U53" s="52"/>
      <c r="V53" s="53">
        <v>17.431999891996384</v>
      </c>
      <c r="W53" s="53">
        <v>52.85200023651123</v>
      </c>
      <c r="X53" s="53">
        <v>255.54600153118372</v>
      </c>
      <c r="Y53" s="30"/>
      <c r="Z53" s="52"/>
      <c r="AA53" s="52"/>
      <c r="AB53" s="52"/>
      <c r="AC53" s="52"/>
      <c r="AD53" s="52"/>
      <c r="AE53" s="52"/>
      <c r="AF53" s="16">
        <f t="shared" si="3"/>
        <v>344.58300133049488</v>
      </c>
    </row>
    <row r="54" spans="1:32" ht="15" customHeight="1">
      <c r="A54" s="3">
        <v>47</v>
      </c>
      <c r="B54" s="8" t="s">
        <v>73</v>
      </c>
      <c r="C54" s="25" t="s">
        <v>151</v>
      </c>
      <c r="D54" s="16">
        <f t="shared" si="2"/>
        <v>3481.8051608613805</v>
      </c>
      <c r="E54" s="53">
        <v>870.47910871505735</v>
      </c>
      <c r="F54" s="53">
        <v>329.23067501664161</v>
      </c>
      <c r="G54" s="53">
        <v>99.32400720119476</v>
      </c>
      <c r="H54" s="53">
        <v>252.91301778940857</v>
      </c>
      <c r="I54" s="53">
        <v>134.06761928107963</v>
      </c>
      <c r="J54" s="2">
        <v>180.10829806637852</v>
      </c>
      <c r="K54" s="13"/>
      <c r="L54" s="53">
        <v>165.65490266466142</v>
      </c>
      <c r="M54" s="53">
        <v>24.554799002408981</v>
      </c>
      <c r="N54" s="53">
        <v>568.5998521362543</v>
      </c>
      <c r="O54" s="53">
        <v>547.22862660094904</v>
      </c>
      <c r="P54" s="53">
        <v>117.70796158416196</v>
      </c>
      <c r="Q54" s="2">
        <v>191.93629280318478</v>
      </c>
      <c r="R54" s="13"/>
      <c r="S54" s="53">
        <v>21.571000099182129</v>
      </c>
      <c r="T54" s="53">
        <v>29.01600044965744</v>
      </c>
      <c r="U54" s="53">
        <v>17.552999973297119</v>
      </c>
      <c r="V54" s="53">
        <v>83.937000408768654</v>
      </c>
      <c r="W54" s="53">
        <v>112.05300009064376</v>
      </c>
      <c r="X54" s="53">
        <v>642.99599187355489</v>
      </c>
      <c r="Y54" s="30"/>
      <c r="Z54" s="53">
        <v>3.0759999752044678</v>
      </c>
      <c r="AA54" s="53">
        <v>0.97999995946884155</v>
      </c>
      <c r="AB54" s="53">
        <v>23.358999907970428</v>
      </c>
      <c r="AC54" s="53">
        <v>51.7240000362508</v>
      </c>
      <c r="AD54" s="53">
        <v>35.24699985794723</v>
      </c>
      <c r="AE54" s="53">
        <v>360.83300606906414</v>
      </c>
      <c r="AF54" s="16">
        <f t="shared" si="3"/>
        <v>1382.3449987010099</v>
      </c>
    </row>
    <row r="55" spans="1:32" ht="15" customHeight="1">
      <c r="A55" s="3">
        <v>48</v>
      </c>
      <c r="B55" s="8" t="s">
        <v>74</v>
      </c>
      <c r="C55" s="25" t="s">
        <v>150</v>
      </c>
      <c r="D55" s="16">
        <f t="shared" si="2"/>
        <v>755.62568368787743</v>
      </c>
      <c r="E55" s="52"/>
      <c r="F55" s="53">
        <v>244.31573118555545</v>
      </c>
      <c r="G55" s="53">
        <v>174.16403278594464</v>
      </c>
      <c r="H55" s="53">
        <v>144.11525655866416</v>
      </c>
      <c r="I55" s="53">
        <v>89.181163036882879</v>
      </c>
      <c r="J55" s="2">
        <v>103.84950012083031</v>
      </c>
      <c r="K55" s="13"/>
      <c r="L55" s="52"/>
      <c r="M55" s="52"/>
      <c r="N55" s="52"/>
      <c r="O55" s="52"/>
      <c r="P55" s="52"/>
      <c r="Q55" s="2" t="s">
        <v>27</v>
      </c>
      <c r="R55" s="13"/>
      <c r="S55" s="52"/>
      <c r="T55" s="53">
        <v>39.181999124586582</v>
      </c>
      <c r="U55" s="53">
        <v>38.640999849885702</v>
      </c>
      <c r="V55" s="53">
        <v>59.861001882702112</v>
      </c>
      <c r="W55" s="53">
        <v>76.63800098747015</v>
      </c>
      <c r="X55" s="53">
        <v>377.2430023625493</v>
      </c>
      <c r="Y55" s="30"/>
      <c r="Z55" s="52"/>
      <c r="AA55" s="52"/>
      <c r="AB55" s="52"/>
      <c r="AC55" s="52"/>
      <c r="AD55" s="52"/>
      <c r="AE55" s="52"/>
      <c r="AF55" s="16">
        <f t="shared" si="3"/>
        <v>591.56500420719385</v>
      </c>
    </row>
    <row r="56" spans="1:32" ht="15" customHeight="1">
      <c r="A56" s="3">
        <v>49</v>
      </c>
      <c r="B56" s="8" t="s">
        <v>75</v>
      </c>
      <c r="C56" s="25" t="s">
        <v>151</v>
      </c>
      <c r="D56" s="16">
        <f t="shared" si="2"/>
        <v>389.90658158125171</v>
      </c>
      <c r="E56" s="52"/>
      <c r="F56" s="53">
        <v>60.629165738642214</v>
      </c>
      <c r="G56" s="53">
        <v>57.111490906476973</v>
      </c>
      <c r="H56" s="53">
        <v>73.584292614072567</v>
      </c>
      <c r="I56" s="53">
        <v>48.746863677620887</v>
      </c>
      <c r="J56" s="2">
        <v>63.122443566104067</v>
      </c>
      <c r="K56" s="13"/>
      <c r="L56" s="52"/>
      <c r="M56" s="52"/>
      <c r="N56" s="53">
        <v>30.43846289795637</v>
      </c>
      <c r="O56" s="53">
        <v>20.155902780327946</v>
      </c>
      <c r="P56" s="53">
        <v>20.625665071666241</v>
      </c>
      <c r="Q56" s="2">
        <v>15.492294328384473</v>
      </c>
      <c r="R56" s="13"/>
      <c r="S56" s="52"/>
      <c r="T56" s="53">
        <v>16.966999605298042</v>
      </c>
      <c r="U56" s="53">
        <v>9.16100013256073</v>
      </c>
      <c r="V56" s="53">
        <v>39.180000469088554</v>
      </c>
      <c r="W56" s="53">
        <v>71.814999520778656</v>
      </c>
      <c r="X56" s="53">
        <v>321.11801432166249</v>
      </c>
      <c r="Y56" s="30"/>
      <c r="Z56" s="52"/>
      <c r="AA56" s="52"/>
      <c r="AB56" s="53">
        <v>2.4490000531077385</v>
      </c>
      <c r="AC56" s="53">
        <v>3.411999961361289</v>
      </c>
      <c r="AD56" s="53">
        <v>6.2309999987483025</v>
      </c>
      <c r="AE56" s="53">
        <v>29.285999238491058</v>
      </c>
      <c r="AF56" s="16">
        <f t="shared" si="3"/>
        <v>499.61901330109686</v>
      </c>
    </row>
    <row r="57" spans="1:32" ht="15" customHeight="1">
      <c r="A57" s="3">
        <v>50</v>
      </c>
      <c r="B57" s="8" t="s">
        <v>76</v>
      </c>
      <c r="C57" s="25" t="s">
        <v>150</v>
      </c>
      <c r="D57" s="16">
        <f t="shared" si="2"/>
        <v>1076.0987990605065</v>
      </c>
      <c r="E57" s="53">
        <v>694.14073528623578</v>
      </c>
      <c r="F57" s="52"/>
      <c r="G57" s="52"/>
      <c r="H57" s="53">
        <v>250.77673121515662</v>
      </c>
      <c r="I57" s="53">
        <v>53.660358856141571</v>
      </c>
      <c r="J57" s="2">
        <v>77.520973702972597</v>
      </c>
      <c r="K57" s="13"/>
      <c r="L57" s="52"/>
      <c r="M57" s="52"/>
      <c r="N57" s="52"/>
      <c r="O57" s="52"/>
      <c r="P57" s="52"/>
      <c r="Q57" s="2" t="s">
        <v>27</v>
      </c>
      <c r="R57" s="13"/>
      <c r="S57" s="53">
        <v>20.665999889373779</v>
      </c>
      <c r="T57" s="52"/>
      <c r="U57" s="52"/>
      <c r="V57" s="53">
        <v>113.73399945348501</v>
      </c>
      <c r="W57" s="53">
        <v>112.01800023019314</v>
      </c>
      <c r="X57" s="53">
        <v>490.31300491839647</v>
      </c>
      <c r="Y57" s="30"/>
      <c r="Z57" s="52"/>
      <c r="AA57" s="52"/>
      <c r="AB57" s="52"/>
      <c r="AC57" s="52"/>
      <c r="AD57" s="52"/>
      <c r="AE57" s="52"/>
      <c r="AF57" s="16">
        <f t="shared" si="3"/>
        <v>736.7310044914484</v>
      </c>
    </row>
    <row r="58" spans="1:32" ht="15" customHeight="1">
      <c r="A58" s="3">
        <v>51</v>
      </c>
      <c r="B58" s="8" t="s">
        <v>77</v>
      </c>
      <c r="C58" s="25" t="s">
        <v>152</v>
      </c>
      <c r="D58" s="16">
        <f t="shared" si="2"/>
        <v>1453.6279478908648</v>
      </c>
      <c r="E58" s="52"/>
      <c r="F58" s="53">
        <v>333.76944038593768</v>
      </c>
      <c r="G58" s="53">
        <v>116.67431955069304</v>
      </c>
      <c r="H58" s="53">
        <v>87.276665524423123</v>
      </c>
      <c r="I58" s="53">
        <v>53.18419636249542</v>
      </c>
      <c r="J58" s="2">
        <v>96.416204232150633</v>
      </c>
      <c r="K58" s="13"/>
      <c r="L58" s="52"/>
      <c r="M58" s="53">
        <v>106.32280891191959</v>
      </c>
      <c r="N58" s="53">
        <v>447.36380422998963</v>
      </c>
      <c r="O58" s="53">
        <v>112.60971188820899</v>
      </c>
      <c r="P58" s="53">
        <v>39.060275182709098</v>
      </c>
      <c r="Q58" s="2">
        <v>60.950521622337575</v>
      </c>
      <c r="R58" s="13"/>
      <c r="S58" s="52"/>
      <c r="T58" s="53">
        <v>34.059000372886658</v>
      </c>
      <c r="U58" s="53">
        <v>24.018999710679054</v>
      </c>
      <c r="V58" s="53">
        <v>29.076000034809113</v>
      </c>
      <c r="W58" s="53">
        <v>77.497999310493469</v>
      </c>
      <c r="X58" s="53">
        <v>487.1430131867528</v>
      </c>
      <c r="Y58" s="30"/>
      <c r="Z58" s="52"/>
      <c r="AA58" s="53">
        <v>4.4480000883340836</v>
      </c>
      <c r="AB58" s="53">
        <v>21.827999845147133</v>
      </c>
      <c r="AC58" s="53">
        <v>18.384999804198742</v>
      </c>
      <c r="AD58" s="53">
        <v>14.043000087141991</v>
      </c>
      <c r="AE58" s="53">
        <v>128.45200143009424</v>
      </c>
      <c r="AF58" s="16">
        <f t="shared" si="3"/>
        <v>838.95101387053728</v>
      </c>
    </row>
    <row r="59" spans="1:32" ht="15" customHeight="1">
      <c r="A59" s="3">
        <v>52</v>
      </c>
      <c r="B59" s="8" t="s">
        <v>78</v>
      </c>
      <c r="C59" s="25" t="s">
        <v>150</v>
      </c>
      <c r="D59" s="16">
        <f t="shared" si="2"/>
        <v>709.76749919258884</v>
      </c>
      <c r="E59" s="53">
        <v>402.98693263292313</v>
      </c>
      <c r="F59" s="52"/>
      <c r="G59" s="53">
        <v>97.305457899626347</v>
      </c>
      <c r="H59" s="53">
        <v>109.09230011385679</v>
      </c>
      <c r="I59" s="53">
        <v>55.254074628978969</v>
      </c>
      <c r="J59" s="2">
        <v>45.128733917203597</v>
      </c>
      <c r="K59" s="13"/>
      <c r="L59" s="52"/>
      <c r="M59" s="52"/>
      <c r="N59" s="52"/>
      <c r="O59" s="52"/>
      <c r="P59" s="52"/>
      <c r="Q59" s="2" t="s">
        <v>27</v>
      </c>
      <c r="R59" s="13"/>
      <c r="S59" s="53">
        <v>13.358999967575073</v>
      </c>
      <c r="T59" s="52"/>
      <c r="U59" s="53">
        <v>29.564999936148524</v>
      </c>
      <c r="V59" s="53">
        <v>51.885000616312027</v>
      </c>
      <c r="W59" s="53">
        <v>98.241999551653862</v>
      </c>
      <c r="X59" s="53">
        <v>258.20100823044777</v>
      </c>
      <c r="Y59" s="30"/>
      <c r="Z59" s="52"/>
      <c r="AA59" s="52"/>
      <c r="AB59" s="52"/>
      <c r="AC59" s="52"/>
      <c r="AD59" s="52"/>
      <c r="AE59" s="52"/>
      <c r="AF59" s="16">
        <f t="shared" si="3"/>
        <v>451.25200830213726</v>
      </c>
    </row>
    <row r="60" spans="1:32" ht="15" customHeight="1">
      <c r="A60" s="3">
        <v>53</v>
      </c>
      <c r="B60" s="8" t="s">
        <v>79</v>
      </c>
      <c r="C60" s="25" t="s">
        <v>150</v>
      </c>
      <c r="D60" s="16">
        <f t="shared" si="2"/>
        <v>180.30491001001982</v>
      </c>
      <c r="E60" s="52"/>
      <c r="F60" s="53">
        <v>76.261037638127803</v>
      </c>
      <c r="G60" s="53">
        <v>9.5519599439948806</v>
      </c>
      <c r="H60" s="53">
        <v>51.064368403665725</v>
      </c>
      <c r="I60" s="53">
        <v>12.82025516815111</v>
      </c>
      <c r="J60" s="2">
        <v>30.607288856080327</v>
      </c>
      <c r="K60" s="13"/>
      <c r="L60" s="52"/>
      <c r="M60" s="52"/>
      <c r="N60" s="52"/>
      <c r="O60" s="52"/>
      <c r="P60" s="52"/>
      <c r="Q60" s="2" t="s">
        <v>27</v>
      </c>
      <c r="R60" s="13"/>
      <c r="S60" s="52"/>
      <c r="T60" s="53">
        <v>20.013000655919313</v>
      </c>
      <c r="U60" s="53">
        <v>18.376999661326408</v>
      </c>
      <c r="V60" s="53">
        <v>46.561000388115644</v>
      </c>
      <c r="W60" s="53">
        <v>48.85600058734417</v>
      </c>
      <c r="X60" s="53">
        <v>281.96399387717247</v>
      </c>
      <c r="Y60" s="30"/>
      <c r="Z60" s="52"/>
      <c r="AA60" s="52"/>
      <c r="AB60" s="52"/>
      <c r="AC60" s="52"/>
      <c r="AD60" s="52"/>
      <c r="AE60" s="52"/>
      <c r="AF60" s="16">
        <f t="shared" si="3"/>
        <v>415.77099516987801</v>
      </c>
    </row>
    <row r="61" spans="1:32" ht="15" customHeight="1">
      <c r="A61" s="3">
        <v>54</v>
      </c>
      <c r="B61" s="8" t="s">
        <v>80</v>
      </c>
      <c r="C61" s="25" t="s">
        <v>151</v>
      </c>
      <c r="D61" s="16">
        <f t="shared" si="2"/>
        <v>1640.789931999459</v>
      </c>
      <c r="E61" s="52"/>
      <c r="F61" s="53">
        <v>609.10406345093247</v>
      </c>
      <c r="G61" s="53">
        <v>86.628918543383477</v>
      </c>
      <c r="H61" s="53">
        <v>262.37770067644863</v>
      </c>
      <c r="I61" s="53">
        <v>112.70026923355461</v>
      </c>
      <c r="J61" s="2">
        <v>166.38687481373816</v>
      </c>
      <c r="K61" s="13"/>
      <c r="L61" s="52"/>
      <c r="M61" s="53">
        <v>50.333451775431634</v>
      </c>
      <c r="N61" s="52"/>
      <c r="O61" s="53">
        <v>207.43769224489853</v>
      </c>
      <c r="P61" s="53">
        <v>72.392550068154932</v>
      </c>
      <c r="Q61" s="2">
        <v>73.428411192916471</v>
      </c>
      <c r="R61" s="13"/>
      <c r="S61" s="52"/>
      <c r="T61" s="53">
        <v>46.648999154567719</v>
      </c>
      <c r="U61" s="53">
        <v>15.306000113487244</v>
      </c>
      <c r="V61" s="53">
        <v>93.298999458551407</v>
      </c>
      <c r="W61" s="53">
        <v>100.30600072816014</v>
      </c>
      <c r="X61" s="53">
        <v>617.80601017549634</v>
      </c>
      <c r="Y61" s="30"/>
      <c r="Z61" s="52"/>
      <c r="AA61" s="53">
        <v>1.9190000295639038</v>
      </c>
      <c r="AB61" s="52"/>
      <c r="AC61" s="53">
        <v>18.038000170141459</v>
      </c>
      <c r="AD61" s="53">
        <v>18.06199998408556</v>
      </c>
      <c r="AE61" s="53">
        <v>123.16899904608727</v>
      </c>
      <c r="AF61" s="16">
        <f t="shared" si="3"/>
        <v>1034.554008860141</v>
      </c>
    </row>
    <row r="62" spans="1:32" ht="15" customHeight="1">
      <c r="A62" s="3">
        <v>55</v>
      </c>
      <c r="B62" s="8" t="s">
        <v>81</v>
      </c>
      <c r="C62" s="25" t="s">
        <v>150</v>
      </c>
      <c r="D62" s="16">
        <f t="shared" si="2"/>
        <v>302.75633123989462</v>
      </c>
      <c r="E62" s="52"/>
      <c r="F62" s="52"/>
      <c r="G62" s="53">
        <v>165.87895381101967</v>
      </c>
      <c r="H62" s="53">
        <v>34.669426853213459</v>
      </c>
      <c r="I62" s="53">
        <v>35.646917917758223</v>
      </c>
      <c r="J62" s="2">
        <v>66.561032657903255</v>
      </c>
      <c r="K62" s="13"/>
      <c r="L62" s="52"/>
      <c r="M62" s="52"/>
      <c r="N62" s="52"/>
      <c r="O62" s="52"/>
      <c r="P62" s="52"/>
      <c r="Q62" s="2" t="s">
        <v>27</v>
      </c>
      <c r="R62" s="13"/>
      <c r="S62" s="52"/>
      <c r="T62" s="52"/>
      <c r="U62" s="53">
        <v>42.107999905943871</v>
      </c>
      <c r="V62" s="53">
        <v>33.358000375330448</v>
      </c>
      <c r="W62" s="53">
        <v>93.38299997150898</v>
      </c>
      <c r="X62" s="53">
        <v>485.16198914498091</v>
      </c>
      <c r="Y62" s="30"/>
      <c r="Z62" s="52"/>
      <c r="AA62" s="52"/>
      <c r="AB62" s="52"/>
      <c r="AC62" s="52"/>
      <c r="AD62" s="52"/>
      <c r="AE62" s="52"/>
      <c r="AF62" s="16">
        <f t="shared" si="3"/>
        <v>654.01098939776421</v>
      </c>
    </row>
    <row r="63" spans="1:32" ht="15" customHeight="1">
      <c r="A63" s="3">
        <v>56</v>
      </c>
      <c r="B63" s="8" t="s">
        <v>82</v>
      </c>
      <c r="C63" s="25" t="s">
        <v>152</v>
      </c>
      <c r="D63" s="16">
        <f t="shared" si="2"/>
        <v>19620.312079152845</v>
      </c>
      <c r="E63" s="53">
        <v>278.20420790314677</v>
      </c>
      <c r="F63" s="53">
        <v>129.68480057186633</v>
      </c>
      <c r="G63" s="53">
        <v>96.80307017397881</v>
      </c>
      <c r="H63" s="53">
        <v>1.1773800593614578</v>
      </c>
      <c r="I63" s="53">
        <v>16.307610673690213</v>
      </c>
      <c r="J63" s="2">
        <v>44.19360846115557</v>
      </c>
      <c r="K63" s="13"/>
      <c r="L63" s="53">
        <v>8506.8265566985301</v>
      </c>
      <c r="M63" s="53">
        <v>571.30459985888001</v>
      </c>
      <c r="N63" s="53">
        <v>4223.1828198061567</v>
      </c>
      <c r="O63" s="53">
        <v>2460.5502947363243</v>
      </c>
      <c r="P63" s="53">
        <v>1404.3192028793021</v>
      </c>
      <c r="Q63" s="2">
        <v>1887.7579273304541</v>
      </c>
      <c r="R63" s="13"/>
      <c r="S63" s="53">
        <v>5.0860001444816589</v>
      </c>
      <c r="T63" s="53">
        <v>4.8140000309795141</v>
      </c>
      <c r="U63" s="53">
        <v>7.8870000168681145</v>
      </c>
      <c r="V63" s="53">
        <v>0.55800002813339233</v>
      </c>
      <c r="W63" s="53">
        <v>9.6579997902736068</v>
      </c>
      <c r="X63" s="53">
        <v>127.22200000286102</v>
      </c>
      <c r="Y63" s="30"/>
      <c r="Z63" s="53">
        <v>91.745000004768372</v>
      </c>
      <c r="AA63" s="53">
        <v>13.650999993085861</v>
      </c>
      <c r="AB63" s="53">
        <v>174.48800025694072</v>
      </c>
      <c r="AC63" s="53">
        <v>207.60199976700824</v>
      </c>
      <c r="AD63" s="53">
        <v>225.98600002098829</v>
      </c>
      <c r="AE63" s="53">
        <v>2407.6120659764856</v>
      </c>
      <c r="AF63" s="16">
        <f t="shared" si="3"/>
        <v>3276.3090660328744</v>
      </c>
    </row>
    <row r="64" spans="1:32" ht="15" customHeight="1">
      <c r="A64" s="3">
        <v>57</v>
      </c>
      <c r="B64" s="8" t="s">
        <v>83</v>
      </c>
      <c r="C64" s="25" t="s">
        <v>158</v>
      </c>
      <c r="D64" s="16">
        <f t="shared" si="2"/>
        <v>974.81347650981843</v>
      </c>
      <c r="E64" s="52"/>
      <c r="F64" s="53">
        <v>205.65564179325105</v>
      </c>
      <c r="G64" s="53">
        <v>85.870460350185638</v>
      </c>
      <c r="H64" s="53">
        <v>79.375396827936171</v>
      </c>
      <c r="I64" s="53">
        <v>56.882873442281038</v>
      </c>
      <c r="J64" s="2">
        <v>46.298259256257516</v>
      </c>
      <c r="K64" s="13"/>
      <c r="L64" s="52"/>
      <c r="M64" s="52"/>
      <c r="N64" s="53">
        <v>249.56796221511811</v>
      </c>
      <c r="O64" s="53">
        <v>133.25003878427668</v>
      </c>
      <c r="P64" s="53">
        <v>46.139187297791246</v>
      </c>
      <c r="Q64" s="2">
        <v>71.773656542721014</v>
      </c>
      <c r="R64" s="13"/>
      <c r="S64" s="52"/>
      <c r="T64" s="53">
        <v>8.5430001020431519</v>
      </c>
      <c r="U64" s="53">
        <v>11.32499997317791</v>
      </c>
      <c r="V64" s="53">
        <v>25.721999831497669</v>
      </c>
      <c r="W64" s="53">
        <v>51.82700059004128</v>
      </c>
      <c r="X64" s="53">
        <v>174.44300497323275</v>
      </c>
      <c r="Y64" s="30"/>
      <c r="Z64" s="52"/>
      <c r="AA64" s="52"/>
      <c r="AB64" s="53">
        <v>8.0049998760223389</v>
      </c>
      <c r="AC64" s="53">
        <v>12.25600010342896</v>
      </c>
      <c r="AD64" s="53">
        <v>9.8269999101758003</v>
      </c>
      <c r="AE64" s="53">
        <v>109.06000238656998</v>
      </c>
      <c r="AF64" s="16">
        <f t="shared" si="3"/>
        <v>411.00800774618983</v>
      </c>
    </row>
    <row r="65" spans="1:32" ht="15" customHeight="1">
      <c r="A65" s="3">
        <v>58</v>
      </c>
      <c r="B65" s="8" t="s">
        <v>84</v>
      </c>
      <c r="C65" s="25" t="s">
        <v>150</v>
      </c>
      <c r="D65" s="16">
        <f t="shared" si="2"/>
        <v>643.48835279762636</v>
      </c>
      <c r="E65" s="52"/>
      <c r="F65" s="53">
        <v>265.92750327345726</v>
      </c>
      <c r="G65" s="53">
        <v>85.969791591078049</v>
      </c>
      <c r="H65" s="53">
        <v>160.34423933061959</v>
      </c>
      <c r="I65" s="53">
        <v>63.019642160356042</v>
      </c>
      <c r="J65" s="2">
        <v>68.227176442115478</v>
      </c>
      <c r="K65" s="13"/>
      <c r="L65" s="52"/>
      <c r="M65" s="52"/>
      <c r="N65" s="52"/>
      <c r="O65" s="52"/>
      <c r="P65" s="52"/>
      <c r="Q65" s="2" t="s">
        <v>27</v>
      </c>
      <c r="R65" s="13"/>
      <c r="S65" s="52"/>
      <c r="T65" s="53">
        <v>29.315000344067812</v>
      </c>
      <c r="U65" s="53">
        <v>9.5620000064373016</v>
      </c>
      <c r="V65" s="53">
        <v>49.334000810980797</v>
      </c>
      <c r="W65" s="53">
        <v>83.977000165730715</v>
      </c>
      <c r="X65" s="53">
        <v>325.99200213514268</v>
      </c>
      <c r="Y65" s="30"/>
      <c r="Z65" s="52"/>
      <c r="AA65" s="52"/>
      <c r="AB65" s="52"/>
      <c r="AC65" s="52"/>
      <c r="AD65" s="52"/>
      <c r="AE65" s="52"/>
      <c r="AF65" s="16">
        <f t="shared" si="3"/>
        <v>498.18000346235931</v>
      </c>
    </row>
    <row r="66" spans="1:32" ht="15" customHeight="1">
      <c r="A66" s="3">
        <v>59</v>
      </c>
      <c r="B66" s="8" t="s">
        <v>85</v>
      </c>
      <c r="C66" s="25" t="s">
        <v>152</v>
      </c>
      <c r="D66" s="16">
        <f t="shared" si="2"/>
        <v>3931.9938742665263</v>
      </c>
      <c r="E66" s="53">
        <v>159.75280594825745</v>
      </c>
      <c r="F66" s="52"/>
      <c r="G66" s="52"/>
      <c r="H66" s="53">
        <v>106.82976488642394</v>
      </c>
      <c r="I66" s="53">
        <v>9.8204940137565142</v>
      </c>
      <c r="J66" s="2">
        <v>16.807606482965969</v>
      </c>
      <c r="K66" s="13"/>
      <c r="L66" s="53">
        <v>2051.4556707978845</v>
      </c>
      <c r="M66" s="52"/>
      <c r="N66" s="53">
        <v>498.1702684334349</v>
      </c>
      <c r="O66" s="53">
        <v>469.33609656169267</v>
      </c>
      <c r="P66" s="53">
        <v>310.95008187169583</v>
      </c>
      <c r="Q66" s="2">
        <v>308.87108527041477</v>
      </c>
      <c r="R66" s="13"/>
      <c r="S66" s="53">
        <v>3.1760001182556152</v>
      </c>
      <c r="T66" s="52"/>
      <c r="U66" s="52"/>
      <c r="V66" s="53">
        <v>37.502999713644385</v>
      </c>
      <c r="W66" s="53">
        <v>16.433999925851822</v>
      </c>
      <c r="X66" s="53">
        <v>92.589999973773956</v>
      </c>
      <c r="Y66" s="30"/>
      <c r="Z66" s="53">
        <v>16.248000256717205</v>
      </c>
      <c r="AA66" s="52"/>
      <c r="AB66" s="53">
        <v>32.300999947823584</v>
      </c>
      <c r="AC66" s="53">
        <v>38.934999659657478</v>
      </c>
      <c r="AD66" s="53">
        <v>65.340999774634838</v>
      </c>
      <c r="AE66" s="53">
        <v>465.39199735224247</v>
      </c>
      <c r="AF66" s="16">
        <f t="shared" si="3"/>
        <v>767.91999672260135</v>
      </c>
    </row>
    <row r="67" spans="1:32" ht="15" customHeight="1">
      <c r="A67" s="3">
        <v>60</v>
      </c>
      <c r="B67" s="8" t="s">
        <v>86</v>
      </c>
      <c r="C67" s="25" t="s">
        <v>150</v>
      </c>
      <c r="D67" s="16">
        <f t="shared" si="2"/>
        <v>543.07816301625792</v>
      </c>
      <c r="E67" s="52"/>
      <c r="F67" s="53">
        <v>195.21730728030204</v>
      </c>
      <c r="G67" s="53">
        <v>76.464820810556418</v>
      </c>
      <c r="H67" s="53">
        <v>143.10918765854836</v>
      </c>
      <c r="I67" s="53">
        <v>73.832407153367996</v>
      </c>
      <c r="J67" s="2">
        <v>54.454440113483081</v>
      </c>
      <c r="K67" s="13"/>
      <c r="L67" s="52"/>
      <c r="M67" s="52"/>
      <c r="N67" s="52"/>
      <c r="O67" s="52"/>
      <c r="P67" s="52"/>
      <c r="Q67" s="2" t="s">
        <v>27</v>
      </c>
      <c r="R67" s="13"/>
      <c r="S67" s="52"/>
      <c r="T67" s="53">
        <v>29.421999573707581</v>
      </c>
      <c r="U67" s="53">
        <v>12.468000158667564</v>
      </c>
      <c r="V67" s="53">
        <v>69.541000887751579</v>
      </c>
      <c r="W67" s="53">
        <v>88.344000101089478</v>
      </c>
      <c r="X67" s="53">
        <v>243.25999844074249</v>
      </c>
      <c r="Y67" s="30"/>
      <c r="Z67" s="52"/>
      <c r="AA67" s="52"/>
      <c r="AB67" s="52"/>
      <c r="AC67" s="52"/>
      <c r="AD67" s="52"/>
      <c r="AE67" s="52"/>
      <c r="AF67" s="16">
        <f t="shared" si="3"/>
        <v>443.03499916195869</v>
      </c>
    </row>
    <row r="68" spans="1:32" ht="15" customHeight="1">
      <c r="A68" s="3">
        <v>61</v>
      </c>
      <c r="B68" s="8" t="s">
        <v>87</v>
      </c>
      <c r="C68" s="25" t="s">
        <v>151</v>
      </c>
      <c r="D68" s="16">
        <f t="shared" si="2"/>
        <v>860.62987865030789</v>
      </c>
      <c r="E68" s="52"/>
      <c r="F68" s="53">
        <v>482.71549936890602</v>
      </c>
      <c r="G68" s="52"/>
      <c r="H68" s="53">
        <v>113.23884424576536</v>
      </c>
      <c r="I68" s="53">
        <v>99.301281539771708</v>
      </c>
      <c r="J68" s="2">
        <v>124.06090240343981</v>
      </c>
      <c r="K68" s="13"/>
      <c r="L68" s="52"/>
      <c r="M68" s="52"/>
      <c r="N68" s="53">
        <v>13.697973773121834</v>
      </c>
      <c r="O68" s="53">
        <v>18.449989909529688</v>
      </c>
      <c r="P68" s="53">
        <v>4.8327941087223589</v>
      </c>
      <c r="Q68" s="2">
        <v>4.3325933010509941</v>
      </c>
      <c r="R68" s="13"/>
      <c r="S68" s="52"/>
      <c r="T68" s="53">
        <v>29.560000419616699</v>
      </c>
      <c r="U68" s="52"/>
      <c r="V68" s="53">
        <v>54.4140002168715</v>
      </c>
      <c r="W68" s="53">
        <v>96.780001375824213</v>
      </c>
      <c r="X68" s="53">
        <v>487.53199256956577</v>
      </c>
      <c r="Y68" s="30"/>
      <c r="Z68" s="52"/>
      <c r="AA68" s="52"/>
      <c r="AB68" s="53">
        <v>0.54699999094009399</v>
      </c>
      <c r="AC68" s="53">
        <v>1.3129999935626984</v>
      </c>
      <c r="AD68" s="53">
        <v>2.4290000423789024</v>
      </c>
      <c r="AE68" s="53">
        <v>11.256999969482422</v>
      </c>
      <c r="AF68" s="16">
        <f t="shared" si="3"/>
        <v>683.8319945782423</v>
      </c>
    </row>
    <row r="69" spans="1:32" ht="15" customHeight="1">
      <c r="A69" s="3">
        <v>62</v>
      </c>
      <c r="B69" s="8" t="s">
        <v>88</v>
      </c>
      <c r="C69" s="25" t="s">
        <v>150</v>
      </c>
      <c r="D69" s="16">
        <f t="shared" si="2"/>
        <v>513.2148579313432</v>
      </c>
      <c r="E69" s="53">
        <v>141.09034919929505</v>
      </c>
      <c r="F69" s="53">
        <v>112.527321177423</v>
      </c>
      <c r="G69" s="53">
        <v>86.73032706249505</v>
      </c>
      <c r="H69" s="53">
        <v>81.30878829821944</v>
      </c>
      <c r="I69" s="53">
        <v>30.667008895039558</v>
      </c>
      <c r="J69" s="2">
        <v>60.891063298871188</v>
      </c>
      <c r="K69" s="13"/>
      <c r="L69" s="52"/>
      <c r="M69" s="52"/>
      <c r="N69" s="52"/>
      <c r="O69" s="52"/>
      <c r="P69" s="52"/>
      <c r="Q69" s="2" t="s">
        <v>27</v>
      </c>
      <c r="R69" s="13"/>
      <c r="S69" s="53">
        <v>4.0390000343322754</v>
      </c>
      <c r="T69" s="53">
        <v>16.254000216722488</v>
      </c>
      <c r="U69" s="53">
        <v>21.756000190973282</v>
      </c>
      <c r="V69" s="53">
        <v>37.75200042873621</v>
      </c>
      <c r="W69" s="53">
        <v>49.060999810695648</v>
      </c>
      <c r="X69" s="53">
        <v>326.13700087368488</v>
      </c>
      <c r="Y69" s="30"/>
      <c r="Z69" s="52"/>
      <c r="AA69" s="52"/>
      <c r="AB69" s="52"/>
      <c r="AC69" s="52"/>
      <c r="AD69" s="52"/>
      <c r="AE69" s="52"/>
      <c r="AF69" s="16">
        <f t="shared" si="3"/>
        <v>454.99900155514479</v>
      </c>
    </row>
    <row r="70" spans="1:32" ht="15" customHeight="1">
      <c r="A70" s="3">
        <v>63</v>
      </c>
      <c r="B70" s="8" t="s">
        <v>89</v>
      </c>
      <c r="C70" s="25" t="s">
        <v>151</v>
      </c>
      <c r="D70" s="16">
        <f t="shared" si="2"/>
        <v>2238.7267726202563</v>
      </c>
      <c r="E70" s="53">
        <v>715.33776053225995</v>
      </c>
      <c r="F70" s="53">
        <v>139.3546493616104</v>
      </c>
      <c r="G70" s="53">
        <v>56.695870212495329</v>
      </c>
      <c r="H70" s="53">
        <v>373.86784365124998</v>
      </c>
      <c r="I70" s="53">
        <v>102.19195316880942</v>
      </c>
      <c r="J70" s="2">
        <v>212.46655764092537</v>
      </c>
      <c r="K70" s="13"/>
      <c r="L70" s="53">
        <v>144.5761537680626</v>
      </c>
      <c r="M70" s="52"/>
      <c r="N70" s="53">
        <v>232.72873596286775</v>
      </c>
      <c r="O70" s="53">
        <v>189.14223391056805</v>
      </c>
      <c r="P70" s="53">
        <v>33.724963519901038</v>
      </c>
      <c r="Q70" s="2">
        <v>38.640050891506064</v>
      </c>
      <c r="R70" s="13"/>
      <c r="S70" s="53">
        <v>19.266000658273697</v>
      </c>
      <c r="T70" s="53">
        <v>16.234999656677246</v>
      </c>
      <c r="U70" s="53">
        <v>11.106000229716301</v>
      </c>
      <c r="V70" s="53">
        <v>87.661999840289354</v>
      </c>
      <c r="W70" s="53">
        <v>87.019000023603439</v>
      </c>
      <c r="X70" s="53">
        <v>767.4050072543323</v>
      </c>
      <c r="Y70" s="30"/>
      <c r="Z70" s="53">
        <v>3.5580000877380371</v>
      </c>
      <c r="AA70" s="52"/>
      <c r="AB70" s="53">
        <v>12.082999917678535</v>
      </c>
      <c r="AC70" s="53">
        <v>15.954999875277281</v>
      </c>
      <c r="AD70" s="53">
        <v>10.086999885737896</v>
      </c>
      <c r="AE70" s="53">
        <v>72.589002072811127</v>
      </c>
      <c r="AF70" s="16">
        <f t="shared" si="3"/>
        <v>1102.9650095021352</v>
      </c>
    </row>
    <row r="71" spans="1:32" ht="15" customHeight="1">
      <c r="A71" s="3">
        <v>64</v>
      </c>
      <c r="B71" s="8" t="s">
        <v>90</v>
      </c>
      <c r="C71" s="25" t="s">
        <v>150</v>
      </c>
      <c r="D71" s="16">
        <f t="shared" si="2"/>
        <v>531.04223924879727</v>
      </c>
      <c r="E71" s="52"/>
      <c r="F71" s="53">
        <v>298.75385690379886</v>
      </c>
      <c r="G71" s="53">
        <v>28.081420289069413</v>
      </c>
      <c r="H71" s="53">
        <v>114.71128237465396</v>
      </c>
      <c r="I71" s="53">
        <v>28.090358387470246</v>
      </c>
      <c r="J71" s="2">
        <v>61.405321293804867</v>
      </c>
      <c r="K71" s="13"/>
      <c r="L71" s="52"/>
      <c r="M71" s="52"/>
      <c r="N71" s="52"/>
      <c r="O71" s="52"/>
      <c r="P71" s="52"/>
      <c r="Q71" s="2" t="s">
        <v>27</v>
      </c>
      <c r="R71" s="13"/>
      <c r="S71" s="52"/>
      <c r="T71" s="53">
        <v>34.273999679833651</v>
      </c>
      <c r="U71" s="53">
        <v>4.6079999711364508</v>
      </c>
      <c r="V71" s="53">
        <v>97.208000702783465</v>
      </c>
      <c r="W71" s="53">
        <v>67.958000749349594</v>
      </c>
      <c r="X71" s="53">
        <v>425.87099388241768</v>
      </c>
      <c r="Y71" s="30"/>
      <c r="Z71" s="52"/>
      <c r="AA71" s="52"/>
      <c r="AB71" s="52"/>
      <c r="AC71" s="52"/>
      <c r="AD71" s="52"/>
      <c r="AE71" s="52"/>
      <c r="AF71" s="16">
        <f t="shared" si="3"/>
        <v>629.91899498552084</v>
      </c>
    </row>
    <row r="72" spans="1:32" ht="15" customHeight="1">
      <c r="A72" s="3">
        <v>65</v>
      </c>
      <c r="B72" s="8" t="s">
        <v>91</v>
      </c>
      <c r="C72" s="25" t="s">
        <v>150</v>
      </c>
      <c r="D72" s="16">
        <f t="shared" ref="D72:D103" si="4">SUM(E72:J72)+SUM(L72:Q72)</f>
        <v>189.98578062451566</v>
      </c>
      <c r="E72" s="52"/>
      <c r="F72" s="52"/>
      <c r="G72" s="53">
        <v>60.279438445895913</v>
      </c>
      <c r="H72" s="53">
        <v>56.8235220977664</v>
      </c>
      <c r="I72" s="53">
        <v>21.001956948995591</v>
      </c>
      <c r="J72" s="2">
        <v>51.880863131857765</v>
      </c>
      <c r="K72" s="13"/>
      <c r="L72" s="52"/>
      <c r="M72" s="52"/>
      <c r="N72" s="52"/>
      <c r="O72" s="52"/>
      <c r="P72" s="52"/>
      <c r="Q72" s="2" t="s">
        <v>27</v>
      </c>
      <c r="R72" s="13"/>
      <c r="S72" s="52"/>
      <c r="T72" s="52"/>
      <c r="U72" s="53">
        <v>14.845000192523003</v>
      </c>
      <c r="V72" s="53">
        <v>39.197999253869057</v>
      </c>
      <c r="W72" s="53">
        <v>47.784999966621399</v>
      </c>
      <c r="X72" s="53">
        <v>346.2799900919199</v>
      </c>
      <c r="Y72" s="30"/>
      <c r="Z72" s="52"/>
      <c r="AA72" s="52"/>
      <c r="AB72" s="52"/>
      <c r="AC72" s="52"/>
      <c r="AD72" s="52"/>
      <c r="AE72" s="52"/>
      <c r="AF72" s="16">
        <f t="shared" ref="AF72:AF103" si="5">SUM(S72:AE72)</f>
        <v>448.10798950493336</v>
      </c>
    </row>
    <row r="73" spans="1:32" ht="15" customHeight="1">
      <c r="A73" s="3">
        <v>66</v>
      </c>
      <c r="B73" s="8" t="s">
        <v>92</v>
      </c>
      <c r="C73" s="25" t="s">
        <v>150</v>
      </c>
      <c r="D73" s="16">
        <f t="shared" si="4"/>
        <v>347.16552747437879</v>
      </c>
      <c r="E73" s="52"/>
      <c r="F73" s="53">
        <v>82.066434458494186</v>
      </c>
      <c r="G73" s="53">
        <v>86.443177299723033</v>
      </c>
      <c r="H73" s="53">
        <v>93.297691459894182</v>
      </c>
      <c r="I73" s="53">
        <v>29.494769727259875</v>
      </c>
      <c r="J73" s="2">
        <v>55.863454529007505</v>
      </c>
      <c r="K73" s="13"/>
      <c r="L73" s="52"/>
      <c r="M73" s="52"/>
      <c r="N73" s="52"/>
      <c r="O73" s="52"/>
      <c r="P73" s="52"/>
      <c r="Q73" s="2" t="s">
        <v>27</v>
      </c>
      <c r="R73" s="13"/>
      <c r="S73" s="52"/>
      <c r="T73" s="53">
        <v>15.096999883651733</v>
      </c>
      <c r="U73" s="53">
        <v>26.036999765783548</v>
      </c>
      <c r="V73" s="53">
        <v>56.483000516891479</v>
      </c>
      <c r="W73" s="53">
        <v>63.987999707460403</v>
      </c>
      <c r="X73" s="53">
        <v>361.93300540745258</v>
      </c>
      <c r="Y73" s="30"/>
      <c r="Z73" s="52"/>
      <c r="AA73" s="52"/>
      <c r="AB73" s="52"/>
      <c r="AC73" s="52"/>
      <c r="AD73" s="52"/>
      <c r="AE73" s="52"/>
      <c r="AF73" s="16">
        <f t="shared" si="5"/>
        <v>523.53800528123975</v>
      </c>
    </row>
    <row r="74" spans="1:32" ht="15" customHeight="1">
      <c r="A74" s="3">
        <v>67</v>
      </c>
      <c r="B74" s="8" t="s">
        <v>93</v>
      </c>
      <c r="C74" s="25" t="s">
        <v>150</v>
      </c>
      <c r="D74" s="16">
        <f t="shared" si="4"/>
        <v>697.01125312648855</v>
      </c>
      <c r="E74" s="52"/>
      <c r="F74" s="53">
        <v>292.13197432614862</v>
      </c>
      <c r="G74" s="52"/>
      <c r="H74" s="53">
        <v>239.8331582082063</v>
      </c>
      <c r="I74" s="53">
        <v>57.633024264484646</v>
      </c>
      <c r="J74" s="2">
        <v>107.413096327649</v>
      </c>
      <c r="K74" s="13"/>
      <c r="L74" s="52"/>
      <c r="M74" s="52"/>
      <c r="N74" s="52"/>
      <c r="O74" s="52"/>
      <c r="P74" s="52"/>
      <c r="Q74" s="2" t="s">
        <v>27</v>
      </c>
      <c r="R74" s="13"/>
      <c r="S74" s="52"/>
      <c r="T74" s="53">
        <v>46.570999938994646</v>
      </c>
      <c r="U74" s="52"/>
      <c r="V74" s="53">
        <v>97.565999895334244</v>
      </c>
      <c r="W74" s="53">
        <v>66.760999232530594</v>
      </c>
      <c r="X74" s="53">
        <v>470.21699421107769</v>
      </c>
      <c r="Y74" s="30"/>
      <c r="Z74" s="52"/>
      <c r="AA74" s="52"/>
      <c r="AB74" s="52"/>
      <c r="AC74" s="52"/>
      <c r="AD74" s="52"/>
      <c r="AE74" s="52"/>
      <c r="AF74" s="16">
        <f t="shared" si="5"/>
        <v>681.11499327793717</v>
      </c>
    </row>
    <row r="75" spans="1:32" ht="15" customHeight="1">
      <c r="A75" s="3">
        <v>68</v>
      </c>
      <c r="B75" s="8" t="s">
        <v>94</v>
      </c>
      <c r="C75" s="25" t="s">
        <v>150</v>
      </c>
      <c r="D75" s="16">
        <f t="shared" si="4"/>
        <v>434.89105141213139</v>
      </c>
      <c r="E75" s="52"/>
      <c r="F75" s="53">
        <v>206.96240671361238</v>
      </c>
      <c r="G75" s="53">
        <v>29.219159517288208</v>
      </c>
      <c r="H75" s="53">
        <v>77.789721044307569</v>
      </c>
      <c r="I75" s="53">
        <v>53.65732932934165</v>
      </c>
      <c r="J75" s="2">
        <v>67.262434807581556</v>
      </c>
      <c r="K75" s="13"/>
      <c r="L75" s="52"/>
      <c r="M75" s="52"/>
      <c r="N75" s="52"/>
      <c r="O75" s="52"/>
      <c r="P75" s="52"/>
      <c r="Q75" s="2" t="s">
        <v>27</v>
      </c>
      <c r="R75" s="13"/>
      <c r="S75" s="52"/>
      <c r="T75" s="53">
        <v>44.263999994844198</v>
      </c>
      <c r="U75" s="53">
        <v>8.4619998633861542</v>
      </c>
      <c r="V75" s="53">
        <v>53.114000131376088</v>
      </c>
      <c r="W75" s="53">
        <v>88.643000029027462</v>
      </c>
      <c r="X75" s="53">
        <v>367.56599003076553</v>
      </c>
      <c r="Y75" s="30"/>
      <c r="Z75" s="52"/>
      <c r="AA75" s="52"/>
      <c r="AB75" s="52"/>
      <c r="AC75" s="52"/>
      <c r="AD75" s="52"/>
      <c r="AE75" s="52"/>
      <c r="AF75" s="16">
        <f t="shared" si="5"/>
        <v>562.04899004939944</v>
      </c>
    </row>
    <row r="76" spans="1:32" ht="15" customHeight="1">
      <c r="A76" s="3">
        <v>69</v>
      </c>
      <c r="B76" s="8" t="s">
        <v>95</v>
      </c>
      <c r="C76" s="25" t="s">
        <v>150</v>
      </c>
      <c r="D76" s="16">
        <f t="shared" si="4"/>
        <v>659.83137922736842</v>
      </c>
      <c r="E76" s="52"/>
      <c r="F76" s="53">
        <v>357.62590997448564</v>
      </c>
      <c r="G76" s="53">
        <v>58.891088708639145</v>
      </c>
      <c r="H76" s="53">
        <v>68.223564205676311</v>
      </c>
      <c r="I76" s="53">
        <v>81.172759699404239</v>
      </c>
      <c r="J76" s="2">
        <v>93.918056639163055</v>
      </c>
      <c r="K76" s="13"/>
      <c r="L76" s="52"/>
      <c r="M76" s="52"/>
      <c r="N76" s="52"/>
      <c r="O76" s="52"/>
      <c r="P76" s="52"/>
      <c r="Q76" s="2" t="s">
        <v>27</v>
      </c>
      <c r="R76" s="13"/>
      <c r="S76" s="52"/>
      <c r="T76" s="53">
        <v>38.13500027358532</v>
      </c>
      <c r="U76" s="53">
        <v>13.212999731302261</v>
      </c>
      <c r="V76" s="53">
        <v>34.560999400913715</v>
      </c>
      <c r="W76" s="53">
        <v>106.31500041484833</v>
      </c>
      <c r="X76" s="53">
        <v>443.9279870390892</v>
      </c>
      <c r="Y76" s="30"/>
      <c r="Z76" s="52"/>
      <c r="AA76" s="52"/>
      <c r="AB76" s="52"/>
      <c r="AC76" s="52"/>
      <c r="AD76" s="52"/>
      <c r="AE76" s="52"/>
      <c r="AF76" s="16">
        <f t="shared" si="5"/>
        <v>636.15198685973883</v>
      </c>
    </row>
    <row r="77" spans="1:32" ht="15" customHeight="1">
      <c r="A77" s="3">
        <v>70</v>
      </c>
      <c r="B77" s="8" t="s">
        <v>96</v>
      </c>
      <c r="C77" s="25" t="s">
        <v>150</v>
      </c>
      <c r="D77" s="16">
        <f t="shared" si="4"/>
        <v>387.49329503746958</v>
      </c>
      <c r="E77" s="53">
        <v>117.36122883605957</v>
      </c>
      <c r="F77" s="53">
        <v>136.21335066694022</v>
      </c>
      <c r="G77" s="53">
        <v>18.85066976337135</v>
      </c>
      <c r="H77" s="53">
        <v>38.367969144612552</v>
      </c>
      <c r="I77" s="53">
        <v>30.806565969899296</v>
      </c>
      <c r="J77" s="2">
        <v>45.893510656586585</v>
      </c>
      <c r="K77" s="13"/>
      <c r="L77" s="52"/>
      <c r="M77" s="52"/>
      <c r="N77" s="52"/>
      <c r="O77" s="52"/>
      <c r="P77" s="52"/>
      <c r="Q77" s="2" t="s">
        <v>27</v>
      </c>
      <c r="R77" s="13"/>
      <c r="S77" s="53">
        <v>4.5279998779296875</v>
      </c>
      <c r="T77" s="53">
        <v>29.05899965763092</v>
      </c>
      <c r="U77" s="53">
        <v>2.8539999648928642</v>
      </c>
      <c r="V77" s="53">
        <v>15.64100007712841</v>
      </c>
      <c r="W77" s="53">
        <v>90.264000222086906</v>
      </c>
      <c r="X77" s="53">
        <v>358.75600485131145</v>
      </c>
      <c r="Y77" s="30"/>
      <c r="Z77" s="52"/>
      <c r="AA77" s="52"/>
      <c r="AB77" s="52"/>
      <c r="AC77" s="52"/>
      <c r="AD77" s="52"/>
      <c r="AE77" s="52"/>
      <c r="AF77" s="16">
        <f t="shared" si="5"/>
        <v>501.10200465098023</v>
      </c>
    </row>
    <row r="78" spans="1:32" ht="15" customHeight="1">
      <c r="A78" s="3">
        <v>71</v>
      </c>
      <c r="B78" s="8" t="s">
        <v>97</v>
      </c>
      <c r="C78" s="25" t="s">
        <v>151</v>
      </c>
      <c r="D78" s="16">
        <f t="shared" si="4"/>
        <v>831.29721480434591</v>
      </c>
      <c r="E78" s="52"/>
      <c r="F78" s="53">
        <v>264.87148847463726</v>
      </c>
      <c r="G78" s="53">
        <v>84.536209396034479</v>
      </c>
      <c r="H78" s="53">
        <v>77.234675931811339</v>
      </c>
      <c r="I78" s="53">
        <v>103.68081653188169</v>
      </c>
      <c r="J78" s="2">
        <v>137.54102949144223</v>
      </c>
      <c r="K78" s="13"/>
      <c r="L78" s="52"/>
      <c r="M78" s="52"/>
      <c r="N78" s="53">
        <v>93.983823027938598</v>
      </c>
      <c r="O78" s="53">
        <v>47.81468594415486</v>
      </c>
      <c r="P78" s="53">
        <v>5.90182191580534</v>
      </c>
      <c r="Q78" s="2">
        <v>15.732664090640061</v>
      </c>
      <c r="R78" s="13"/>
      <c r="S78" s="52"/>
      <c r="T78" s="53">
        <v>38.237000167369843</v>
      </c>
      <c r="U78" s="53">
        <v>21.779000326991081</v>
      </c>
      <c r="V78" s="53">
        <v>46.463001020252705</v>
      </c>
      <c r="W78" s="53">
        <v>127.54400054551661</v>
      </c>
      <c r="X78" s="53">
        <v>625.15399870276451</v>
      </c>
      <c r="Y78" s="30"/>
      <c r="Z78" s="52"/>
      <c r="AA78" s="52"/>
      <c r="AB78" s="53">
        <v>13.679999807849526</v>
      </c>
      <c r="AC78" s="53">
        <v>7.5769999697804451</v>
      </c>
      <c r="AD78" s="53">
        <v>4.7129999250173569</v>
      </c>
      <c r="AE78" s="53">
        <v>54.590001858770847</v>
      </c>
      <c r="AF78" s="16">
        <f t="shared" si="5"/>
        <v>939.73700232431293</v>
      </c>
    </row>
    <row r="79" spans="1:32" ht="15" customHeight="1">
      <c r="A79" s="3">
        <v>72</v>
      </c>
      <c r="B79" s="8" t="s">
        <v>98</v>
      </c>
      <c r="C79" s="25" t="s">
        <v>150</v>
      </c>
      <c r="D79" s="16">
        <f t="shared" si="4"/>
        <v>654.19788639495266</v>
      </c>
      <c r="E79" s="53">
        <v>395.18715785551069</v>
      </c>
      <c r="F79" s="53">
        <v>101.19153410752862</v>
      </c>
      <c r="G79" s="53">
        <v>33.592706845998762</v>
      </c>
      <c r="H79" s="53">
        <v>49.406776818096638</v>
      </c>
      <c r="I79" s="53">
        <v>23.372247881323098</v>
      </c>
      <c r="J79" s="2">
        <v>51.447462886494762</v>
      </c>
      <c r="K79" s="13"/>
      <c r="L79" s="52"/>
      <c r="M79" s="52"/>
      <c r="N79" s="52"/>
      <c r="O79" s="52"/>
      <c r="P79" s="52"/>
      <c r="Q79" s="2" t="s">
        <v>27</v>
      </c>
      <c r="R79" s="13"/>
      <c r="S79" s="53">
        <v>20.962000131607056</v>
      </c>
      <c r="T79" s="53">
        <v>16.757999835535884</v>
      </c>
      <c r="U79" s="53">
        <v>6.7800001502037048</v>
      </c>
      <c r="V79" s="53">
        <v>39.986999839544296</v>
      </c>
      <c r="W79" s="53">
        <v>50.498999610543251</v>
      </c>
      <c r="X79" s="53">
        <v>332.47400633990765</v>
      </c>
      <c r="Y79" s="30"/>
      <c r="Z79" s="52"/>
      <c r="AA79" s="52"/>
      <c r="AB79" s="52"/>
      <c r="AC79" s="52"/>
      <c r="AD79" s="52"/>
      <c r="AE79" s="52"/>
      <c r="AF79" s="16">
        <f t="shared" si="5"/>
        <v>467.46000590734184</v>
      </c>
    </row>
    <row r="80" spans="1:32" ht="15" customHeight="1">
      <c r="A80" s="3">
        <v>73</v>
      </c>
      <c r="B80" s="8" t="s">
        <v>99</v>
      </c>
      <c r="C80" s="25" t="s">
        <v>151</v>
      </c>
      <c r="D80" s="16">
        <f t="shared" si="4"/>
        <v>2078.163800395861</v>
      </c>
      <c r="E80" s="53">
        <v>115.69679708480835</v>
      </c>
      <c r="F80" s="53">
        <v>190.41692443934082</v>
      </c>
      <c r="G80" s="53">
        <v>8.4955999698489908</v>
      </c>
      <c r="H80" s="53">
        <v>127.26919809639453</v>
      </c>
      <c r="I80" s="53">
        <v>92.539651510037487</v>
      </c>
      <c r="J80" s="2">
        <v>73.702977291791683</v>
      </c>
      <c r="K80" s="13"/>
      <c r="L80" s="53">
        <v>469.5559427549839</v>
      </c>
      <c r="M80" s="52"/>
      <c r="N80" s="53">
        <v>442.14430376197396</v>
      </c>
      <c r="O80" s="53">
        <v>342.35253156080097</v>
      </c>
      <c r="P80" s="53">
        <v>71.874620049184074</v>
      </c>
      <c r="Q80" s="2">
        <v>144.11525387669613</v>
      </c>
      <c r="R80" s="13"/>
      <c r="S80" s="53">
        <v>4.0079998970031738</v>
      </c>
      <c r="T80" s="53">
        <v>16.716000031679869</v>
      </c>
      <c r="U80" s="53">
        <v>1.2679999954998493</v>
      </c>
      <c r="V80" s="53">
        <v>52.705000378191471</v>
      </c>
      <c r="W80" s="53">
        <v>73.430999512784183</v>
      </c>
      <c r="X80" s="53">
        <v>254.72500402946025</v>
      </c>
      <c r="Y80" s="30"/>
      <c r="Z80" s="53">
        <v>13.312000215053558</v>
      </c>
      <c r="AA80" s="52"/>
      <c r="AB80" s="53">
        <v>27.598999969661236</v>
      </c>
      <c r="AC80" s="53">
        <v>54.651999982073903</v>
      </c>
      <c r="AD80" s="53">
        <v>24.605000061797909</v>
      </c>
      <c r="AE80" s="53">
        <v>294.56399456039071</v>
      </c>
      <c r="AF80" s="16">
        <f t="shared" si="5"/>
        <v>817.58499863359611</v>
      </c>
    </row>
    <row r="81" spans="1:32" ht="15" customHeight="1">
      <c r="A81" s="3">
        <v>74</v>
      </c>
      <c r="B81" s="8" t="s">
        <v>100</v>
      </c>
      <c r="C81" s="25" t="s">
        <v>150</v>
      </c>
      <c r="D81" s="16">
        <f t="shared" si="4"/>
        <v>474.71740319746516</v>
      </c>
      <c r="E81" s="52"/>
      <c r="F81" s="53">
        <v>198.00407835194468</v>
      </c>
      <c r="G81" s="53">
        <v>18.355011602401735</v>
      </c>
      <c r="H81" s="53">
        <v>61.061200321912764</v>
      </c>
      <c r="I81" s="53">
        <v>86.237254801057276</v>
      </c>
      <c r="J81" s="2">
        <v>111.05985812014877</v>
      </c>
      <c r="K81" s="13"/>
      <c r="L81" s="52"/>
      <c r="M81" s="52"/>
      <c r="N81" s="52"/>
      <c r="O81" s="52"/>
      <c r="P81" s="52"/>
      <c r="Q81" s="2" t="s">
        <v>27</v>
      </c>
      <c r="R81" s="13"/>
      <c r="S81" s="52"/>
      <c r="T81" s="53">
        <v>22.251999862492085</v>
      </c>
      <c r="U81" s="53">
        <v>11.919999748468399</v>
      </c>
      <c r="V81" s="53">
        <v>25.737000107765198</v>
      </c>
      <c r="W81" s="53">
        <v>107.56599923223257</v>
      </c>
      <c r="X81" s="53">
        <v>509.18100628256798</v>
      </c>
      <c r="Y81" s="30"/>
      <c r="Z81" s="52"/>
      <c r="AA81" s="52"/>
      <c r="AB81" s="52"/>
      <c r="AC81" s="52"/>
      <c r="AD81" s="52"/>
      <c r="AE81" s="52"/>
      <c r="AF81" s="16">
        <f t="shared" si="5"/>
        <v>676.65600523352623</v>
      </c>
    </row>
    <row r="82" spans="1:32" ht="15" customHeight="1">
      <c r="A82" s="3">
        <v>75</v>
      </c>
      <c r="B82" s="8" t="s">
        <v>101</v>
      </c>
      <c r="C82" s="25" t="s">
        <v>150</v>
      </c>
      <c r="D82" s="16">
        <f t="shared" si="4"/>
        <v>305.84387708388454</v>
      </c>
      <c r="E82" s="52"/>
      <c r="F82" s="53">
        <v>67.50960793147236</v>
      </c>
      <c r="G82" s="52"/>
      <c r="H82" s="53">
        <v>156.69943819968401</v>
      </c>
      <c r="I82" s="53">
        <v>31.646400141239166</v>
      </c>
      <c r="J82" s="2">
        <v>49.988430811489053</v>
      </c>
      <c r="K82" s="13"/>
      <c r="L82" s="52"/>
      <c r="M82" s="52"/>
      <c r="N82" s="52"/>
      <c r="O82" s="52"/>
      <c r="P82" s="52"/>
      <c r="Q82" s="2" t="s">
        <v>27</v>
      </c>
      <c r="R82" s="13"/>
      <c r="S82" s="52"/>
      <c r="T82" s="53">
        <v>11.572999957948923</v>
      </c>
      <c r="U82" s="52"/>
      <c r="V82" s="53">
        <v>68.653999973088503</v>
      </c>
      <c r="W82" s="53">
        <v>59.315000295639038</v>
      </c>
      <c r="X82" s="53">
        <v>295.58799613267183</v>
      </c>
      <c r="Y82" s="30"/>
      <c r="Z82" s="52"/>
      <c r="AA82" s="52"/>
      <c r="AB82" s="52"/>
      <c r="AC82" s="52"/>
      <c r="AD82" s="52"/>
      <c r="AE82" s="52"/>
      <c r="AF82" s="16">
        <f t="shared" si="5"/>
        <v>435.1299963593483</v>
      </c>
    </row>
    <row r="83" spans="1:32" ht="15" customHeight="1">
      <c r="A83" s="3">
        <v>76</v>
      </c>
      <c r="B83" s="8" t="s">
        <v>102</v>
      </c>
      <c r="C83" s="25" t="s">
        <v>151</v>
      </c>
      <c r="D83" s="16">
        <f t="shared" si="4"/>
        <v>2729.6479776953261</v>
      </c>
      <c r="E83" s="53">
        <v>819.88171874713896</v>
      </c>
      <c r="F83" s="53">
        <v>52.178355052232739</v>
      </c>
      <c r="G83" s="53">
        <v>283.53988373884556</v>
      </c>
      <c r="H83" s="53">
        <v>85.113547835852955</v>
      </c>
      <c r="I83" s="53">
        <v>107.76055345451553</v>
      </c>
      <c r="J83" s="2">
        <v>132.49064435803589</v>
      </c>
      <c r="K83" s="13"/>
      <c r="L83" s="53">
        <v>412.29045314073562</v>
      </c>
      <c r="M83" s="52"/>
      <c r="N83" s="53">
        <v>359.22019265822695</v>
      </c>
      <c r="O83" s="53">
        <v>227.48761148140579</v>
      </c>
      <c r="P83" s="53">
        <v>100.43047726281173</v>
      </c>
      <c r="Q83" s="2">
        <v>149.25453996552415</v>
      </c>
      <c r="R83" s="13"/>
      <c r="S83" s="53">
        <v>15.44599986076355</v>
      </c>
      <c r="T83" s="53">
        <v>6.0740001201629639</v>
      </c>
      <c r="U83" s="53">
        <v>36.913999930024147</v>
      </c>
      <c r="V83" s="53">
        <v>35.071000485680997</v>
      </c>
      <c r="W83" s="53">
        <v>87.878000755794346</v>
      </c>
      <c r="X83" s="53">
        <v>465.78700572252274</v>
      </c>
      <c r="Y83" s="30"/>
      <c r="Z83" s="53">
        <v>8.8489998579025269</v>
      </c>
      <c r="AA83" s="52"/>
      <c r="AB83" s="53">
        <v>19.310000048484653</v>
      </c>
      <c r="AC83" s="53">
        <v>22.043000025674701</v>
      </c>
      <c r="AD83" s="53">
        <v>18.066999951377511</v>
      </c>
      <c r="AE83" s="53">
        <v>204.0850009676069</v>
      </c>
      <c r="AF83" s="16">
        <f t="shared" si="5"/>
        <v>919.52400772599503</v>
      </c>
    </row>
    <row r="84" spans="1:32" ht="15" customHeight="1">
      <c r="A84" s="3">
        <v>77</v>
      </c>
      <c r="B84" s="8" t="s">
        <v>103</v>
      </c>
      <c r="C84" s="25" t="s">
        <v>150</v>
      </c>
      <c r="D84" s="16">
        <f t="shared" si="4"/>
        <v>387.08454694552398</v>
      </c>
      <c r="E84" s="52"/>
      <c r="F84" s="53">
        <v>155.49464421729743</v>
      </c>
      <c r="G84" s="53">
        <v>44.810321638956665</v>
      </c>
      <c r="H84" s="53">
        <v>93.806529359579088</v>
      </c>
      <c r="I84" s="53">
        <v>36.831402848243712</v>
      </c>
      <c r="J84" s="2">
        <v>56.141648881447054</v>
      </c>
      <c r="K84" s="13"/>
      <c r="L84" s="52"/>
      <c r="M84" s="52"/>
      <c r="N84" s="52"/>
      <c r="O84" s="52"/>
      <c r="P84" s="52"/>
      <c r="Q84" s="2" t="s">
        <v>27</v>
      </c>
      <c r="R84" s="13"/>
      <c r="S84" s="52"/>
      <c r="T84" s="53">
        <v>25.44899981841445</v>
      </c>
      <c r="U84" s="53">
        <v>12.546000517904758</v>
      </c>
      <c r="V84" s="53">
        <v>64.92800135910511</v>
      </c>
      <c r="W84" s="53">
        <v>68.567000091075897</v>
      </c>
      <c r="X84" s="53">
        <v>330.57001547515392</v>
      </c>
      <c r="Y84" s="30"/>
      <c r="Z84" s="52"/>
      <c r="AA84" s="52"/>
      <c r="AB84" s="52"/>
      <c r="AC84" s="52"/>
      <c r="AD84" s="52"/>
      <c r="AE84" s="52"/>
      <c r="AF84" s="16">
        <f t="shared" si="5"/>
        <v>502.06001726165414</v>
      </c>
    </row>
    <row r="85" spans="1:32" ht="15" customHeight="1">
      <c r="A85" s="3">
        <v>78</v>
      </c>
      <c r="B85" s="8" t="s">
        <v>104</v>
      </c>
      <c r="C85" s="25" t="s">
        <v>151</v>
      </c>
      <c r="D85" s="16">
        <f t="shared" si="4"/>
        <v>438.84265947499091</v>
      </c>
      <c r="E85" s="52"/>
      <c r="F85" s="53">
        <v>94.25325028144988</v>
      </c>
      <c r="G85" s="53">
        <v>27.617774202704428</v>
      </c>
      <c r="H85" s="53">
        <v>88.200153497442599</v>
      </c>
      <c r="I85" s="53">
        <v>59.984148248285052</v>
      </c>
      <c r="J85" s="2">
        <v>61.844611884091314</v>
      </c>
      <c r="K85" s="13"/>
      <c r="L85" s="52"/>
      <c r="M85" s="52"/>
      <c r="N85" s="53">
        <v>43.747948247924448</v>
      </c>
      <c r="O85" s="53">
        <v>43.601876015469429</v>
      </c>
      <c r="P85" s="53">
        <v>8.8072459067702287</v>
      </c>
      <c r="Q85" s="2">
        <v>10.78565119085348</v>
      </c>
      <c r="R85" s="13"/>
      <c r="S85" s="52"/>
      <c r="T85" s="53">
        <v>12.174000050639734</v>
      </c>
      <c r="U85" s="53">
        <v>10.660000130534172</v>
      </c>
      <c r="V85" s="53">
        <v>56.963999962434173</v>
      </c>
      <c r="W85" s="53">
        <v>81.732000183314085</v>
      </c>
      <c r="X85" s="53">
        <v>299.63599617034197</v>
      </c>
      <c r="Y85" s="30"/>
      <c r="Z85" s="52"/>
      <c r="AA85" s="52"/>
      <c r="AB85" s="53">
        <v>3.3379999473690987</v>
      </c>
      <c r="AC85" s="53">
        <v>7.3330000098794699</v>
      </c>
      <c r="AD85" s="53">
        <v>4.1289999783039093</v>
      </c>
      <c r="AE85" s="53">
        <v>26.831000208854675</v>
      </c>
      <c r="AF85" s="16">
        <f t="shared" si="5"/>
        <v>502.79699664167129</v>
      </c>
    </row>
    <row r="86" spans="1:32" ht="15" customHeight="1">
      <c r="A86" s="3">
        <v>79</v>
      </c>
      <c r="B86" s="8" t="s">
        <v>105</v>
      </c>
      <c r="C86" s="25" t="s">
        <v>150</v>
      </c>
      <c r="D86" s="16">
        <f t="shared" si="4"/>
        <v>1283.1936183824898</v>
      </c>
      <c r="E86" s="53">
        <v>312.52199789047239</v>
      </c>
      <c r="F86" s="53">
        <v>564.15616125453266</v>
      </c>
      <c r="G86" s="53">
        <v>71.520498122096058</v>
      </c>
      <c r="H86" s="53">
        <v>164.06565705581383</v>
      </c>
      <c r="I86" s="53">
        <v>33.814200042724607</v>
      </c>
      <c r="J86" s="2">
        <v>137.1151040168501</v>
      </c>
      <c r="K86" s="13"/>
      <c r="L86" s="52"/>
      <c r="M86" s="52"/>
      <c r="N86" s="52"/>
      <c r="O86" s="52"/>
      <c r="P86" s="52"/>
      <c r="Q86" s="2" t="s">
        <v>27</v>
      </c>
      <c r="R86" s="13"/>
      <c r="S86" s="53">
        <v>12.032000303268433</v>
      </c>
      <c r="T86" s="53">
        <v>74.006000347435474</v>
      </c>
      <c r="U86" s="53">
        <v>19.885000288486481</v>
      </c>
      <c r="V86" s="53">
        <v>48.277999790385365</v>
      </c>
      <c r="W86" s="53">
        <v>43.143000364303589</v>
      </c>
      <c r="X86" s="53">
        <v>637.59201703220606</v>
      </c>
      <c r="Y86" s="30"/>
      <c r="Z86" s="52"/>
      <c r="AA86" s="52"/>
      <c r="AB86" s="52"/>
      <c r="AC86" s="52"/>
      <c r="AD86" s="52"/>
      <c r="AE86" s="52"/>
      <c r="AF86" s="16">
        <f t="shared" si="5"/>
        <v>834.9360181260854</v>
      </c>
    </row>
    <row r="87" spans="1:32" ht="15" customHeight="1">
      <c r="A87" s="3">
        <v>80</v>
      </c>
      <c r="B87" s="8" t="s">
        <v>106</v>
      </c>
      <c r="C87" s="25" t="s">
        <v>150</v>
      </c>
      <c r="D87" s="16">
        <f t="shared" si="4"/>
        <v>333.52259894232384</v>
      </c>
      <c r="E87" s="52"/>
      <c r="F87" s="53">
        <v>90.244283399462702</v>
      </c>
      <c r="G87" s="53">
        <v>75.917541040837762</v>
      </c>
      <c r="H87" s="53">
        <v>75.198203626155859</v>
      </c>
      <c r="I87" s="53">
        <v>50.434436273574832</v>
      </c>
      <c r="J87" s="2">
        <v>41.728134602292684</v>
      </c>
      <c r="K87" s="13"/>
      <c r="L87" s="52"/>
      <c r="M87" s="52"/>
      <c r="N87" s="52"/>
      <c r="O87" s="52"/>
      <c r="P87" s="52"/>
      <c r="Q87" s="2" t="s">
        <v>27</v>
      </c>
      <c r="R87" s="13"/>
      <c r="S87" s="52"/>
      <c r="T87" s="53">
        <v>17.714000076055527</v>
      </c>
      <c r="U87" s="53">
        <v>10.260000139474869</v>
      </c>
      <c r="V87" s="53">
        <v>44.532999649643898</v>
      </c>
      <c r="W87" s="53">
        <v>42.863999366760254</v>
      </c>
      <c r="X87" s="53">
        <v>150.53700300864875</v>
      </c>
      <c r="Y87" s="30"/>
      <c r="Z87" s="52"/>
      <c r="AA87" s="52"/>
      <c r="AB87" s="52"/>
      <c r="AC87" s="52"/>
      <c r="AD87" s="52"/>
      <c r="AE87" s="52"/>
      <c r="AF87" s="16">
        <f t="shared" si="5"/>
        <v>265.9080022405833</v>
      </c>
    </row>
    <row r="88" spans="1:32" ht="15" customHeight="1">
      <c r="A88" s="3">
        <v>81</v>
      </c>
      <c r="B88" s="8" t="s">
        <v>107</v>
      </c>
      <c r="C88" s="25" t="s">
        <v>151</v>
      </c>
      <c r="D88" s="16">
        <f t="shared" si="4"/>
        <v>627.72894736582259</v>
      </c>
      <c r="E88" s="52"/>
      <c r="F88" s="53">
        <v>175.21721991145611</v>
      </c>
      <c r="G88" s="53">
        <v>47.774135148465632</v>
      </c>
      <c r="H88" s="53">
        <v>41.022618306860331</v>
      </c>
      <c r="I88" s="53">
        <v>34.27897506450303</v>
      </c>
      <c r="J88" s="2">
        <v>32.018480782691071</v>
      </c>
      <c r="K88" s="13"/>
      <c r="L88" s="52"/>
      <c r="M88" s="52"/>
      <c r="N88" s="53">
        <v>164.85790351363829</v>
      </c>
      <c r="O88" s="53">
        <v>91.29888842984289</v>
      </c>
      <c r="P88" s="53">
        <v>11.707213902279735</v>
      </c>
      <c r="Q88" s="2">
        <v>29.553512306085498</v>
      </c>
      <c r="R88" s="13"/>
      <c r="S88" s="52"/>
      <c r="T88" s="53">
        <v>24.628999710083008</v>
      </c>
      <c r="U88" s="53">
        <v>8.3669998794794083</v>
      </c>
      <c r="V88" s="53">
        <v>29.777999620884657</v>
      </c>
      <c r="W88" s="53">
        <v>71.310000015306287</v>
      </c>
      <c r="X88" s="53">
        <v>202.07400361262262</v>
      </c>
      <c r="Y88" s="30"/>
      <c r="Z88" s="52"/>
      <c r="AA88" s="52"/>
      <c r="AB88" s="53">
        <v>12.665000105276704</v>
      </c>
      <c r="AC88" s="53">
        <v>15.755999870598316</v>
      </c>
      <c r="AD88" s="53">
        <v>5.4009999707341194</v>
      </c>
      <c r="AE88" s="53">
        <v>72.783997625112534</v>
      </c>
      <c r="AF88" s="16">
        <f t="shared" si="5"/>
        <v>442.76400041009765</v>
      </c>
    </row>
    <row r="89" spans="1:32" ht="15" customHeight="1">
      <c r="A89" s="3">
        <v>82</v>
      </c>
      <c r="B89" s="8" t="s">
        <v>108</v>
      </c>
      <c r="C89" s="25" t="s">
        <v>151</v>
      </c>
      <c r="D89" s="16">
        <f t="shared" si="4"/>
        <v>630.52214656155491</v>
      </c>
      <c r="E89" s="52"/>
      <c r="F89" s="53">
        <v>80.649198230385778</v>
      </c>
      <c r="G89" s="53">
        <v>129.20186625033617</v>
      </c>
      <c r="H89" s="53">
        <v>193.89620616259427</v>
      </c>
      <c r="I89" s="53">
        <v>64.51944671729207</v>
      </c>
      <c r="J89" s="2">
        <v>80.148419076055447</v>
      </c>
      <c r="K89" s="13"/>
      <c r="L89" s="52"/>
      <c r="M89" s="52"/>
      <c r="N89" s="53">
        <v>72.958954528301959</v>
      </c>
      <c r="O89" s="52"/>
      <c r="P89" s="52"/>
      <c r="Q89" s="31">
        <v>9.1480555965891917</v>
      </c>
      <c r="R89" s="13"/>
      <c r="S89" s="52"/>
      <c r="T89" s="53">
        <v>14.077000044286251</v>
      </c>
      <c r="U89" s="53">
        <v>20.447000034153461</v>
      </c>
      <c r="V89" s="53">
        <v>61.463000187650323</v>
      </c>
      <c r="W89" s="53">
        <v>77.335000425577164</v>
      </c>
      <c r="X89" s="53">
        <v>358.43000067770481</v>
      </c>
      <c r="Y89" s="30"/>
      <c r="Z89" s="52"/>
      <c r="AA89" s="52"/>
      <c r="AB89" s="53">
        <v>4.3969999775290489</v>
      </c>
      <c r="AC89" s="52"/>
      <c r="AD89" s="52"/>
      <c r="AE89" s="53">
        <v>17.198000192642212</v>
      </c>
      <c r="AF89" s="16">
        <f t="shared" si="5"/>
        <v>553.34700153954327</v>
      </c>
    </row>
    <row r="90" spans="1:32" ht="15" customHeight="1">
      <c r="A90" s="3">
        <v>83</v>
      </c>
      <c r="B90" s="8" t="s">
        <v>109</v>
      </c>
      <c r="C90" s="25" t="s">
        <v>150</v>
      </c>
      <c r="D90" s="16">
        <f t="shared" si="4"/>
        <v>148.43749374732761</v>
      </c>
      <c r="E90" s="52"/>
      <c r="F90" s="52"/>
      <c r="G90" s="53">
        <v>63.442566202625635</v>
      </c>
      <c r="H90" s="53">
        <v>37.492783643007279</v>
      </c>
      <c r="I90" s="53">
        <v>18.957406838417054</v>
      </c>
      <c r="J90" s="2">
        <v>28.544737063277648</v>
      </c>
      <c r="K90" s="13"/>
      <c r="L90" s="52"/>
      <c r="M90" s="52"/>
      <c r="N90" s="52"/>
      <c r="O90" s="52"/>
      <c r="P90" s="52"/>
      <c r="Q90" s="2" t="s">
        <v>27</v>
      </c>
      <c r="R90" s="13"/>
      <c r="S90" s="52"/>
      <c r="T90" s="52"/>
      <c r="U90" s="53">
        <v>19.386000037193298</v>
      </c>
      <c r="V90" s="53">
        <v>42.014000177383423</v>
      </c>
      <c r="W90" s="53">
        <v>40.396000146865845</v>
      </c>
      <c r="X90" s="53">
        <v>182.87599429488182</v>
      </c>
      <c r="Y90" s="30"/>
      <c r="Z90" s="52"/>
      <c r="AA90" s="52"/>
      <c r="AB90" s="52"/>
      <c r="AC90" s="52"/>
      <c r="AD90" s="52"/>
      <c r="AE90" s="52"/>
      <c r="AF90" s="16">
        <f t="shared" si="5"/>
        <v>284.67199465632439</v>
      </c>
    </row>
    <row r="91" spans="1:32" ht="15" customHeight="1">
      <c r="A91" s="3">
        <v>84</v>
      </c>
      <c r="B91" s="8" t="s">
        <v>110</v>
      </c>
      <c r="C91" s="25" t="s">
        <v>151</v>
      </c>
      <c r="D91" s="16">
        <f t="shared" si="4"/>
        <v>584.29217976843699</v>
      </c>
      <c r="E91" s="52"/>
      <c r="F91" s="53">
        <v>277.02945449686052</v>
      </c>
      <c r="G91" s="53">
        <v>46.710970576606691</v>
      </c>
      <c r="H91" s="53">
        <v>50.783514975212512</v>
      </c>
      <c r="I91" s="53">
        <v>30.079411427140236</v>
      </c>
      <c r="J91" s="2">
        <v>53.332741568460946</v>
      </c>
      <c r="K91" s="13"/>
      <c r="L91" s="52"/>
      <c r="M91" s="52"/>
      <c r="N91" s="53">
        <v>73.099814297437675</v>
      </c>
      <c r="O91" s="53">
        <v>10.000476077407599</v>
      </c>
      <c r="P91" s="53">
        <v>20.521389951094985</v>
      </c>
      <c r="Q91" s="2">
        <v>22.73440639821581</v>
      </c>
      <c r="R91" s="13"/>
      <c r="S91" s="52"/>
      <c r="T91" s="53">
        <v>21.650999486446381</v>
      </c>
      <c r="U91" s="53">
        <v>17.755000246688724</v>
      </c>
      <c r="V91" s="53">
        <v>24.517999988049269</v>
      </c>
      <c r="W91" s="53">
        <v>46.753000684082508</v>
      </c>
      <c r="X91" s="53">
        <v>280.55300009995699</v>
      </c>
      <c r="Y91" s="30"/>
      <c r="Z91" s="52"/>
      <c r="AA91" s="52"/>
      <c r="AB91" s="53">
        <v>5.3810000121593475</v>
      </c>
      <c r="AC91" s="53">
        <v>2.5760000199079514</v>
      </c>
      <c r="AD91" s="53">
        <v>6.6699999794363976</v>
      </c>
      <c r="AE91" s="53">
        <v>44.985998690128326</v>
      </c>
      <c r="AF91" s="16">
        <f t="shared" si="5"/>
        <v>450.84299920685589</v>
      </c>
    </row>
    <row r="92" spans="1:32" ht="15" customHeight="1">
      <c r="A92" s="3">
        <v>85</v>
      </c>
      <c r="B92" s="8" t="s">
        <v>111</v>
      </c>
      <c r="C92" s="25" t="s">
        <v>150</v>
      </c>
      <c r="D92" s="16">
        <f t="shared" si="4"/>
        <v>331.07329703060014</v>
      </c>
      <c r="E92" s="52"/>
      <c r="F92" s="53">
        <v>75.231420764923101</v>
      </c>
      <c r="G92" s="53">
        <v>40.628269726559523</v>
      </c>
      <c r="H92" s="53">
        <v>110.5085439581573</v>
      </c>
      <c r="I92" s="53">
        <v>35.925626871347426</v>
      </c>
      <c r="J92" s="2">
        <v>68.779435709612756</v>
      </c>
      <c r="K92" s="13"/>
      <c r="L92" s="52"/>
      <c r="M92" s="52"/>
      <c r="N92" s="52"/>
      <c r="O92" s="52"/>
      <c r="P92" s="52"/>
      <c r="Q92" s="2" t="s">
        <v>27</v>
      </c>
      <c r="R92" s="13"/>
      <c r="S92" s="52"/>
      <c r="T92" s="53">
        <v>13.802000045776367</v>
      </c>
      <c r="U92" s="53">
        <v>11.718999862670898</v>
      </c>
      <c r="V92" s="53">
        <v>53.730999708175659</v>
      </c>
      <c r="W92" s="53">
        <v>70.313999518752098</v>
      </c>
      <c r="X92" s="53">
        <v>417.84999741613865</v>
      </c>
      <c r="Y92" s="30"/>
      <c r="Z92" s="52"/>
      <c r="AA92" s="52"/>
      <c r="AB92" s="52"/>
      <c r="AC92" s="52"/>
      <c r="AD92" s="52"/>
      <c r="AE92" s="52"/>
      <c r="AF92" s="16">
        <f t="shared" si="5"/>
        <v>567.41599655151367</v>
      </c>
    </row>
    <row r="93" spans="1:32" ht="15" customHeight="1">
      <c r="A93" s="3">
        <v>86</v>
      </c>
      <c r="B93" s="8" t="s">
        <v>112</v>
      </c>
      <c r="C93" s="25" t="s">
        <v>150</v>
      </c>
      <c r="D93" s="16">
        <f t="shared" si="4"/>
        <v>306.21236978936327</v>
      </c>
      <c r="E93" s="52"/>
      <c r="F93" s="52"/>
      <c r="G93" s="52"/>
      <c r="H93" s="53">
        <v>123.94193489895017</v>
      </c>
      <c r="I93" s="53">
        <v>79.446305159717795</v>
      </c>
      <c r="J93" s="2">
        <v>102.82412973069529</v>
      </c>
      <c r="K93" s="13"/>
      <c r="L93" s="52"/>
      <c r="M93" s="52"/>
      <c r="N93" s="52"/>
      <c r="O93" s="52"/>
      <c r="P93" s="52"/>
      <c r="Q93" s="2" t="s">
        <v>27</v>
      </c>
      <c r="R93" s="13"/>
      <c r="S93" s="52"/>
      <c r="T93" s="52"/>
      <c r="U93" s="52"/>
      <c r="V93" s="53">
        <v>46.907999958842993</v>
      </c>
      <c r="W93" s="53">
        <v>94.809001326560974</v>
      </c>
      <c r="X93" s="53">
        <v>458.57600170467049</v>
      </c>
      <c r="Y93" s="30"/>
      <c r="Z93" s="52"/>
      <c r="AA93" s="52"/>
      <c r="AB93" s="52"/>
      <c r="AC93" s="52"/>
      <c r="AD93" s="52"/>
      <c r="AE93" s="52"/>
      <c r="AF93" s="16">
        <f t="shared" si="5"/>
        <v>600.29300299007446</v>
      </c>
    </row>
    <row r="94" spans="1:32" ht="15" customHeight="1">
      <c r="A94" s="3">
        <v>87</v>
      </c>
      <c r="B94" s="8" t="s">
        <v>113</v>
      </c>
      <c r="C94" s="25" t="s">
        <v>151</v>
      </c>
      <c r="D94" s="16">
        <f t="shared" si="4"/>
        <v>761.09585076340977</v>
      </c>
      <c r="E94" s="53">
        <v>251.67913770794868</v>
      </c>
      <c r="F94" s="52"/>
      <c r="G94" s="53">
        <v>186.42797504661976</v>
      </c>
      <c r="H94" s="53">
        <v>52.757502728641036</v>
      </c>
      <c r="I94" s="53">
        <v>32.565136624813078</v>
      </c>
      <c r="J94" s="2">
        <v>45.021451137251759</v>
      </c>
      <c r="K94" s="13"/>
      <c r="L94" s="52"/>
      <c r="M94" s="52"/>
      <c r="N94" s="53">
        <v>68.633299518376589</v>
      </c>
      <c r="O94" s="53">
        <v>90.724586798831822</v>
      </c>
      <c r="P94" s="53">
        <v>14.751311041593551</v>
      </c>
      <c r="Q94" s="2">
        <v>18.535450159333454</v>
      </c>
      <c r="R94" s="13"/>
      <c r="S94" s="53">
        <v>11.386999845504761</v>
      </c>
      <c r="T94" s="52"/>
      <c r="U94" s="53">
        <v>32.96699979621917</v>
      </c>
      <c r="V94" s="53">
        <v>21.333999820053577</v>
      </c>
      <c r="W94" s="53">
        <v>31.960999846458435</v>
      </c>
      <c r="X94" s="53">
        <v>177.69900339841843</v>
      </c>
      <c r="Y94" s="30"/>
      <c r="Z94" s="52"/>
      <c r="AA94" s="52"/>
      <c r="AB94" s="53">
        <v>4.4709999784827232</v>
      </c>
      <c r="AC94" s="53">
        <v>11.992999851703644</v>
      </c>
      <c r="AD94" s="53">
        <v>8.0460000149905682</v>
      </c>
      <c r="AE94" s="53">
        <v>50.684000566601753</v>
      </c>
      <c r="AF94" s="16">
        <f t="shared" si="5"/>
        <v>350.54200311843306</v>
      </c>
    </row>
    <row r="95" spans="1:32" ht="15" customHeight="1">
      <c r="A95" s="3">
        <v>88</v>
      </c>
      <c r="B95" s="8" t="s">
        <v>114</v>
      </c>
      <c r="C95" s="25" t="s">
        <v>150</v>
      </c>
      <c r="D95" s="16">
        <f t="shared" si="4"/>
        <v>393.77214216776531</v>
      </c>
      <c r="E95" s="52"/>
      <c r="F95" s="53">
        <v>27.014999389648438</v>
      </c>
      <c r="G95" s="53">
        <v>180.75338970528543</v>
      </c>
      <c r="H95" s="53">
        <v>57.513168478518722</v>
      </c>
      <c r="I95" s="53">
        <v>55.799127704501153</v>
      </c>
      <c r="J95" s="2">
        <v>72.69145688981159</v>
      </c>
      <c r="K95" s="13"/>
      <c r="L95" s="52"/>
      <c r="M95" s="52"/>
      <c r="N95" s="52"/>
      <c r="O95" s="52"/>
      <c r="P95" s="52"/>
      <c r="Q95" s="2" t="s">
        <v>27</v>
      </c>
      <c r="R95" s="13"/>
      <c r="S95" s="52"/>
      <c r="T95" s="53">
        <v>5.4029998779296875</v>
      </c>
      <c r="U95" s="53">
        <v>57.374000191688538</v>
      </c>
      <c r="V95" s="53">
        <v>45.938000231981277</v>
      </c>
      <c r="W95" s="53">
        <v>97.032000005245209</v>
      </c>
      <c r="X95" s="53">
        <v>410.16799295693636</v>
      </c>
      <c r="Y95" s="30"/>
      <c r="Z95" s="52"/>
      <c r="AA95" s="52"/>
      <c r="AB95" s="52"/>
      <c r="AC95" s="52"/>
      <c r="AD95" s="52"/>
      <c r="AE95" s="52"/>
      <c r="AF95" s="16">
        <f t="shared" si="5"/>
        <v>615.91499326378107</v>
      </c>
    </row>
    <row r="96" spans="1:32" ht="15" customHeight="1">
      <c r="A96" s="3">
        <v>89</v>
      </c>
      <c r="B96" s="8" t="s">
        <v>115</v>
      </c>
      <c r="C96" s="25" t="s">
        <v>150</v>
      </c>
      <c r="D96" s="16">
        <f t="shared" si="4"/>
        <v>1025.4404203579352</v>
      </c>
      <c r="E96" s="52"/>
      <c r="F96" s="53">
        <v>328.21808038911223</v>
      </c>
      <c r="G96" s="52"/>
      <c r="H96" s="53">
        <v>311.95835750558598</v>
      </c>
      <c r="I96" s="53">
        <v>120.34945255696773</v>
      </c>
      <c r="J96" s="2">
        <v>163.09547776598009</v>
      </c>
      <c r="K96" s="13"/>
      <c r="L96" s="52"/>
      <c r="M96" s="52"/>
      <c r="N96" s="53">
        <v>17.842479901760818</v>
      </c>
      <c r="O96" s="53">
        <v>58.370000890925525</v>
      </c>
      <c r="P96" s="53">
        <v>9.8041367968320845</v>
      </c>
      <c r="Q96" s="2">
        <v>15.802434550770814</v>
      </c>
      <c r="R96" s="13"/>
      <c r="S96" s="52"/>
      <c r="T96" s="53">
        <v>46.826999127864838</v>
      </c>
      <c r="U96" s="52"/>
      <c r="V96" s="53">
        <v>85.768000304698944</v>
      </c>
      <c r="W96" s="53">
        <v>97.066998586058617</v>
      </c>
      <c r="X96" s="53">
        <v>569.44199040532112</v>
      </c>
      <c r="Y96" s="30"/>
      <c r="Z96" s="52"/>
      <c r="AA96" s="52"/>
      <c r="AB96" s="53">
        <v>3.203000009059906</v>
      </c>
      <c r="AC96" s="53">
        <v>9.0850001499056816</v>
      </c>
      <c r="AD96" s="53">
        <v>4.0929999351501465</v>
      </c>
      <c r="AE96" s="53">
        <v>36.563000395894051</v>
      </c>
      <c r="AF96" s="16">
        <f t="shared" si="5"/>
        <v>852.0479889139533</v>
      </c>
    </row>
    <row r="97" spans="1:32" ht="15" customHeight="1">
      <c r="A97" s="3">
        <v>90</v>
      </c>
      <c r="B97" s="8" t="s">
        <v>116</v>
      </c>
      <c r="C97" s="25" t="s">
        <v>151</v>
      </c>
      <c r="D97" s="16">
        <f t="shared" si="4"/>
        <v>1184.5958478594512</v>
      </c>
      <c r="E97" s="52"/>
      <c r="F97" s="53">
        <v>304.40843807744977</v>
      </c>
      <c r="G97" s="53">
        <v>340.38159689903262</v>
      </c>
      <c r="H97" s="53">
        <v>181.82172787949443</v>
      </c>
      <c r="I97" s="53">
        <v>65.115595059491696</v>
      </c>
      <c r="J97" s="2">
        <v>89.372042905478366</v>
      </c>
      <c r="K97" s="13"/>
      <c r="L97" s="52"/>
      <c r="M97" s="52"/>
      <c r="N97" s="53">
        <v>139.94429741107672</v>
      </c>
      <c r="O97" s="53">
        <v>38.848130993654948</v>
      </c>
      <c r="P97" s="53">
        <v>4.9896619405448437</v>
      </c>
      <c r="Q97" s="2">
        <v>19.714356693227725</v>
      </c>
      <c r="R97" s="13"/>
      <c r="S97" s="52"/>
      <c r="T97" s="53">
        <v>30.429999589920044</v>
      </c>
      <c r="U97" s="53">
        <v>40.895000267773867</v>
      </c>
      <c r="V97" s="53">
        <v>83.02299983240664</v>
      </c>
      <c r="W97" s="53">
        <v>83.011999182403088</v>
      </c>
      <c r="X97" s="53">
        <v>415.37200704962015</v>
      </c>
      <c r="Y97" s="30"/>
      <c r="Z97" s="52"/>
      <c r="AA97" s="52"/>
      <c r="AB97" s="53">
        <v>8.4180000517517328</v>
      </c>
      <c r="AC97" s="53">
        <v>4.4660000074654818</v>
      </c>
      <c r="AD97" s="53">
        <v>3.4909999668598175</v>
      </c>
      <c r="AE97" s="53">
        <v>62.981000356376171</v>
      </c>
      <c r="AF97" s="16">
        <f t="shared" si="5"/>
        <v>732.08800630457699</v>
      </c>
    </row>
    <row r="98" spans="1:32" ht="15" customHeight="1">
      <c r="A98" s="3">
        <v>91</v>
      </c>
      <c r="B98" s="8" t="s">
        <v>117</v>
      </c>
      <c r="C98" s="25" t="s">
        <v>150</v>
      </c>
      <c r="D98" s="16">
        <f t="shared" si="4"/>
        <v>156.59520940566506</v>
      </c>
      <c r="E98" s="52"/>
      <c r="F98" s="53">
        <v>55.810532929420468</v>
      </c>
      <c r="G98" s="52"/>
      <c r="H98" s="53">
        <v>56.85771226385981</v>
      </c>
      <c r="I98" s="53">
        <v>14.739252850457095</v>
      </c>
      <c r="J98" s="2">
        <v>29.187711361927693</v>
      </c>
      <c r="K98" s="13"/>
      <c r="L98" s="52"/>
      <c r="M98" s="52"/>
      <c r="N98" s="52"/>
      <c r="O98" s="52"/>
      <c r="P98" s="52"/>
      <c r="Q98" s="2" t="s">
        <v>27</v>
      </c>
      <c r="R98" s="13"/>
      <c r="S98" s="52"/>
      <c r="T98" s="53">
        <v>12.131999969482422</v>
      </c>
      <c r="U98" s="52"/>
      <c r="V98" s="53">
        <v>30.864000054076314</v>
      </c>
      <c r="W98" s="53">
        <v>44.344999769236892</v>
      </c>
      <c r="X98" s="53">
        <v>231.97000405192375</v>
      </c>
      <c r="Y98" s="30"/>
      <c r="Z98" s="52"/>
      <c r="AA98" s="52"/>
      <c r="AB98" s="52"/>
      <c r="AC98" s="52"/>
      <c r="AD98" s="52"/>
      <c r="AE98" s="52"/>
      <c r="AF98" s="16">
        <f t="shared" si="5"/>
        <v>319.31100384471938</v>
      </c>
    </row>
    <row r="99" spans="1:32" ht="15" customHeight="1">
      <c r="A99" s="3">
        <v>92</v>
      </c>
      <c r="B99" s="8" t="s">
        <v>118</v>
      </c>
      <c r="C99" s="25" t="s">
        <v>150</v>
      </c>
      <c r="D99" s="16">
        <f t="shared" si="4"/>
        <v>896.31818584297412</v>
      </c>
      <c r="E99" s="52"/>
      <c r="F99" s="53">
        <v>322.87812977313996</v>
      </c>
      <c r="G99" s="53">
        <v>94.281659737825393</v>
      </c>
      <c r="H99" s="53">
        <v>293.44405777979642</v>
      </c>
      <c r="I99" s="53">
        <v>57.511437190771105</v>
      </c>
      <c r="J99" s="2">
        <v>128.20290136144121</v>
      </c>
      <c r="K99" s="13"/>
      <c r="L99" s="52"/>
      <c r="M99" s="52"/>
      <c r="N99" s="52"/>
      <c r="O99" s="52"/>
      <c r="P99" s="52"/>
      <c r="Q99" s="2" t="s">
        <v>27</v>
      </c>
      <c r="R99" s="13"/>
      <c r="S99" s="52"/>
      <c r="T99" s="53">
        <v>46.278999805450439</v>
      </c>
      <c r="U99" s="53">
        <v>7.6689999252557755</v>
      </c>
      <c r="V99" s="53">
        <v>112.11499985307455</v>
      </c>
      <c r="W99" s="53">
        <v>91.527999520301819</v>
      </c>
      <c r="X99" s="53">
        <v>684.43002966046333</v>
      </c>
      <c r="Y99" s="30"/>
      <c r="Z99" s="52"/>
      <c r="AA99" s="52"/>
      <c r="AB99" s="52"/>
      <c r="AC99" s="52"/>
      <c r="AD99" s="52"/>
      <c r="AE99" s="52"/>
      <c r="AF99" s="16">
        <f t="shared" si="5"/>
        <v>942.02102876454592</v>
      </c>
    </row>
    <row r="100" spans="1:32" ht="15" customHeight="1">
      <c r="A100" s="3">
        <v>93</v>
      </c>
      <c r="B100" s="8" t="s">
        <v>119</v>
      </c>
      <c r="C100" s="25" t="s">
        <v>152</v>
      </c>
      <c r="D100" s="16">
        <f t="shared" si="4"/>
        <v>1384.340645466873</v>
      </c>
      <c r="E100" s="53">
        <v>100.60159931182861</v>
      </c>
      <c r="F100" s="53">
        <v>32.383866936147214</v>
      </c>
      <c r="G100" s="53">
        <v>98.437820063166313</v>
      </c>
      <c r="H100" s="53">
        <v>19.647739767104387</v>
      </c>
      <c r="I100" s="53">
        <v>50.792089354634285</v>
      </c>
      <c r="J100" s="2">
        <v>57.44436117478444</v>
      </c>
      <c r="K100" s="13"/>
      <c r="L100" s="53">
        <v>591.25961385488506</v>
      </c>
      <c r="M100" s="52"/>
      <c r="N100" s="53">
        <v>93.438249816387895</v>
      </c>
      <c r="O100" s="53">
        <v>171.18673441058769</v>
      </c>
      <c r="P100" s="53">
        <v>58.83484673500061</v>
      </c>
      <c r="Q100" s="2">
        <v>110.31372404234671</v>
      </c>
      <c r="R100" s="13"/>
      <c r="S100" s="53">
        <v>2.8579999804496765</v>
      </c>
      <c r="T100" s="53">
        <v>3.3379999846220016</v>
      </c>
      <c r="U100" s="53">
        <v>30.319000139832497</v>
      </c>
      <c r="V100" s="53">
        <v>9.7439999431371689</v>
      </c>
      <c r="W100" s="53">
        <v>36.341000199317932</v>
      </c>
      <c r="X100" s="53">
        <v>186.10099768638611</v>
      </c>
      <c r="Y100" s="30"/>
      <c r="Z100" s="53">
        <v>10.55400013923645</v>
      </c>
      <c r="AA100" s="52"/>
      <c r="AB100" s="53">
        <v>7.3600000850856304</v>
      </c>
      <c r="AC100" s="53">
        <v>18.840000400319695</v>
      </c>
      <c r="AD100" s="53">
        <v>15.503000184893608</v>
      </c>
      <c r="AE100" s="53">
        <v>191.46099524199963</v>
      </c>
      <c r="AF100" s="16">
        <f t="shared" si="5"/>
        <v>512.41899398528039</v>
      </c>
    </row>
    <row r="101" spans="1:32" ht="15" customHeight="1">
      <c r="A101" s="3">
        <v>94</v>
      </c>
      <c r="B101" s="8" t="s">
        <v>120</v>
      </c>
      <c r="C101" s="25" t="s">
        <v>150</v>
      </c>
      <c r="D101" s="16">
        <f t="shared" si="4"/>
        <v>238.27690194337313</v>
      </c>
      <c r="E101" s="52"/>
      <c r="F101" s="53">
        <v>89.060878941267731</v>
      </c>
      <c r="G101" s="53">
        <v>19.176387908190488</v>
      </c>
      <c r="H101" s="53">
        <v>65.608682485058907</v>
      </c>
      <c r="I101" s="53">
        <v>18.230011292457579</v>
      </c>
      <c r="J101" s="2">
        <v>46.200941316398428</v>
      </c>
      <c r="K101" s="13"/>
      <c r="L101" s="52"/>
      <c r="M101" s="52"/>
      <c r="N101" s="52"/>
      <c r="O101" s="52"/>
      <c r="P101" s="52"/>
      <c r="Q101" s="2" t="s">
        <v>27</v>
      </c>
      <c r="R101" s="13"/>
      <c r="S101" s="52"/>
      <c r="T101" s="53">
        <v>27.110999651253223</v>
      </c>
      <c r="U101" s="53">
        <v>9.0929999500513077</v>
      </c>
      <c r="V101" s="53">
        <v>85.156999297440052</v>
      </c>
      <c r="W101" s="53">
        <v>41.949000597000122</v>
      </c>
      <c r="X101" s="53">
        <v>310.55200067162514</v>
      </c>
      <c r="Y101" s="30"/>
      <c r="Z101" s="52"/>
      <c r="AA101" s="52"/>
      <c r="AB101" s="52"/>
      <c r="AC101" s="52"/>
      <c r="AD101" s="52"/>
      <c r="AE101" s="52"/>
      <c r="AF101" s="16">
        <f t="shared" si="5"/>
        <v>473.86200016736984</v>
      </c>
    </row>
    <row r="102" spans="1:32" ht="15" customHeight="1">
      <c r="A102" s="3">
        <v>95</v>
      </c>
      <c r="B102" s="8" t="s">
        <v>121</v>
      </c>
      <c r="C102" s="25" t="s">
        <v>150</v>
      </c>
      <c r="D102" s="16">
        <f t="shared" si="4"/>
        <v>119.65394512804534</v>
      </c>
      <c r="E102" s="52"/>
      <c r="F102" s="52"/>
      <c r="G102" s="53">
        <v>18.619290076494217</v>
      </c>
      <c r="H102" s="53">
        <v>53.606641767930242</v>
      </c>
      <c r="I102" s="53">
        <v>15.069956012576819</v>
      </c>
      <c r="J102" s="2">
        <v>32.358057271044053</v>
      </c>
      <c r="K102" s="13"/>
      <c r="L102" s="52"/>
      <c r="M102" s="52"/>
      <c r="N102" s="52"/>
      <c r="O102" s="52"/>
      <c r="P102" s="52"/>
      <c r="Q102" s="2" t="s">
        <v>27</v>
      </c>
      <c r="R102" s="13"/>
      <c r="S102" s="52"/>
      <c r="T102" s="52"/>
      <c r="U102" s="53">
        <v>5.3300000429153442</v>
      </c>
      <c r="V102" s="53">
        <v>50.129000743851066</v>
      </c>
      <c r="W102" s="53">
        <v>42.994000047445297</v>
      </c>
      <c r="X102" s="53">
        <v>248.7700058221817</v>
      </c>
      <c r="Y102" s="30"/>
      <c r="Z102" s="52"/>
      <c r="AA102" s="52"/>
      <c r="AB102" s="52"/>
      <c r="AC102" s="52"/>
      <c r="AD102" s="52"/>
      <c r="AE102" s="52"/>
      <c r="AF102" s="16">
        <f t="shared" si="5"/>
        <v>347.22300665639341</v>
      </c>
    </row>
    <row r="103" spans="1:32" ht="15" customHeight="1">
      <c r="A103" s="3">
        <v>96</v>
      </c>
      <c r="B103" s="8" t="s">
        <v>122</v>
      </c>
      <c r="C103" s="25" t="s">
        <v>150</v>
      </c>
      <c r="D103" s="16">
        <f t="shared" si="4"/>
        <v>329.62384216861767</v>
      </c>
      <c r="E103" s="52"/>
      <c r="F103" s="53">
        <v>156.41572021883727</v>
      </c>
      <c r="G103" s="53">
        <v>8.7376948070526126</v>
      </c>
      <c r="H103" s="53">
        <v>42.130914635121819</v>
      </c>
      <c r="I103" s="53">
        <v>54.063259083598851</v>
      </c>
      <c r="J103" s="2">
        <v>68.276253424007123</v>
      </c>
      <c r="K103" s="13"/>
      <c r="L103" s="52"/>
      <c r="M103" s="52"/>
      <c r="N103" s="52"/>
      <c r="O103" s="52"/>
      <c r="P103" s="52"/>
      <c r="Q103" s="2" t="s">
        <v>27</v>
      </c>
      <c r="R103" s="13"/>
      <c r="S103" s="52"/>
      <c r="T103" s="53">
        <v>23.678999811410904</v>
      </c>
      <c r="U103" s="53">
        <v>10.364999771118164</v>
      </c>
      <c r="V103" s="53">
        <v>31.414000481367111</v>
      </c>
      <c r="W103" s="53">
        <v>71.47200021892786</v>
      </c>
      <c r="X103" s="53">
        <v>324.61099421977997</v>
      </c>
      <c r="Y103" s="30"/>
      <c r="Z103" s="52"/>
      <c r="AA103" s="52"/>
      <c r="AB103" s="52"/>
      <c r="AC103" s="52"/>
      <c r="AD103" s="52"/>
      <c r="AE103" s="52"/>
      <c r="AF103" s="16">
        <f t="shared" si="5"/>
        <v>461.54099450260401</v>
      </c>
    </row>
    <row r="104" spans="1:32" ht="15" customHeight="1">
      <c r="A104" s="3">
        <v>97</v>
      </c>
      <c r="B104" s="8" t="s">
        <v>123</v>
      </c>
      <c r="C104" s="25" t="s">
        <v>151</v>
      </c>
      <c r="D104" s="16">
        <f t="shared" ref="D104:D127" si="6">SUM(E104:J104)+SUM(L104:Q104)</f>
        <v>941.51573999218317</v>
      </c>
      <c r="E104" s="52"/>
      <c r="F104" s="53">
        <v>446.85889998579023</v>
      </c>
      <c r="G104" s="53">
        <v>90.155316968396306</v>
      </c>
      <c r="H104" s="53">
        <v>189.24622323137521</v>
      </c>
      <c r="I104" s="53">
        <v>82.357593950271607</v>
      </c>
      <c r="J104" s="2">
        <v>132.89770585634986</v>
      </c>
      <c r="K104" s="13"/>
      <c r="L104" s="52"/>
      <c r="M104" s="52"/>
      <c r="N104" s="52"/>
      <c r="O104" s="52"/>
      <c r="P104" s="52"/>
      <c r="Q104" s="2" t="s">
        <v>27</v>
      </c>
      <c r="R104" s="13"/>
      <c r="S104" s="52"/>
      <c r="T104" s="53">
        <v>41.192999541759491</v>
      </c>
      <c r="U104" s="53">
        <v>11.749999921768904</v>
      </c>
      <c r="V104" s="53">
        <v>84.494000017642975</v>
      </c>
      <c r="W104" s="53">
        <v>75.941999971866608</v>
      </c>
      <c r="X104" s="53">
        <v>504.49600850045681</v>
      </c>
      <c r="Y104" s="30"/>
      <c r="Z104" s="52"/>
      <c r="AA104" s="52"/>
      <c r="AB104" s="52"/>
      <c r="AC104" s="52"/>
      <c r="AD104" s="52"/>
      <c r="AE104" s="52"/>
      <c r="AF104" s="16">
        <f t="shared" ref="AF104:AF127" si="7">SUM(S104:AE104)</f>
        <v>717.87500795349479</v>
      </c>
    </row>
    <row r="105" spans="1:32" ht="15" customHeight="1">
      <c r="A105" s="3">
        <v>98</v>
      </c>
      <c r="B105" s="8" t="s">
        <v>124</v>
      </c>
      <c r="C105" s="25" t="s">
        <v>151</v>
      </c>
      <c r="D105" s="16">
        <f t="shared" si="6"/>
        <v>2130.4241699162312</v>
      </c>
      <c r="E105" s="52"/>
      <c r="F105" s="53">
        <v>786.57287828660014</v>
      </c>
      <c r="G105" s="53">
        <v>94.095180332407352</v>
      </c>
      <c r="H105" s="53">
        <v>353.19618999032679</v>
      </c>
      <c r="I105" s="53">
        <v>206.795475643754</v>
      </c>
      <c r="J105" s="2">
        <v>237.59106208167634</v>
      </c>
      <c r="K105" s="13"/>
      <c r="L105" s="52"/>
      <c r="M105" s="52"/>
      <c r="N105" s="53">
        <v>304.91364783391356</v>
      </c>
      <c r="O105" s="53">
        <v>76.635509003058075</v>
      </c>
      <c r="P105" s="53">
        <v>29.003725804522634</v>
      </c>
      <c r="Q105" s="2">
        <v>41.62050093997243</v>
      </c>
      <c r="R105" s="13"/>
      <c r="S105" s="52"/>
      <c r="T105" s="53">
        <v>74.798000067472458</v>
      </c>
      <c r="U105" s="53">
        <v>23.892000027000904</v>
      </c>
      <c r="V105" s="53">
        <v>134.29700059071183</v>
      </c>
      <c r="W105" s="53">
        <v>160.65400058031082</v>
      </c>
      <c r="X105" s="53">
        <v>810.34100829809904</v>
      </c>
      <c r="Y105" s="30"/>
      <c r="Z105" s="52"/>
      <c r="AA105" s="52"/>
      <c r="AB105" s="53">
        <v>10.917000167071819</v>
      </c>
      <c r="AC105" s="53">
        <v>10.194000139832497</v>
      </c>
      <c r="AD105" s="53">
        <v>5.6969999894499779</v>
      </c>
      <c r="AE105" s="53">
        <v>60.123001098632812</v>
      </c>
      <c r="AF105" s="16">
        <f t="shared" si="7"/>
        <v>1290.9130109585822</v>
      </c>
    </row>
    <row r="106" spans="1:32" ht="15" customHeight="1">
      <c r="A106" s="3">
        <v>99</v>
      </c>
      <c r="B106" s="8" t="s">
        <v>125</v>
      </c>
      <c r="C106" s="25" t="s">
        <v>150</v>
      </c>
      <c r="D106" s="16">
        <f t="shared" si="6"/>
        <v>495.07504099614687</v>
      </c>
      <c r="E106" s="52"/>
      <c r="F106" s="53">
        <v>259.58559784889223</v>
      </c>
      <c r="G106" s="53">
        <v>70.818415969163183</v>
      </c>
      <c r="H106" s="53">
        <v>91.183200506754218</v>
      </c>
      <c r="I106" s="53">
        <v>34.42029617538676</v>
      </c>
      <c r="J106" s="2">
        <v>39.067530495950422</v>
      </c>
      <c r="K106" s="13"/>
      <c r="L106" s="52"/>
      <c r="M106" s="52"/>
      <c r="N106" s="52"/>
      <c r="O106" s="52"/>
      <c r="P106" s="52"/>
      <c r="Q106" s="2" t="s">
        <v>27</v>
      </c>
      <c r="R106" s="13"/>
      <c r="S106" s="52"/>
      <c r="T106" s="53">
        <v>24.086999893188477</v>
      </c>
      <c r="U106" s="53">
        <v>13.814999710768461</v>
      </c>
      <c r="V106" s="53">
        <v>39.238000139594078</v>
      </c>
      <c r="W106" s="53">
        <v>52.176000099629164</v>
      </c>
      <c r="X106" s="53">
        <v>202.31899516284466</v>
      </c>
      <c r="Y106" s="30"/>
      <c r="Z106" s="52"/>
      <c r="AA106" s="52"/>
      <c r="AB106" s="52"/>
      <c r="AC106" s="52"/>
      <c r="AD106" s="52"/>
      <c r="AE106" s="52"/>
      <c r="AF106" s="16">
        <f t="shared" si="7"/>
        <v>331.63499500602484</v>
      </c>
    </row>
    <row r="107" spans="1:32" ht="15" customHeight="1">
      <c r="A107" s="3">
        <v>100</v>
      </c>
      <c r="B107" s="8" t="s">
        <v>126</v>
      </c>
      <c r="C107" s="25" t="s">
        <v>151</v>
      </c>
      <c r="D107" s="16">
        <f t="shared" si="6"/>
        <v>1902.1848036853705</v>
      </c>
      <c r="E107" s="52"/>
      <c r="F107" s="53">
        <v>668.94146001090485</v>
      </c>
      <c r="G107" s="53">
        <v>52.231522451877595</v>
      </c>
      <c r="H107" s="53">
        <v>232.97011313528569</v>
      </c>
      <c r="I107" s="53">
        <v>141.50778989633918</v>
      </c>
      <c r="J107" s="2">
        <v>302.5741237581239</v>
      </c>
      <c r="K107" s="13"/>
      <c r="L107" s="52"/>
      <c r="M107" s="53">
        <v>12.369000434875488</v>
      </c>
      <c r="N107" s="53">
        <v>267.33143811753393</v>
      </c>
      <c r="O107" s="53">
        <v>108.20140425510705</v>
      </c>
      <c r="P107" s="53">
        <v>42.713497018188235</v>
      </c>
      <c r="Q107" s="2">
        <v>73.344454607134637</v>
      </c>
      <c r="R107" s="13"/>
      <c r="S107" s="52"/>
      <c r="T107" s="53">
        <v>71.969999341294169</v>
      </c>
      <c r="U107" s="53">
        <v>5.4870001077651978</v>
      </c>
      <c r="V107" s="53">
        <v>81.953999690711498</v>
      </c>
      <c r="W107" s="53">
        <v>143.79499971866608</v>
      </c>
      <c r="X107" s="53">
        <v>1220.4760399833322</v>
      </c>
      <c r="Y107" s="30"/>
      <c r="Z107" s="52"/>
      <c r="AA107" s="53">
        <v>1.0850000381469727</v>
      </c>
      <c r="AB107" s="53">
        <v>10.507000062614679</v>
      </c>
      <c r="AC107" s="53">
        <v>15.279000014066696</v>
      </c>
      <c r="AD107" s="53">
        <v>8.690000019967556</v>
      </c>
      <c r="AE107" s="53">
        <v>108.30199741572142</v>
      </c>
      <c r="AF107" s="16">
        <f t="shared" si="7"/>
        <v>1667.5450363922864</v>
      </c>
    </row>
    <row r="108" spans="1:32" ht="15" customHeight="1">
      <c r="A108" s="3">
        <v>101</v>
      </c>
      <c r="B108" s="8" t="s">
        <v>127</v>
      </c>
      <c r="C108" s="25" t="s">
        <v>150</v>
      </c>
      <c r="D108" s="16">
        <f t="shared" si="6"/>
        <v>40.156685550822019</v>
      </c>
      <c r="E108" s="52"/>
      <c r="F108" s="53">
        <v>4.3193309787511822</v>
      </c>
      <c r="G108" s="52"/>
      <c r="H108" s="53">
        <v>18.42360499471426</v>
      </c>
      <c r="I108" s="53">
        <v>5.5981179921030995</v>
      </c>
      <c r="J108" s="2">
        <v>11.815631585253474</v>
      </c>
      <c r="K108" s="13"/>
      <c r="L108" s="52"/>
      <c r="M108" s="52"/>
      <c r="N108" s="52"/>
      <c r="O108" s="52"/>
      <c r="P108" s="52"/>
      <c r="Q108" s="2" t="s">
        <v>27</v>
      </c>
      <c r="R108" s="13"/>
      <c r="S108" s="52"/>
      <c r="T108" s="53">
        <v>1.3569999933242798</v>
      </c>
      <c r="U108" s="52"/>
      <c r="V108" s="53">
        <v>25.38400012254715</v>
      </c>
      <c r="W108" s="53">
        <v>20.01600007712841</v>
      </c>
      <c r="X108" s="53">
        <v>104.59899735450745</v>
      </c>
      <c r="Y108" s="30"/>
      <c r="Z108" s="52"/>
      <c r="AA108" s="52"/>
      <c r="AB108" s="52"/>
      <c r="AC108" s="52"/>
      <c r="AD108" s="52"/>
      <c r="AE108" s="52"/>
      <c r="AF108" s="16">
        <f t="shared" si="7"/>
        <v>151.35599754750729</v>
      </c>
    </row>
    <row r="109" spans="1:32" ht="15" customHeight="1">
      <c r="A109" s="3">
        <v>102</v>
      </c>
      <c r="B109" s="8" t="s">
        <v>128</v>
      </c>
      <c r="C109" s="25" t="s">
        <v>150</v>
      </c>
      <c r="D109" s="16">
        <f t="shared" si="6"/>
        <v>1226.6025790834858</v>
      </c>
      <c r="E109" s="53">
        <v>832.69379110336308</v>
      </c>
      <c r="F109" s="53">
        <v>86.520949710652232</v>
      </c>
      <c r="G109" s="53">
        <v>94.927115819014602</v>
      </c>
      <c r="H109" s="53">
        <v>78.900019306510686</v>
      </c>
      <c r="I109" s="53">
        <v>53.282049438077955</v>
      </c>
      <c r="J109" s="2">
        <v>80.278653705867015</v>
      </c>
      <c r="K109" s="13"/>
      <c r="L109" s="52"/>
      <c r="M109" s="52"/>
      <c r="N109" s="52"/>
      <c r="O109" s="52"/>
      <c r="P109" s="52"/>
      <c r="Q109" s="2" t="s">
        <v>27</v>
      </c>
      <c r="R109" s="13"/>
      <c r="S109" s="53">
        <v>22.640999794006348</v>
      </c>
      <c r="T109" s="53">
        <v>10.295999817550182</v>
      </c>
      <c r="U109" s="53">
        <v>14.328999973833561</v>
      </c>
      <c r="V109" s="53">
        <v>29.391000509262085</v>
      </c>
      <c r="W109" s="53">
        <v>94.24699867144227</v>
      </c>
      <c r="X109" s="53">
        <v>457.82699002698064</v>
      </c>
      <c r="Y109" s="30"/>
      <c r="Z109" s="52"/>
      <c r="AA109" s="52"/>
      <c r="AB109" s="52"/>
      <c r="AC109" s="52"/>
      <c r="AD109" s="52"/>
      <c r="AE109" s="52"/>
      <c r="AF109" s="16">
        <f t="shared" si="7"/>
        <v>628.73098879307508</v>
      </c>
    </row>
    <row r="110" spans="1:32" ht="15" customHeight="1">
      <c r="A110" s="3">
        <v>103</v>
      </c>
      <c r="B110" s="8" t="s">
        <v>129</v>
      </c>
      <c r="C110" s="25" t="s">
        <v>151</v>
      </c>
      <c r="D110" s="16">
        <f t="shared" si="6"/>
        <v>907.7778846177365</v>
      </c>
      <c r="E110" s="53">
        <v>301.89805597686768</v>
      </c>
      <c r="F110" s="52"/>
      <c r="G110" s="53">
        <v>106.52278174215556</v>
      </c>
      <c r="H110" s="53">
        <v>192.61677385716885</v>
      </c>
      <c r="I110" s="53">
        <v>39.372245568573476</v>
      </c>
      <c r="J110" s="2">
        <v>93.02093934298891</v>
      </c>
      <c r="K110" s="13"/>
      <c r="L110" s="52"/>
      <c r="M110" s="52"/>
      <c r="N110" s="53">
        <v>83.80167195859552</v>
      </c>
      <c r="O110" s="53">
        <v>57.026286556124688</v>
      </c>
      <c r="P110" s="53">
        <v>4.110349964350462</v>
      </c>
      <c r="Q110" s="2">
        <v>29.408779650911491</v>
      </c>
      <c r="R110" s="13"/>
      <c r="S110" s="53">
        <v>19.709999084472656</v>
      </c>
      <c r="T110" s="52"/>
      <c r="U110" s="53">
        <v>15.250999957323074</v>
      </c>
      <c r="V110" s="53">
        <v>64.479999842122197</v>
      </c>
      <c r="W110" s="53">
        <v>37.392000302672386</v>
      </c>
      <c r="X110" s="53">
        <v>359.68700087070465</v>
      </c>
      <c r="Y110" s="30"/>
      <c r="Z110" s="52"/>
      <c r="AA110" s="52"/>
      <c r="AB110" s="53">
        <v>3.0439998917281628</v>
      </c>
      <c r="AC110" s="53">
        <v>3.7669999673962593</v>
      </c>
      <c r="AD110" s="53">
        <v>0.70499999821186066</v>
      </c>
      <c r="AE110" s="53">
        <v>39.032000195235014</v>
      </c>
      <c r="AF110" s="16">
        <f t="shared" si="7"/>
        <v>543.06800010986626</v>
      </c>
    </row>
    <row r="111" spans="1:32" ht="15" customHeight="1">
      <c r="A111" s="3">
        <v>104</v>
      </c>
      <c r="B111" s="8" t="s">
        <v>130</v>
      </c>
      <c r="C111" s="25" t="s">
        <v>150</v>
      </c>
      <c r="D111" s="16">
        <f t="shared" si="6"/>
        <v>519.57446067055469</v>
      </c>
      <c r="E111" s="52"/>
      <c r="F111" s="53">
        <v>209.53311123581975</v>
      </c>
      <c r="G111" s="52"/>
      <c r="H111" s="53">
        <v>95.895367677479982</v>
      </c>
      <c r="I111" s="53">
        <v>92.627264467731123</v>
      </c>
      <c r="J111" s="2">
        <v>121.51871728952383</v>
      </c>
      <c r="K111" s="13"/>
      <c r="L111" s="52"/>
      <c r="M111" s="52"/>
      <c r="N111" s="52"/>
      <c r="O111" s="52"/>
      <c r="P111" s="52"/>
      <c r="Q111" s="2" t="s">
        <v>27</v>
      </c>
      <c r="R111" s="13"/>
      <c r="S111" s="52"/>
      <c r="T111" s="53">
        <v>41.222999690100551</v>
      </c>
      <c r="U111" s="52"/>
      <c r="V111" s="53">
        <v>32.576000101864338</v>
      </c>
      <c r="W111" s="53">
        <v>88.695000410079956</v>
      </c>
      <c r="X111" s="53">
        <v>472.30098555237055</v>
      </c>
      <c r="Y111" s="30"/>
      <c r="Z111" s="52"/>
      <c r="AA111" s="52"/>
      <c r="AB111" s="52"/>
      <c r="AC111" s="52"/>
      <c r="AD111" s="52"/>
      <c r="AE111" s="52"/>
      <c r="AF111" s="16">
        <f t="shared" si="7"/>
        <v>634.79498575441539</v>
      </c>
    </row>
    <row r="112" spans="1:32" ht="15" customHeight="1">
      <c r="A112" s="3">
        <v>105</v>
      </c>
      <c r="B112" s="8" t="s">
        <v>131</v>
      </c>
      <c r="C112" s="25" t="s">
        <v>151</v>
      </c>
      <c r="D112" s="16">
        <f t="shared" si="6"/>
        <v>1743.4791331936592</v>
      </c>
      <c r="E112" s="53">
        <v>802.10205332279202</v>
      </c>
      <c r="F112" s="53">
        <v>28.109599781036376</v>
      </c>
      <c r="G112" s="53">
        <v>135.16677035197617</v>
      </c>
      <c r="H112" s="53">
        <v>97.983115908619013</v>
      </c>
      <c r="I112" s="53">
        <v>54.247098123619331</v>
      </c>
      <c r="J112" s="2">
        <v>50.458702822555715</v>
      </c>
      <c r="K112" s="13"/>
      <c r="L112" s="53">
        <v>173.81765034389497</v>
      </c>
      <c r="M112" s="52"/>
      <c r="N112" s="53">
        <v>184.10774563817679</v>
      </c>
      <c r="O112" s="53">
        <v>128.58733413461968</v>
      </c>
      <c r="P112" s="53">
        <v>33.024109882283959</v>
      </c>
      <c r="Q112" s="2">
        <v>55.874952884085154</v>
      </c>
      <c r="R112" s="13"/>
      <c r="S112" s="53">
        <v>22.010000228881836</v>
      </c>
      <c r="T112" s="53">
        <v>1.7139999866485596</v>
      </c>
      <c r="U112" s="53">
        <v>21.73199999332428</v>
      </c>
      <c r="V112" s="53">
        <v>45.834000096656382</v>
      </c>
      <c r="W112" s="53">
        <v>65.391001081094146</v>
      </c>
      <c r="X112" s="53">
        <v>226.4539987295866</v>
      </c>
      <c r="Y112" s="30"/>
      <c r="Z112" s="53">
        <v>4.3310000598430634</v>
      </c>
      <c r="AA112" s="52"/>
      <c r="AB112" s="53">
        <v>13.215999830514193</v>
      </c>
      <c r="AC112" s="53">
        <v>9.7580000599846244</v>
      </c>
      <c r="AD112" s="53">
        <v>7.4269999843090773</v>
      </c>
      <c r="AE112" s="53">
        <v>87.83799847215414</v>
      </c>
      <c r="AF112" s="16">
        <f t="shared" si="7"/>
        <v>505.7049985229969</v>
      </c>
    </row>
    <row r="113" spans="1:32" ht="15" customHeight="1">
      <c r="A113" s="3">
        <v>106</v>
      </c>
      <c r="B113" s="8" t="s">
        <v>132</v>
      </c>
      <c r="C113" s="25" t="s">
        <v>151</v>
      </c>
      <c r="D113" s="16">
        <f t="shared" si="6"/>
        <v>1716.5250006751305</v>
      </c>
      <c r="E113" s="53">
        <v>1016.6828552837371</v>
      </c>
      <c r="F113" s="52"/>
      <c r="G113" s="53">
        <v>247.8504294770658</v>
      </c>
      <c r="H113" s="53">
        <v>70.310963024675843</v>
      </c>
      <c r="I113" s="53">
        <v>84.793601219713693</v>
      </c>
      <c r="J113" s="2">
        <v>60.524970003358376</v>
      </c>
      <c r="K113" s="13"/>
      <c r="L113" s="52"/>
      <c r="M113" s="52"/>
      <c r="N113" s="53">
        <v>174.95037550501152</v>
      </c>
      <c r="O113" s="53">
        <v>9.6435598581433304</v>
      </c>
      <c r="P113" s="53">
        <v>20.607584899373354</v>
      </c>
      <c r="Q113" s="2">
        <v>31.160661404051343</v>
      </c>
      <c r="R113" s="13"/>
      <c r="S113" s="53">
        <v>22.329000473022461</v>
      </c>
      <c r="T113" s="52"/>
      <c r="U113" s="53">
        <v>50.500000402331352</v>
      </c>
      <c r="V113" s="53">
        <v>35.224000096321106</v>
      </c>
      <c r="W113" s="53">
        <v>114.34599974751472</v>
      </c>
      <c r="X113" s="53">
        <v>291.35100115090609</v>
      </c>
      <c r="Y113" s="30"/>
      <c r="Z113" s="52"/>
      <c r="AA113" s="52"/>
      <c r="AB113" s="53">
        <v>13.015999957919121</v>
      </c>
      <c r="AC113" s="53">
        <v>1.7339999787509441</v>
      </c>
      <c r="AD113" s="53">
        <v>8.0239999741315842</v>
      </c>
      <c r="AE113" s="53">
        <v>69.025999069213867</v>
      </c>
      <c r="AF113" s="16">
        <f t="shared" si="7"/>
        <v>605.55000085011125</v>
      </c>
    </row>
    <row r="114" spans="1:32" ht="15" customHeight="1">
      <c r="A114" s="3">
        <v>107</v>
      </c>
      <c r="B114" s="8" t="s">
        <v>133</v>
      </c>
      <c r="C114" s="25" t="s">
        <v>151</v>
      </c>
      <c r="D114" s="16">
        <f t="shared" si="6"/>
        <v>968.49172899506607</v>
      </c>
      <c r="E114" s="53">
        <v>541.77364838147162</v>
      </c>
      <c r="F114" s="52"/>
      <c r="G114" s="53">
        <v>42.717440774850544</v>
      </c>
      <c r="H114" s="53">
        <v>134.65314150617832</v>
      </c>
      <c r="I114" s="53">
        <v>40.11662654566765</v>
      </c>
      <c r="J114" s="2">
        <v>47.564943233671251</v>
      </c>
      <c r="K114" s="13"/>
      <c r="L114" s="52"/>
      <c r="M114" s="52"/>
      <c r="N114" s="52"/>
      <c r="O114" s="53">
        <v>130.15014103547671</v>
      </c>
      <c r="P114" s="53">
        <v>9.8723959371447556</v>
      </c>
      <c r="Q114" s="2">
        <v>21.643391580605424</v>
      </c>
      <c r="R114" s="13"/>
      <c r="S114" s="53">
        <v>13.711000263690948</v>
      </c>
      <c r="T114" s="52"/>
      <c r="U114" s="53">
        <v>4.3190000709146261</v>
      </c>
      <c r="V114" s="53">
        <v>46.666000030003488</v>
      </c>
      <c r="W114" s="53">
        <v>75.164000809192657</v>
      </c>
      <c r="X114" s="53">
        <v>281.19499814976007</v>
      </c>
      <c r="Y114" s="30"/>
      <c r="Z114" s="52"/>
      <c r="AA114" s="52"/>
      <c r="AB114" s="52"/>
      <c r="AC114" s="53">
        <v>19.70600023213774</v>
      </c>
      <c r="AD114" s="53">
        <v>5.5919999927282333</v>
      </c>
      <c r="AE114" s="53">
        <v>60.5949986577034</v>
      </c>
      <c r="AF114" s="16">
        <f t="shared" si="7"/>
        <v>506.94799820613116</v>
      </c>
    </row>
    <row r="115" spans="1:32" ht="15" customHeight="1">
      <c r="A115" s="3">
        <v>108</v>
      </c>
      <c r="B115" s="8" t="s">
        <v>134</v>
      </c>
      <c r="C115" s="25" t="s">
        <v>150</v>
      </c>
      <c r="D115" s="16">
        <f t="shared" si="6"/>
        <v>300.81558160022837</v>
      </c>
      <c r="E115" s="52"/>
      <c r="F115" s="52"/>
      <c r="G115" s="53">
        <v>154.50286519473792</v>
      </c>
      <c r="H115" s="53">
        <v>65.480748373746877</v>
      </c>
      <c r="I115" s="53">
        <v>36.616834225565192</v>
      </c>
      <c r="J115" s="2">
        <v>44.215133806178372</v>
      </c>
      <c r="K115" s="13"/>
      <c r="L115" s="52"/>
      <c r="M115" s="52"/>
      <c r="N115" s="52"/>
      <c r="O115" s="52"/>
      <c r="P115" s="52"/>
      <c r="Q115" s="2" t="s">
        <v>27</v>
      </c>
      <c r="R115" s="13"/>
      <c r="S115" s="52"/>
      <c r="T115" s="52"/>
      <c r="U115" s="53">
        <v>23.73600042052567</v>
      </c>
      <c r="V115" s="53">
        <v>24.176000252366066</v>
      </c>
      <c r="W115" s="53">
        <v>52.636000618338585</v>
      </c>
      <c r="X115" s="53">
        <v>221.50699623674154</v>
      </c>
      <c r="Y115" s="30"/>
      <c r="Z115" s="52"/>
      <c r="AA115" s="52"/>
      <c r="AB115" s="52"/>
      <c r="AC115" s="52"/>
      <c r="AD115" s="52"/>
      <c r="AE115" s="52"/>
      <c r="AF115" s="16">
        <f t="shared" si="7"/>
        <v>322.05499752797186</v>
      </c>
    </row>
    <row r="116" spans="1:32" ht="15" customHeight="1">
      <c r="A116" s="3">
        <v>109</v>
      </c>
      <c r="B116" s="8" t="s">
        <v>135</v>
      </c>
      <c r="C116" s="25" t="s">
        <v>151</v>
      </c>
      <c r="D116" s="16">
        <f t="shared" si="6"/>
        <v>623.53429343050277</v>
      </c>
      <c r="E116" s="52"/>
      <c r="F116" s="53">
        <v>186.43364027202131</v>
      </c>
      <c r="G116" s="53">
        <v>27.890579904317857</v>
      </c>
      <c r="H116" s="53">
        <v>55.673980208843943</v>
      </c>
      <c r="I116" s="53">
        <v>62.170653611406685</v>
      </c>
      <c r="J116" s="2">
        <v>72.762386682706605</v>
      </c>
      <c r="K116" s="13"/>
      <c r="L116" s="52"/>
      <c r="M116" s="52"/>
      <c r="N116" s="53">
        <v>79.956708309561009</v>
      </c>
      <c r="O116" s="53">
        <v>37.026950863331557</v>
      </c>
      <c r="P116" s="53">
        <v>58.41303685130179</v>
      </c>
      <c r="Q116" s="2">
        <v>43.206356727012</v>
      </c>
      <c r="R116" s="13"/>
      <c r="S116" s="52"/>
      <c r="T116" s="53">
        <v>29.317999958992004</v>
      </c>
      <c r="U116" s="53">
        <v>3.7799999713897705</v>
      </c>
      <c r="V116" s="53">
        <v>27.291000179946423</v>
      </c>
      <c r="W116" s="53">
        <v>86.876999691128731</v>
      </c>
      <c r="X116" s="53">
        <v>358.13701028376818</v>
      </c>
      <c r="Y116" s="30"/>
      <c r="Z116" s="52"/>
      <c r="AA116" s="52"/>
      <c r="AB116" s="53">
        <v>6.2619999274611473</v>
      </c>
      <c r="AC116" s="53">
        <v>5.3200001418590546</v>
      </c>
      <c r="AD116" s="53">
        <v>13.548999959602952</v>
      </c>
      <c r="AE116" s="53">
        <v>69.24600076675415</v>
      </c>
      <c r="AF116" s="16">
        <f t="shared" si="7"/>
        <v>599.78001088090241</v>
      </c>
    </row>
    <row r="117" spans="1:32" ht="15" customHeight="1">
      <c r="A117" s="3">
        <v>110</v>
      </c>
      <c r="B117" s="8" t="s">
        <v>136</v>
      </c>
      <c r="C117" s="25" t="s">
        <v>150</v>
      </c>
      <c r="D117" s="16">
        <f t="shared" si="6"/>
        <v>351.15961092288467</v>
      </c>
      <c r="E117" s="52"/>
      <c r="F117" s="53">
        <v>65.331659688949586</v>
      </c>
      <c r="G117" s="53">
        <v>62.866818149685862</v>
      </c>
      <c r="H117" s="53">
        <v>116.77725011124461</v>
      </c>
      <c r="I117" s="53">
        <v>42.612675330791625</v>
      </c>
      <c r="J117" s="2">
        <v>63.571207642212954</v>
      </c>
      <c r="K117" s="13"/>
      <c r="L117" s="52"/>
      <c r="M117" s="52"/>
      <c r="N117" s="52"/>
      <c r="O117" s="52"/>
      <c r="P117" s="52"/>
      <c r="Q117" s="2" t="s">
        <v>27</v>
      </c>
      <c r="R117" s="13"/>
      <c r="S117" s="52"/>
      <c r="T117" s="53">
        <v>14.421999931335449</v>
      </c>
      <c r="U117" s="53">
        <v>23.064000114798546</v>
      </c>
      <c r="V117" s="53">
        <v>62.165000975131989</v>
      </c>
      <c r="W117" s="53">
        <v>85.452998949214816</v>
      </c>
      <c r="X117" s="53">
        <v>392.11599656939507</v>
      </c>
      <c r="Y117" s="30"/>
      <c r="Z117" s="52"/>
      <c r="AA117" s="52"/>
      <c r="AB117" s="52"/>
      <c r="AC117" s="52"/>
      <c r="AD117" s="52"/>
      <c r="AE117" s="52"/>
      <c r="AF117" s="16">
        <f t="shared" si="7"/>
        <v>577.21999653987586</v>
      </c>
    </row>
    <row r="118" spans="1:32" ht="15" customHeight="1">
      <c r="A118" s="3">
        <v>111</v>
      </c>
      <c r="B118" s="8" t="s">
        <v>137</v>
      </c>
      <c r="C118" s="25" t="s">
        <v>150</v>
      </c>
      <c r="D118" s="16">
        <f t="shared" si="6"/>
        <v>587.91216145580393</v>
      </c>
      <c r="E118" s="53">
        <v>190.99580333232879</v>
      </c>
      <c r="F118" s="53">
        <v>146.38723820388316</v>
      </c>
      <c r="G118" s="52"/>
      <c r="H118" s="53">
        <v>60.380840223386883</v>
      </c>
      <c r="I118" s="53">
        <v>66.206575378060336</v>
      </c>
      <c r="J118" s="2">
        <v>123.94170431814469</v>
      </c>
      <c r="K118" s="13"/>
      <c r="L118" s="52"/>
      <c r="M118" s="52"/>
      <c r="N118" s="52"/>
      <c r="O118" s="52"/>
      <c r="P118" s="52"/>
      <c r="Q118" s="2" t="s">
        <v>27</v>
      </c>
      <c r="R118" s="13"/>
      <c r="S118" s="53">
        <v>12.44100022315979</v>
      </c>
      <c r="T118" s="53">
        <v>28.111999437212944</v>
      </c>
      <c r="U118" s="52"/>
      <c r="V118" s="53">
        <v>56.026000957936049</v>
      </c>
      <c r="W118" s="53">
        <v>97.865999102592468</v>
      </c>
      <c r="X118" s="53">
        <v>631.84700348600745</v>
      </c>
      <c r="Y118" s="30"/>
      <c r="Z118" s="52"/>
      <c r="AA118" s="52"/>
      <c r="AB118" s="52"/>
      <c r="AC118" s="52"/>
      <c r="AD118" s="52"/>
      <c r="AE118" s="52"/>
      <c r="AF118" s="16">
        <f t="shared" si="7"/>
        <v>826.2920032069087</v>
      </c>
    </row>
    <row r="119" spans="1:32" ht="15" customHeight="1">
      <c r="A119" s="3">
        <v>112</v>
      </c>
      <c r="B119" s="8" t="s">
        <v>138</v>
      </c>
      <c r="C119" s="25" t="s">
        <v>150</v>
      </c>
      <c r="D119" s="16">
        <f t="shared" si="6"/>
        <v>203.88717869987482</v>
      </c>
      <c r="E119" s="53">
        <v>20.649200081825256</v>
      </c>
      <c r="F119" s="52"/>
      <c r="G119" s="53">
        <v>75.000032260492446</v>
      </c>
      <c r="H119" s="53">
        <v>56.038936558604242</v>
      </c>
      <c r="I119" s="53">
        <v>22.549103246450425</v>
      </c>
      <c r="J119" s="2">
        <v>29.649906552502461</v>
      </c>
      <c r="K119" s="13"/>
      <c r="L119" s="52"/>
      <c r="M119" s="52"/>
      <c r="N119" s="52"/>
      <c r="O119" s="52"/>
      <c r="P119" s="52"/>
      <c r="Q119" s="2" t="s">
        <v>27</v>
      </c>
      <c r="R119" s="13"/>
      <c r="S119" s="53">
        <v>0.72200000286102295</v>
      </c>
      <c r="T119" s="52"/>
      <c r="U119" s="53">
        <v>19.369000062346458</v>
      </c>
      <c r="V119" s="53">
        <v>17.693000257015228</v>
      </c>
      <c r="W119" s="53">
        <v>43.323000431060791</v>
      </c>
      <c r="X119" s="53">
        <v>178.05599976703525</v>
      </c>
      <c r="Y119" s="30"/>
      <c r="Z119" s="52"/>
      <c r="AA119" s="52"/>
      <c r="AB119" s="52"/>
      <c r="AC119" s="52"/>
      <c r="AD119" s="52"/>
      <c r="AE119" s="52"/>
      <c r="AF119" s="16">
        <f t="shared" si="7"/>
        <v>259.16300052031875</v>
      </c>
    </row>
    <row r="120" spans="1:32" ht="15" customHeight="1">
      <c r="A120" s="3">
        <v>113</v>
      </c>
      <c r="B120" s="8" t="s">
        <v>139</v>
      </c>
      <c r="C120" s="25" t="s">
        <v>150</v>
      </c>
      <c r="D120" s="16">
        <f t="shared" si="6"/>
        <v>416.1657393142429</v>
      </c>
      <c r="E120" s="52"/>
      <c r="F120" s="53">
        <v>144.13744332405923</v>
      </c>
      <c r="G120" s="53">
        <v>72.659444855004551</v>
      </c>
      <c r="H120" s="53">
        <v>41.141190210163593</v>
      </c>
      <c r="I120" s="53">
        <v>63.781210867565122</v>
      </c>
      <c r="J120" s="2">
        <v>94.44645005745042</v>
      </c>
      <c r="K120" s="13"/>
      <c r="L120" s="52"/>
      <c r="M120" s="52"/>
      <c r="N120" s="52"/>
      <c r="O120" s="52"/>
      <c r="P120" s="52"/>
      <c r="Q120" s="2" t="s">
        <v>27</v>
      </c>
      <c r="R120" s="13"/>
      <c r="S120" s="52"/>
      <c r="T120" s="53">
        <v>26.344999838620424</v>
      </c>
      <c r="U120" s="53">
        <v>27.23400004580617</v>
      </c>
      <c r="V120" s="53">
        <v>30.482000276446342</v>
      </c>
      <c r="W120" s="53">
        <v>79.673998652026057</v>
      </c>
      <c r="X120" s="53">
        <v>433.41400583088398</v>
      </c>
      <c r="Y120" s="30"/>
      <c r="Z120" s="52"/>
      <c r="AA120" s="52"/>
      <c r="AB120" s="52"/>
      <c r="AC120" s="52"/>
      <c r="AD120" s="52"/>
      <c r="AE120" s="52"/>
      <c r="AF120" s="16">
        <f t="shared" si="7"/>
        <v>597.14900464378297</v>
      </c>
    </row>
    <row r="121" spans="1:32" ht="15" customHeight="1">
      <c r="A121" s="3">
        <v>114</v>
      </c>
      <c r="B121" s="8" t="s">
        <v>140</v>
      </c>
      <c r="C121" s="25" t="s">
        <v>151</v>
      </c>
      <c r="D121" s="16">
        <f t="shared" si="6"/>
        <v>3650.5605217228299</v>
      </c>
      <c r="E121" s="53">
        <v>944.37558857727049</v>
      </c>
      <c r="F121" s="53">
        <v>252.61717478051781</v>
      </c>
      <c r="G121" s="53">
        <v>109.57433856970071</v>
      </c>
      <c r="H121" s="53">
        <v>218.67436519233883</v>
      </c>
      <c r="I121" s="53">
        <v>145.56888276717066</v>
      </c>
      <c r="J121" s="2">
        <v>154.43958879356941</v>
      </c>
      <c r="K121" s="13"/>
      <c r="L121" s="53">
        <v>345.68145864439009</v>
      </c>
      <c r="M121" s="53">
        <v>108.81594482815265</v>
      </c>
      <c r="N121" s="53">
        <v>394.95401217637493</v>
      </c>
      <c r="O121" s="53">
        <v>492.1756383433696</v>
      </c>
      <c r="P121" s="53">
        <v>222.81590942041379</v>
      </c>
      <c r="Q121" s="2">
        <v>260.86761962956075</v>
      </c>
      <c r="R121" s="13"/>
      <c r="S121" s="53">
        <v>21.822999954223633</v>
      </c>
      <c r="T121" s="53">
        <v>24.190000660717487</v>
      </c>
      <c r="U121" s="53">
        <v>22.479999840259552</v>
      </c>
      <c r="V121" s="53">
        <v>52.6049999371171</v>
      </c>
      <c r="W121" s="53">
        <v>147.50799965858459</v>
      </c>
      <c r="X121" s="53">
        <v>621.86497423052788</v>
      </c>
      <c r="Y121" s="30"/>
      <c r="Z121" s="53">
        <v>7.3560000658035278</v>
      </c>
      <c r="AA121" s="53">
        <v>7.4220000207424164</v>
      </c>
      <c r="AB121" s="53">
        <v>18.444000107701868</v>
      </c>
      <c r="AC121" s="53">
        <v>31.906000141985714</v>
      </c>
      <c r="AD121" s="53">
        <v>33.576999982702546</v>
      </c>
      <c r="AE121" s="53">
        <v>319.33100172877312</v>
      </c>
      <c r="AF121" s="16">
        <f t="shared" si="7"/>
        <v>1308.5069763291394</v>
      </c>
    </row>
    <row r="122" spans="1:32" ht="15" customHeight="1">
      <c r="A122" s="3">
        <v>115</v>
      </c>
      <c r="B122" s="8" t="s">
        <v>141</v>
      </c>
      <c r="C122" s="25" t="s">
        <v>150</v>
      </c>
      <c r="D122" s="16">
        <f t="shared" si="6"/>
        <v>374.72960130962559</v>
      </c>
      <c r="E122" s="52"/>
      <c r="F122" s="53">
        <v>153.83027906695008</v>
      </c>
      <c r="G122" s="53">
        <v>104.98519524133205</v>
      </c>
      <c r="H122" s="53">
        <v>45.910235321089623</v>
      </c>
      <c r="I122" s="53">
        <v>28.769356790482998</v>
      </c>
      <c r="J122" s="2">
        <v>41.234534889770842</v>
      </c>
      <c r="K122" s="13"/>
      <c r="L122" s="52"/>
      <c r="M122" s="52"/>
      <c r="N122" s="52"/>
      <c r="O122" s="52"/>
      <c r="P122" s="52"/>
      <c r="Q122" s="2" t="s">
        <v>27</v>
      </c>
      <c r="R122" s="13"/>
      <c r="S122" s="52"/>
      <c r="T122" s="53">
        <v>24.828999981284142</v>
      </c>
      <c r="U122" s="53">
        <v>20.892000272870064</v>
      </c>
      <c r="V122" s="53">
        <v>39.648999664932489</v>
      </c>
      <c r="W122" s="53">
        <v>70.891999810934067</v>
      </c>
      <c r="X122" s="53">
        <v>289.281997513026</v>
      </c>
      <c r="Y122" s="30"/>
      <c r="Z122" s="52"/>
      <c r="AA122" s="52"/>
      <c r="AB122" s="52"/>
      <c r="AC122" s="52"/>
      <c r="AD122" s="52"/>
      <c r="AE122" s="52"/>
      <c r="AF122" s="16">
        <f t="shared" si="7"/>
        <v>445.54399724304676</v>
      </c>
    </row>
    <row r="123" spans="1:32" ht="15" customHeight="1">
      <c r="A123" s="3">
        <v>116</v>
      </c>
      <c r="B123" s="8" t="s">
        <v>142</v>
      </c>
      <c r="C123" s="25" t="s">
        <v>151</v>
      </c>
      <c r="D123" s="16">
        <f t="shared" si="6"/>
        <v>522.13308123467834</v>
      </c>
      <c r="E123" s="52"/>
      <c r="F123" s="52"/>
      <c r="G123" s="53">
        <v>168.768551800251</v>
      </c>
      <c r="H123" s="53">
        <v>24.487100162357091</v>
      </c>
      <c r="I123" s="53">
        <v>92.733785684168339</v>
      </c>
      <c r="J123" s="2">
        <v>90.228122268651489</v>
      </c>
      <c r="K123" s="13"/>
      <c r="L123" s="52"/>
      <c r="M123" s="52"/>
      <c r="N123" s="53">
        <v>54.756090528845789</v>
      </c>
      <c r="O123" s="53">
        <v>66.11846632610262</v>
      </c>
      <c r="P123" s="53">
        <v>8.0777480518296354</v>
      </c>
      <c r="Q123" s="2">
        <v>16.963216412472406</v>
      </c>
      <c r="R123" s="13"/>
      <c r="S123" s="52"/>
      <c r="T123" s="52"/>
      <c r="U123" s="53">
        <v>20.210999548435211</v>
      </c>
      <c r="V123" s="53">
        <v>12.252000108361244</v>
      </c>
      <c r="W123" s="53">
        <v>135.92999976873398</v>
      </c>
      <c r="X123" s="53">
        <v>457.56600594520569</v>
      </c>
      <c r="Y123" s="30"/>
      <c r="Z123" s="52"/>
      <c r="AA123" s="52"/>
      <c r="AB123" s="53">
        <v>5.0240000486373901</v>
      </c>
      <c r="AC123" s="53">
        <v>6.076000027358532</v>
      </c>
      <c r="AD123" s="53">
        <v>4.213000014424324</v>
      </c>
      <c r="AE123" s="53">
        <v>45.104999732226133</v>
      </c>
      <c r="AF123" s="16">
        <f t="shared" si="7"/>
        <v>686.3770051933825</v>
      </c>
    </row>
    <row r="124" spans="1:32" ht="15" customHeight="1">
      <c r="A124" s="3">
        <v>117</v>
      </c>
      <c r="B124" s="8" t="s">
        <v>143</v>
      </c>
      <c r="C124" s="25" t="s">
        <v>150</v>
      </c>
      <c r="D124" s="16">
        <f t="shared" si="6"/>
        <v>508.6333669998869</v>
      </c>
      <c r="E124" s="52"/>
      <c r="F124" s="53">
        <v>138.62371261596681</v>
      </c>
      <c r="G124" s="53">
        <v>88.652372961431738</v>
      </c>
      <c r="H124" s="53">
        <v>157.40129420891776</v>
      </c>
      <c r="I124" s="53">
        <v>51.32762226882577</v>
      </c>
      <c r="J124" s="2">
        <v>72.628364944744845</v>
      </c>
      <c r="K124" s="13"/>
      <c r="L124" s="52"/>
      <c r="M124" s="52"/>
      <c r="N124" s="52"/>
      <c r="O124" s="52"/>
      <c r="P124" s="52"/>
      <c r="Q124" s="2" t="s">
        <v>27</v>
      </c>
      <c r="R124" s="13"/>
      <c r="S124" s="52"/>
      <c r="T124" s="53">
        <v>10.302000045776367</v>
      </c>
      <c r="U124" s="53">
        <v>27.700999721884727</v>
      </c>
      <c r="V124" s="53">
        <v>67.111999331042171</v>
      </c>
      <c r="W124" s="53">
        <v>92.576000779867172</v>
      </c>
      <c r="X124" s="53">
        <v>419.27001093327999</v>
      </c>
      <c r="Y124" s="30"/>
      <c r="Z124" s="52"/>
      <c r="AA124" s="52"/>
      <c r="AB124" s="52"/>
      <c r="AC124" s="52"/>
      <c r="AD124" s="52"/>
      <c r="AE124" s="52"/>
      <c r="AF124" s="16">
        <f t="shared" si="7"/>
        <v>616.96101081185043</v>
      </c>
    </row>
    <row r="125" spans="1:32" ht="15" customHeight="1">
      <c r="A125" s="3">
        <v>118</v>
      </c>
      <c r="B125" s="8" t="s">
        <v>144</v>
      </c>
      <c r="C125" s="25" t="s">
        <v>151</v>
      </c>
      <c r="D125" s="16">
        <f t="shared" si="6"/>
        <v>1458.1504836952524</v>
      </c>
      <c r="E125" s="53">
        <v>643.9263103517294</v>
      </c>
      <c r="F125" s="53">
        <v>1.1230700172483921</v>
      </c>
      <c r="G125" s="53">
        <v>60.261950666785239</v>
      </c>
      <c r="H125" s="53">
        <v>217.08897420951723</v>
      </c>
      <c r="I125" s="53">
        <v>64.469407925128934</v>
      </c>
      <c r="J125" s="2">
        <v>120.16411844399421</v>
      </c>
      <c r="K125" s="13"/>
      <c r="L125" s="53">
        <v>124.97281939888001</v>
      </c>
      <c r="M125" s="52"/>
      <c r="N125" s="53">
        <v>30.38448967564106</v>
      </c>
      <c r="O125" s="53">
        <v>133.73315447467192</v>
      </c>
      <c r="P125" s="53">
        <v>31.945172351203858</v>
      </c>
      <c r="Q125" s="2">
        <v>30.081016180452195</v>
      </c>
      <c r="R125" s="13"/>
      <c r="S125" s="53">
        <v>24.369999915361404</v>
      </c>
      <c r="T125" s="53">
        <v>0.16300000250339508</v>
      </c>
      <c r="U125" s="53">
        <v>16.026000052690506</v>
      </c>
      <c r="V125" s="53">
        <v>78.570999704301357</v>
      </c>
      <c r="W125" s="53">
        <v>82.649999558925629</v>
      </c>
      <c r="X125" s="53">
        <v>560.44200643897057</v>
      </c>
      <c r="Y125" s="30"/>
      <c r="Z125" s="53">
        <v>3.5729999542236328</v>
      </c>
      <c r="AA125" s="52"/>
      <c r="AB125" s="53">
        <v>2.9889999628067017</v>
      </c>
      <c r="AC125" s="53">
        <v>15.302000151947141</v>
      </c>
      <c r="AD125" s="53">
        <v>14.136000050231814</v>
      </c>
      <c r="AE125" s="53">
        <v>72.178998485207558</v>
      </c>
      <c r="AF125" s="16">
        <f t="shared" si="7"/>
        <v>870.4010042771697</v>
      </c>
    </row>
    <row r="126" spans="1:32" ht="15" customHeight="1">
      <c r="A126" s="3">
        <v>119</v>
      </c>
      <c r="B126" s="8" t="s">
        <v>145</v>
      </c>
      <c r="C126" s="25" t="s">
        <v>150</v>
      </c>
      <c r="D126" s="16">
        <f t="shared" si="6"/>
        <v>319.67426592083694</v>
      </c>
      <c r="E126" s="52"/>
      <c r="F126" s="53">
        <v>179.06962748646737</v>
      </c>
      <c r="G126" s="53">
        <v>15.537869651317596</v>
      </c>
      <c r="H126" s="53">
        <v>72.770412893816825</v>
      </c>
      <c r="I126" s="53">
        <v>20.901861129254101</v>
      </c>
      <c r="J126" s="2">
        <v>31.394494759981054</v>
      </c>
      <c r="K126" s="13"/>
      <c r="L126" s="52"/>
      <c r="M126" s="52"/>
      <c r="N126" s="52"/>
      <c r="O126" s="52"/>
      <c r="P126" s="52"/>
      <c r="Q126" s="2" t="s">
        <v>27</v>
      </c>
      <c r="R126" s="13"/>
      <c r="S126" s="52"/>
      <c r="T126" s="53">
        <v>32.431999891996384</v>
      </c>
      <c r="U126" s="53">
        <v>7.3539998531341553</v>
      </c>
      <c r="V126" s="53">
        <v>50.114999853074551</v>
      </c>
      <c r="W126" s="53">
        <v>53.245000280439854</v>
      </c>
      <c r="X126" s="53">
        <v>224.8680068384856</v>
      </c>
      <c r="Y126" s="30"/>
      <c r="Z126" s="52"/>
      <c r="AA126" s="52"/>
      <c r="AB126" s="52"/>
      <c r="AC126" s="52"/>
      <c r="AD126" s="52"/>
      <c r="AE126" s="52"/>
      <c r="AF126" s="16">
        <f t="shared" si="7"/>
        <v>368.01400671713054</v>
      </c>
    </row>
    <row r="127" spans="1:32" ht="15" customHeight="1">
      <c r="A127" s="3">
        <v>120</v>
      </c>
      <c r="B127" s="8" t="s">
        <v>146</v>
      </c>
      <c r="C127" s="25" t="s">
        <v>151</v>
      </c>
      <c r="D127" s="16">
        <f t="shared" si="6"/>
        <v>1049.9698574346478</v>
      </c>
      <c r="E127" s="53">
        <v>260.72743147945403</v>
      </c>
      <c r="F127" s="53">
        <v>379.74901357901098</v>
      </c>
      <c r="G127" s="53">
        <v>46.913910193741323</v>
      </c>
      <c r="H127" s="53">
        <v>107.0340396977067</v>
      </c>
      <c r="I127" s="53">
        <v>46.096349209517243</v>
      </c>
      <c r="J127" s="2">
        <v>32.108015182687737</v>
      </c>
      <c r="K127" s="13"/>
      <c r="L127" s="52"/>
      <c r="M127" s="52"/>
      <c r="N127" s="53">
        <v>54.219200679659842</v>
      </c>
      <c r="O127" s="53">
        <v>58.41878999187518</v>
      </c>
      <c r="P127" s="53">
        <v>32.816055001393892</v>
      </c>
      <c r="Q127" s="2">
        <v>31.887052419600757</v>
      </c>
      <c r="R127" s="13"/>
      <c r="S127" s="53">
        <v>7.6750001907348633</v>
      </c>
      <c r="T127" s="53">
        <v>19.718000158667564</v>
      </c>
      <c r="U127" s="53">
        <v>7.759000027552247</v>
      </c>
      <c r="V127" s="53">
        <v>36.345999799668789</v>
      </c>
      <c r="W127" s="53">
        <v>56.535000070929527</v>
      </c>
      <c r="X127" s="53">
        <v>145.66299639642239</v>
      </c>
      <c r="Y127" s="30"/>
      <c r="Z127" s="52"/>
      <c r="AA127" s="52"/>
      <c r="AB127" s="53">
        <v>2.5080000311136246</v>
      </c>
      <c r="AC127" s="53">
        <v>7.0269998515723273</v>
      </c>
      <c r="AD127" s="53">
        <v>7.0139999630628154</v>
      </c>
      <c r="AE127" s="53">
        <v>48.559000194072723</v>
      </c>
      <c r="AF127" s="16">
        <f t="shared" si="7"/>
        <v>338.80399668379687</v>
      </c>
    </row>
    <row r="128" spans="1:32" s="42" customFormat="1" ht="15.75">
      <c r="A128" s="32"/>
      <c r="B128" s="33"/>
      <c r="C128" s="34"/>
      <c r="D128" s="35"/>
      <c r="E128" s="36"/>
      <c r="F128" s="36"/>
      <c r="G128" s="36"/>
      <c r="H128" s="36"/>
      <c r="I128" s="36"/>
      <c r="J128" s="37"/>
      <c r="K128" s="38"/>
      <c r="L128" s="39"/>
      <c r="M128" s="39"/>
      <c r="N128" s="39"/>
      <c r="O128" s="39"/>
      <c r="P128" s="39"/>
      <c r="Q128" s="37"/>
      <c r="R128" s="38"/>
      <c r="S128" s="40"/>
      <c r="T128" s="40"/>
      <c r="U128" s="40"/>
      <c r="V128" s="40"/>
      <c r="W128" s="40"/>
      <c r="X128" s="41"/>
      <c r="Y128" s="41"/>
      <c r="Z128" s="40"/>
      <c r="AA128" s="40"/>
      <c r="AB128" s="40"/>
      <c r="AC128" s="40"/>
      <c r="AD128" s="40"/>
      <c r="AE128" s="41"/>
      <c r="AF128" s="35"/>
    </row>
    <row r="129" spans="1:32" ht="15.75">
      <c r="A129" s="3"/>
      <c r="B129" s="1" t="s">
        <v>147</v>
      </c>
      <c r="C129" s="20"/>
      <c r="D129" s="16">
        <f t="shared" ref="D129:J129" si="8">SUM(D8:D127)</f>
        <v>129948.20180325116</v>
      </c>
      <c r="E129" s="16">
        <f t="shared" si="8"/>
        <v>18104.189322973849</v>
      </c>
      <c r="F129" s="16">
        <f t="shared" si="8"/>
        <v>19356.639624774081</v>
      </c>
      <c r="G129" s="16">
        <f t="shared" si="8"/>
        <v>7964.7482186845773</v>
      </c>
      <c r="H129" s="16">
        <f t="shared" si="8"/>
        <v>13667.294081090617</v>
      </c>
      <c r="I129" s="16">
        <f t="shared" si="8"/>
        <v>6562.3422657227857</v>
      </c>
      <c r="J129" s="16">
        <f t="shared" si="8"/>
        <v>9336.0997627496145</v>
      </c>
      <c r="K129" s="45"/>
      <c r="L129" s="16">
        <f t="shared" ref="L129:Q129" si="9">SUM(L8:L127)</f>
        <v>16616.389493141083</v>
      </c>
      <c r="M129" s="16">
        <f t="shared" si="9"/>
        <v>2112.9172562087178</v>
      </c>
      <c r="N129" s="16">
        <f t="shared" si="9"/>
        <v>15461.06613009785</v>
      </c>
      <c r="O129" s="16">
        <f t="shared" si="9"/>
        <v>10289.447930980865</v>
      </c>
      <c r="P129" s="16">
        <f t="shared" si="9"/>
        <v>4568.1296615840865</v>
      </c>
      <c r="Q129" s="16">
        <f t="shared" si="9"/>
        <v>5908.9380552430039</v>
      </c>
      <c r="R129" s="45"/>
      <c r="S129" s="16">
        <f t="shared" ref="S129:AF129" si="10">SUM(S8:S127)</f>
        <v>553.02600181102753</v>
      </c>
      <c r="T129" s="16">
        <f t="shared" si="10"/>
        <v>2338.4239974112716</v>
      </c>
      <c r="U129" s="16">
        <f t="shared" si="10"/>
        <v>1723.8610000992194</v>
      </c>
      <c r="V129" s="16">
        <f t="shared" si="10"/>
        <v>6153.0250094523653</v>
      </c>
      <c r="W129" s="16">
        <f t="shared" si="10"/>
        <v>8956.0890037681675</v>
      </c>
      <c r="X129" s="16">
        <f t="shared" si="10"/>
        <v>45662.340122141642</v>
      </c>
      <c r="Y129" s="16"/>
      <c r="Z129" s="16">
        <f t="shared" si="10"/>
        <v>209.36200030893087</v>
      </c>
      <c r="AA129" s="16">
        <f t="shared" si="10"/>
        <v>64.880000069737434</v>
      </c>
      <c r="AB129" s="16">
        <f t="shared" si="10"/>
        <v>780.28400001488626</v>
      </c>
      <c r="AC129" s="16">
        <f t="shared" si="10"/>
        <v>1014.0889997930499</v>
      </c>
      <c r="AD129" s="16">
        <f t="shared" si="10"/>
        <v>954.46900017524604</v>
      </c>
      <c r="AE129" s="16">
        <f t="shared" si="10"/>
        <v>8954.9880411550403</v>
      </c>
      <c r="AF129" s="16">
        <f t="shared" si="10"/>
        <v>77364.837176200585</v>
      </c>
    </row>
    <row r="130" spans="1:32" ht="15.75">
      <c r="A130" s="3"/>
      <c r="B130" s="43" t="s">
        <v>160</v>
      </c>
      <c r="C130" s="20"/>
      <c r="D130" s="16"/>
      <c r="E130" s="44">
        <f>E129/$D$129</f>
        <v>0.13931850592580422</v>
      </c>
      <c r="F130" s="44">
        <f t="shared" ref="F130:Q130" si="11">F129/$D$129</f>
        <v>0.14895657928442224</v>
      </c>
      <c r="G130" s="44">
        <f t="shared" si="11"/>
        <v>6.1291715530959419E-2</v>
      </c>
      <c r="H130" s="44">
        <f t="shared" si="11"/>
        <v>0.10517493810174969</v>
      </c>
      <c r="I130" s="44">
        <f t="shared" si="11"/>
        <v>5.0499677368822223E-2</v>
      </c>
      <c r="J130" s="44">
        <f t="shared" si="11"/>
        <v>7.1844778405514162E-2</v>
      </c>
      <c r="K130" s="44"/>
      <c r="L130" s="44">
        <f t="shared" si="11"/>
        <v>0.12786932995270858</v>
      </c>
      <c r="M130" s="44">
        <f t="shared" si="11"/>
        <v>1.6259688298017334E-2</v>
      </c>
      <c r="N130" s="44">
        <f t="shared" si="11"/>
        <v>0.11897868470320788</v>
      </c>
      <c r="O130" s="44">
        <f t="shared" si="11"/>
        <v>7.9181149013201932E-2</v>
      </c>
      <c r="P130" s="44">
        <f t="shared" si="11"/>
        <v>3.5153465751688436E-2</v>
      </c>
      <c r="Q130" s="44">
        <f t="shared" si="11"/>
        <v>4.5471487663903701E-2</v>
      </c>
      <c r="R130" s="15"/>
      <c r="S130" s="44">
        <f>S129/$AF$129</f>
        <v>7.1482862498824283E-3</v>
      </c>
      <c r="T130" s="44">
        <f t="shared" ref="T130:AE130" si="12">T129/$AF$129</f>
        <v>3.0225927989552221E-2</v>
      </c>
      <c r="U130" s="44">
        <f t="shared" si="12"/>
        <v>2.228222876205475E-2</v>
      </c>
      <c r="V130" s="44">
        <f t="shared" si="12"/>
        <v>7.9532578805002571E-2</v>
      </c>
      <c r="W130" s="44">
        <f t="shared" si="12"/>
        <v>0.11576433597824841</v>
      </c>
      <c r="X130" s="44">
        <f t="shared" si="12"/>
        <v>0.59022085211844222</v>
      </c>
      <c r="Y130" s="44"/>
      <c r="Z130" s="44">
        <f t="shared" si="12"/>
        <v>2.7061648153165895E-3</v>
      </c>
      <c r="AA130" s="44">
        <f t="shared" si="12"/>
        <v>8.3862388182852907E-4</v>
      </c>
      <c r="AB130" s="44">
        <f t="shared" si="12"/>
        <v>1.0085770596760484E-2</v>
      </c>
      <c r="AC130" s="44">
        <f t="shared" si="12"/>
        <v>1.3107879972440629E-2</v>
      </c>
      <c r="AD130" s="44">
        <f t="shared" si="12"/>
        <v>1.2337245640437608E-2</v>
      </c>
      <c r="AE130" s="44">
        <f t="shared" si="12"/>
        <v>0.11575010519003361</v>
      </c>
      <c r="AF130" s="44"/>
    </row>
    <row r="131" spans="1:32" ht="12" customHeight="1">
      <c r="B131" s="10"/>
    </row>
    <row r="132" spans="1:32" ht="12" customHeight="1">
      <c r="AE132" s="47"/>
    </row>
    <row r="133" spans="1:32" ht="12" customHeight="1">
      <c r="AE133" s="47"/>
    </row>
    <row r="134" spans="1:32" ht="12" customHeight="1">
      <c r="AE134" s="47"/>
    </row>
    <row r="135" spans="1:32" ht="12" customHeight="1">
      <c r="AE135" s="47"/>
    </row>
    <row r="136" spans="1:32" ht="12" customHeight="1">
      <c r="AE136" s="47"/>
    </row>
    <row r="137" spans="1:32" ht="12" customHeight="1">
      <c r="AE137" s="47"/>
    </row>
    <row r="138" spans="1:32" ht="12" customHeight="1">
      <c r="AE138" s="47"/>
    </row>
    <row r="139" spans="1:32" ht="12" customHeight="1">
      <c r="AE139" s="47"/>
    </row>
    <row r="140" spans="1:32" ht="12" customHeight="1">
      <c r="AE140" s="47"/>
    </row>
    <row r="141" spans="1:32" ht="12" customHeight="1">
      <c r="AE141" s="47"/>
    </row>
  </sheetData>
  <mergeCells count="4">
    <mergeCell ref="Z5:AE5"/>
    <mergeCell ref="E5:J5"/>
    <mergeCell ref="L5:Q5"/>
    <mergeCell ref="S5:X5"/>
  </mergeCells>
  <phoneticPr fontId="19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DEE3C4-2EA0-45ED-8AC2-BA997C2CEBE8}"/>
</file>

<file path=customXml/itemProps2.xml><?xml version="1.0" encoding="utf-8"?>
<ds:datastoreItem xmlns:ds="http://schemas.openxmlformats.org/officeDocument/2006/customXml" ds:itemID="{9722AA01-3164-4B6F-AD25-DFA156492CB3}"/>
</file>

<file path=customXml/itemProps3.xml><?xml version="1.0" encoding="utf-8"?>
<ds:datastoreItem xmlns:ds="http://schemas.openxmlformats.org/officeDocument/2006/customXml" ds:itemID="{31B0EA26-BEB1-4883-A725-1F4C01C68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cp:lastPrinted>2004-09-16T21:44:06Z</cp:lastPrinted>
  <dcterms:created xsi:type="dcterms:W3CDTF">2000-09-06T17:52:56Z</dcterms:created>
  <dcterms:modified xsi:type="dcterms:W3CDTF">2013-08-20T20:14:39Z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