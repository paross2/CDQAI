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325" yWindow="-180" windowWidth="5505" windowHeight="7020"/>
  </bookViews>
  <sheets>
    <sheet name="2002" sheetId="14" r:id="rId1"/>
  </sheets>
  <definedNames>
    <definedName name="_xlnm._FilterDatabase" localSheetId="0" hidden="1">'2002'!$A$1:$AC$129</definedName>
    <definedName name="_xlnm.Print_Titles" localSheetId="0">'2002'!$A:$B,'2002'!$4:$6</definedName>
    <definedName name="Z_42EEE160_96A8_11D3_9088_00C04FACEB10_.wvu.PrintTitles" localSheetId="0" hidden="1">'2002'!$A:$B,'2002'!$4:$6</definedName>
    <definedName name="Z_9B35B1A4_5380_11D4_9606_00B0D02CABC0_.wvu.FilterData" localSheetId="0" hidden="1">'2002'!$A$2:$AC$126</definedName>
    <definedName name="Z_9B35B1A4_5380_11D4_9606_00B0D02CABC0_.wvu.PrintTitles" localSheetId="0" hidden="1">'2002'!$A:$B,'2002'!$4:$6</definedName>
  </definedNames>
  <calcPr calcId="125725" fullCalcOnLoad="1"/>
</workbook>
</file>

<file path=xl/calcChain.xml><?xml version="1.0" encoding="utf-8"?>
<calcChain xmlns="http://schemas.openxmlformats.org/spreadsheetml/2006/main">
  <c r="D7" i="14"/>
  <c r="AC7"/>
  <c r="D8"/>
  <c r="D128" s="1"/>
  <c r="AC8"/>
  <c r="AC128" s="1"/>
  <c r="D9"/>
  <c r="AC9"/>
  <c r="D10"/>
  <c r="AC10"/>
  <c r="D11"/>
  <c r="AC11"/>
  <c r="D12"/>
  <c r="AC12"/>
  <c r="D13"/>
  <c r="AC13"/>
  <c r="D14"/>
  <c r="AC14"/>
  <c r="D15"/>
  <c r="AC15"/>
  <c r="D16"/>
  <c r="AC16"/>
  <c r="D17"/>
  <c r="AC17"/>
  <c r="D18"/>
  <c r="AC18"/>
  <c r="D19"/>
  <c r="AC19"/>
  <c r="D20"/>
  <c r="AC20"/>
  <c r="D21"/>
  <c r="AC21"/>
  <c r="D22"/>
  <c r="AC22"/>
  <c r="D23"/>
  <c r="AC23"/>
  <c r="D24"/>
  <c r="AC24"/>
  <c r="D25"/>
  <c r="AC25"/>
  <c r="D26"/>
  <c r="AC26"/>
  <c r="D27"/>
  <c r="AC27"/>
  <c r="D28"/>
  <c r="AC28"/>
  <c r="D29"/>
  <c r="AC29"/>
  <c r="D30"/>
  <c r="AC30"/>
  <c r="D31"/>
  <c r="AC31"/>
  <c r="D32"/>
  <c r="AC32"/>
  <c r="D33"/>
  <c r="AC33"/>
  <c r="D34"/>
  <c r="AC34"/>
  <c r="D35"/>
  <c r="AC35"/>
  <c r="D36"/>
  <c r="AC36"/>
  <c r="D37"/>
  <c r="AC37"/>
  <c r="D38"/>
  <c r="AC38"/>
  <c r="D39"/>
  <c r="AC39"/>
  <c r="D40"/>
  <c r="AC40"/>
  <c r="D41"/>
  <c r="AC41"/>
  <c r="D42"/>
  <c r="AC42"/>
  <c r="D43"/>
  <c r="AC43"/>
  <c r="D44"/>
  <c r="AC44"/>
  <c r="D45"/>
  <c r="AC45"/>
  <c r="D46"/>
  <c r="AC46"/>
  <c r="D47"/>
  <c r="AC47"/>
  <c r="D48"/>
  <c r="AC48"/>
  <c r="D49"/>
  <c r="AC49"/>
  <c r="D50"/>
  <c r="AC50"/>
  <c r="D51"/>
  <c r="AC51"/>
  <c r="D52"/>
  <c r="AC52"/>
  <c r="D53"/>
  <c r="AC53"/>
  <c r="D54"/>
  <c r="AC54"/>
  <c r="D55"/>
  <c r="AC55"/>
  <c r="D56"/>
  <c r="AC56"/>
  <c r="D57"/>
  <c r="AC57"/>
  <c r="D58"/>
  <c r="AC58"/>
  <c r="D59"/>
  <c r="AC59"/>
  <c r="D60"/>
  <c r="AC60"/>
  <c r="D61"/>
  <c r="AC61"/>
  <c r="D62"/>
  <c r="AC62"/>
  <c r="D63"/>
  <c r="AC63"/>
  <c r="D64"/>
  <c r="AC64"/>
  <c r="D65"/>
  <c r="AC65"/>
  <c r="D66"/>
  <c r="AC66"/>
  <c r="D67"/>
  <c r="AC67"/>
  <c r="D68"/>
  <c r="AC68"/>
  <c r="D69"/>
  <c r="AC69"/>
  <c r="D70"/>
  <c r="AC70"/>
  <c r="D71"/>
  <c r="AC71"/>
  <c r="D72"/>
  <c r="AC72"/>
  <c r="D73"/>
  <c r="AC73"/>
  <c r="D74"/>
  <c r="AC74"/>
  <c r="D75"/>
  <c r="AC75"/>
  <c r="D76"/>
  <c r="AC76"/>
  <c r="D77"/>
  <c r="AC77"/>
  <c r="D78"/>
  <c r="AC78"/>
  <c r="D79"/>
  <c r="AC79"/>
  <c r="D80"/>
  <c r="AC80"/>
  <c r="D81"/>
  <c r="AC81"/>
  <c r="D82"/>
  <c r="AC82"/>
  <c r="D83"/>
  <c r="AC83"/>
  <c r="D84"/>
  <c r="AC84"/>
  <c r="D85"/>
  <c r="AC85"/>
  <c r="D86"/>
  <c r="AC86"/>
  <c r="D87"/>
  <c r="AC87"/>
  <c r="D88"/>
  <c r="AC88"/>
  <c r="D89"/>
  <c r="AC89"/>
  <c r="D90"/>
  <c r="AC90"/>
  <c r="D91"/>
  <c r="AC91"/>
  <c r="D92"/>
  <c r="AC92"/>
  <c r="D93"/>
  <c r="AC93"/>
  <c r="D94"/>
  <c r="AC94"/>
  <c r="D95"/>
  <c r="AC95"/>
  <c r="D96"/>
  <c r="AC96"/>
  <c r="D97"/>
  <c r="AC97"/>
  <c r="D98"/>
  <c r="AC98"/>
  <c r="D99"/>
  <c r="AC99"/>
  <c r="D100"/>
  <c r="AC100"/>
  <c r="D101"/>
  <c r="AC101"/>
  <c r="D102"/>
  <c r="AC102"/>
  <c r="D103"/>
  <c r="AC103"/>
  <c r="D104"/>
  <c r="AC104"/>
  <c r="D105"/>
  <c r="AC105"/>
  <c r="D106"/>
  <c r="AC106"/>
  <c r="D107"/>
  <c r="AC107"/>
  <c r="D108"/>
  <c r="AC108"/>
  <c r="D109"/>
  <c r="AC109"/>
  <c r="D110"/>
  <c r="AC110"/>
  <c r="D111"/>
  <c r="AC111"/>
  <c r="D112"/>
  <c r="AC112"/>
  <c r="D113"/>
  <c r="AC113"/>
  <c r="D114"/>
  <c r="AC114"/>
  <c r="D115"/>
  <c r="AC115"/>
  <c r="D116"/>
  <c r="AC116"/>
  <c r="D117"/>
  <c r="AC117"/>
  <c r="D118"/>
  <c r="AC118"/>
  <c r="D119"/>
  <c r="AC119"/>
  <c r="D120"/>
  <c r="AC120"/>
  <c r="D121"/>
  <c r="AC121"/>
  <c r="D122"/>
  <c r="AC122"/>
  <c r="D123"/>
  <c r="AC123"/>
  <c r="D124"/>
  <c r="AC124"/>
  <c r="D125"/>
  <c r="AC125"/>
  <c r="D126"/>
  <c r="AC126"/>
  <c r="E128"/>
  <c r="F128"/>
  <c r="G128"/>
  <c r="G129" s="1"/>
  <c r="H128"/>
  <c r="I128"/>
  <c r="J128"/>
  <c r="K128"/>
  <c r="L128"/>
  <c r="M128"/>
  <c r="N128"/>
  <c r="O128"/>
  <c r="O129" s="1"/>
  <c r="P128"/>
  <c r="Q128"/>
  <c r="R128"/>
  <c r="S128"/>
  <c r="T128"/>
  <c r="U128"/>
  <c r="V128"/>
  <c r="W128"/>
  <c r="W129" s="1"/>
  <c r="X128"/>
  <c r="X129" s="1"/>
  <c r="Y128"/>
  <c r="Z128"/>
  <c r="AA128"/>
  <c r="AB128"/>
  <c r="H129" l="1"/>
  <c r="V129"/>
  <c r="N129"/>
  <c r="F129"/>
  <c r="I129"/>
  <c r="E129"/>
  <c r="M129"/>
  <c r="K129"/>
  <c r="Q129"/>
  <c r="Y129"/>
  <c r="U129"/>
  <c r="S129"/>
  <c r="AA129"/>
  <c r="P129"/>
  <c r="Z129"/>
  <c r="R129"/>
  <c r="J129"/>
  <c r="AB129"/>
  <c r="T129"/>
  <c r="L129"/>
</calcChain>
</file>

<file path=xl/sharedStrings.xml><?xml version="1.0" encoding="utf-8"?>
<sst xmlns="http://schemas.openxmlformats.org/spreadsheetml/2006/main" count="1604" uniqueCount="163">
  <si>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</si>
  <si>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</si>
  <si>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</si>
  <si>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</si>
  <si>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</si>
  <si>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</si>
  <si>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</si>
  <si>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</si>
  <si>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</si>
  <si>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</si>
  <si>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</si>
  <si>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</si>
  <si>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</si>
  <si>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</si>
  <si>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</t>
  </si>
  <si>
    <t>2</t>
  </si>
  <si>
    <t>6</t>
  </si>
  <si>
    <t>7</t>
  </si>
  <si>
    <t>8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</si>
  <si>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</si>
  <si>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</si>
  <si>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</si>
  <si>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</si>
  <si>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</si>
  <si>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</si>
  <si>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</si>
  <si>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</si>
  <si>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</si>
  <si>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</si>
  <si>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</si>
  <si>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</si>
  <si>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</si>
  <si>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</si>
  <si>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</si>
  <si>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</si>
  <si>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</si>
  <si>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</si>
  <si>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</si>
  <si>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</si>
  <si>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</si>
  <si>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</si>
  <si>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</si>
  <si>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</si>
  <si>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</si>
  <si>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</si>
  <si>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</si>
  <si>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</si>
  <si>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</si>
  <si>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</si>
  <si>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</si>
  <si>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</si>
  <si>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</si>
  <si>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</si>
  <si>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</si>
  <si>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</si>
  <si>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</si>
  <si>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</si>
  <si>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</si>
  <si>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</si>
  <si>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</si>
  <si>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</si>
  <si>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</si>
  <si>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</si>
  <si>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</si>
  <si>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</si>
  <si>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</si>
  <si>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</si>
  <si>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</si>
  <si>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</si>
  <si>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</si>
  <si>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</si>
  <si>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</si>
  <si>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</si>
  <si>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</si>
  <si>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</si>
  <si>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</si>
  <si>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</si>
  <si>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</si>
  <si>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</si>
  <si>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</si>
  <si>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</si>
  <si>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</si>
  <si>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</si>
  <si>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</si>
  <si>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</si>
  <si>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</si>
  <si>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</si>
  <si>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</si>
  <si>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</si>
  <si>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</si>
  <si>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</si>
  <si>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</si>
  <si>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</si>
  <si>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</si>
  <si>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</si>
  <si>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</si>
  <si>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</si>
  <si>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</si>
  <si>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</si>
  <si>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</si>
  <si>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</si>
  <si>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</si>
  <si>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</si>
  <si>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</si>
  <si>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</si>
  <si>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</si>
  <si>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</si>
  <si>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</si>
  <si>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</si>
  <si>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</si>
  <si>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</si>
  <si>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</si>
  <si>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</si>
  <si>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</si>
  <si>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</si>
  <si>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</si>
  <si>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</si>
  <si>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</si>
  <si>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</si>
  <si>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</si>
  <si>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</si>
  <si>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</si>
  <si>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</si>
  <si>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</si>
  <si>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</si>
  <si>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</si>
  <si>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</si>
  <si>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</si>
  <si>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</si>
  <si>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</si>
  <si>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</si>
  <si>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</si>
  <si>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</si>
  <si>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</si>
  <si>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</si>
  <si>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</si>
  <si>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</si>
  <si>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</si>
  <si>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</si>
  <si>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</si>
  <si>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</si>
  <si>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</si>
  <si>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</si>
  <si>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</si>
  <si>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</si>
  <si>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</si>
  <si>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</si>
  <si>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</si>
  <si>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</si>
  <si>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</si>
  <si>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</si>
  <si>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</si>
  <si>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</si>
  <si>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</si>
  <si>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</si>
  <si>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</si>
  <si>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</si>
  <si>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</si>
  <si>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</si>
  <si>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2002 DVMT (in thousands) and Mileage by County and Functional Class</t>
  </si>
  <si>
    <t>Percent of Total</t>
  </si>
  <si>
    <t>June 25,2003</t>
  </si>
  <si>
    <t>2002</t>
  </si>
</sst>
</file>

<file path=xl/styles.xml><?xml version="1.0" encoding="utf-8"?>
<styleSheet xmlns="http://schemas.openxmlformats.org/spreadsheetml/2006/main">
  <numFmts count="1">
    <numFmt numFmtId="165" formatCode="0.0%"/>
  </numFmts>
  <fonts count="14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43">
    <xf numFmtId="0" fontId="0" fillId="0" borderId="0" xfId="0"/>
    <xf numFmtId="15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3" fontId="6" fillId="0" borderId="0" xfId="0" applyNumberFormat="1" applyFont="1"/>
    <xf numFmtId="3" fontId="3" fillId="0" borderId="0" xfId="0" quotePrefix="1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15" fontId="9" fillId="0" borderId="0" xfId="0" quotePrefix="1" applyNumberFormat="1" applyFont="1"/>
    <xf numFmtId="0" fontId="10" fillId="0" borderId="0" xfId="0" applyFont="1"/>
    <xf numFmtId="49" fontId="10" fillId="0" borderId="0" xfId="0" applyNumberFormat="1" applyFont="1" applyAlignment="1">
      <alignment horizontal="left"/>
    </xf>
    <xf numFmtId="49" fontId="9" fillId="0" borderId="0" xfId="0" applyNumberFormat="1" applyFont="1"/>
    <xf numFmtId="49" fontId="10" fillId="0" borderId="0" xfId="0" applyNumberFormat="1" applyFont="1"/>
    <xf numFmtId="0" fontId="11" fillId="0" borderId="0" xfId="0" applyFont="1"/>
    <xf numFmtId="0" fontId="3" fillId="0" borderId="0" xfId="0" applyFont="1" applyAlignment="1">
      <alignment horizontal="right"/>
    </xf>
    <xf numFmtId="15" fontId="12" fillId="0" borderId="0" xfId="0" applyNumberFormat="1" applyFont="1"/>
    <xf numFmtId="3" fontId="2" fillId="0" borderId="0" xfId="0" applyNumberFormat="1" applyFont="1" applyAlignment="1">
      <alignment horizontal="center"/>
    </xf>
    <xf numFmtId="3" fontId="5" fillId="2" borderId="1" xfId="2" applyNumberFormat="1" applyFont="1" applyFill="1" applyBorder="1" applyAlignment="1">
      <alignment horizontal="center"/>
    </xf>
    <xf numFmtId="3" fontId="5" fillId="0" borderId="2" xfId="2" applyNumberFormat="1" applyFont="1" applyFill="1" applyBorder="1" applyAlignment="1">
      <alignment horizontal="right" wrapText="1"/>
    </xf>
    <xf numFmtId="3" fontId="13" fillId="0" borderId="0" xfId="0" applyNumberFormat="1" applyFont="1"/>
    <xf numFmtId="0" fontId="2" fillId="0" borderId="0" xfId="0" applyFont="1" applyBorder="1"/>
    <xf numFmtId="49" fontId="2" fillId="0" borderId="0" xfId="0" applyNumberFormat="1" applyFont="1" applyBorder="1"/>
    <xf numFmtId="49" fontId="9" fillId="0" borderId="0" xfId="0" applyNumberFormat="1" applyFont="1" applyBorder="1"/>
    <xf numFmtId="3" fontId="3" fillId="0" borderId="0" xfId="0" applyNumberFormat="1" applyFont="1" applyBorder="1"/>
    <xf numFmtId="3" fontId="4" fillId="0" borderId="0" xfId="1" applyNumberFormat="1" applyFont="1" applyFill="1" applyBorder="1" applyAlignment="1">
      <alignment horizontal="right" wrapText="1"/>
    </xf>
    <xf numFmtId="3" fontId="0" fillId="0" borderId="0" xfId="0" applyNumberFormat="1" applyBorder="1"/>
    <xf numFmtId="3" fontId="2" fillId="0" borderId="0" xfId="0" applyNumberFormat="1" applyFont="1" applyBorder="1"/>
    <xf numFmtId="3" fontId="5" fillId="0" borderId="0" xfId="3" applyNumberFormat="1" applyFont="1" applyFill="1" applyBorder="1" applyAlignment="1">
      <alignment horizontal="right" wrapText="1"/>
    </xf>
    <xf numFmtId="3" fontId="4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7" fillId="0" borderId="0" xfId="0" applyFont="1" applyAlignment="1">
      <alignment horizontal="right"/>
    </xf>
    <xf numFmtId="165" fontId="7" fillId="0" borderId="0" xfId="0" applyNumberFormat="1" applyFont="1"/>
    <xf numFmtId="3" fontId="2" fillId="0" borderId="0" xfId="0" applyNumberFormat="1" applyFont="1" applyAlignment="1">
      <alignment horizontal="center"/>
    </xf>
  </cellXfs>
  <cellStyles count="4">
    <cellStyle name="Normal" xfId="0" builtinId="0"/>
    <cellStyle name="Normal_2000_1" xfId="1"/>
    <cellStyle name="Normal_Curr" xfId="2"/>
    <cellStyle name="Normal_VMT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29"/>
  <sheetViews>
    <sheetView tabSelected="1" zoomScaleNormal="100" workbookViewId="0">
      <pane xSplit="2" ySplit="6" topLeftCell="C7" activePane="bottomRight" state="frozen"/>
      <selection activeCell="B4" sqref="B4"/>
      <selection pane="topRight" activeCell="B4" sqref="B4"/>
      <selection pane="bottomLeft" activeCell="B4" sqref="B4"/>
      <selection pane="bottomRight" activeCell="Q19" sqref="Q19"/>
    </sheetView>
  </sheetViews>
  <sheetFormatPr defaultRowHeight="15"/>
  <cols>
    <col min="1" max="1" width="5.140625" customWidth="1"/>
    <col min="2" max="2" width="18.28515625" customWidth="1"/>
    <col min="3" max="3" width="5.7109375" style="23" customWidth="1"/>
    <col min="4" max="4" width="11.5703125" style="14" customWidth="1"/>
    <col min="5" max="10" width="9.5703125" style="10" customWidth="1"/>
    <col min="11" max="16" width="9" style="10" customWidth="1"/>
    <col min="17" max="22" width="9.28515625" style="3" bestFit="1" customWidth="1"/>
    <col min="23" max="23" width="12.5703125" style="3" customWidth="1"/>
    <col min="24" max="27" width="9.28515625" style="3" bestFit="1" customWidth="1"/>
    <col min="28" max="28" width="10.85546875" style="3" bestFit="1" customWidth="1"/>
    <col min="29" max="29" width="13.7109375" style="11" customWidth="1"/>
  </cols>
  <sheetData>
    <row r="1" spans="1:29" ht="15.75">
      <c r="A1" s="25"/>
      <c r="B1" s="2"/>
      <c r="C1" s="16"/>
      <c r="D1" s="1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AC1" s="2"/>
    </row>
    <row r="2" spans="1:29" s="11" customFormat="1" ht="15.75">
      <c r="A2" s="2" t="s">
        <v>159</v>
      </c>
      <c r="B2" s="2"/>
      <c r="C2" s="16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2"/>
    </row>
    <row r="3" spans="1:29" ht="15.75">
      <c r="A3" s="4"/>
      <c r="B3" s="1" t="s">
        <v>161</v>
      </c>
      <c r="C3" s="18"/>
      <c r="D3" s="1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AC3" s="2"/>
    </row>
    <row r="4" spans="1:29" ht="15.75">
      <c r="A4" s="4"/>
      <c r="B4" s="4"/>
      <c r="C4" s="19" t="s">
        <v>152</v>
      </c>
      <c r="D4" s="15" t="s">
        <v>162</v>
      </c>
      <c r="E4" s="42" t="s">
        <v>0</v>
      </c>
      <c r="F4" s="42"/>
      <c r="G4" s="42"/>
      <c r="H4" s="42"/>
      <c r="I4" s="42"/>
      <c r="J4" s="42"/>
      <c r="K4" s="42" t="s">
        <v>1</v>
      </c>
      <c r="L4" s="42"/>
      <c r="M4" s="42"/>
      <c r="N4" s="42"/>
      <c r="O4" s="42"/>
      <c r="P4" s="42"/>
      <c r="Q4" s="42" t="s">
        <v>2</v>
      </c>
      <c r="R4" s="42"/>
      <c r="S4" s="42"/>
      <c r="T4" s="42"/>
      <c r="U4" s="42"/>
      <c r="V4" s="42"/>
      <c r="W4" s="42" t="s">
        <v>3</v>
      </c>
      <c r="X4" s="42"/>
      <c r="Y4" s="42"/>
      <c r="Z4" s="42"/>
      <c r="AA4" s="42"/>
      <c r="AB4" s="42"/>
      <c r="AC4" s="2"/>
    </row>
    <row r="5" spans="1:29" s="8" customFormat="1" ht="15.75">
      <c r="A5" s="5"/>
      <c r="B5" s="6" t="s">
        <v>4</v>
      </c>
      <c r="C5" s="20" t="s">
        <v>153</v>
      </c>
      <c r="D5" s="24" t="s">
        <v>156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5</v>
      </c>
      <c r="L5" s="7" t="s">
        <v>11</v>
      </c>
      <c r="M5" s="7" t="s">
        <v>6</v>
      </c>
      <c r="N5" s="7" t="s">
        <v>7</v>
      </c>
      <c r="O5" s="7" t="s">
        <v>12</v>
      </c>
      <c r="P5" s="7" t="s">
        <v>10</v>
      </c>
      <c r="Q5" s="7" t="s">
        <v>5</v>
      </c>
      <c r="R5" s="7" t="s">
        <v>6</v>
      </c>
      <c r="S5" s="7" t="s">
        <v>7</v>
      </c>
      <c r="T5" s="7" t="s">
        <v>8</v>
      </c>
      <c r="U5" s="7" t="s">
        <v>9</v>
      </c>
      <c r="V5" s="7" t="s">
        <v>10</v>
      </c>
      <c r="W5" s="7" t="s">
        <v>5</v>
      </c>
      <c r="X5" s="7" t="s">
        <v>11</v>
      </c>
      <c r="Y5" s="7" t="s">
        <v>6</v>
      </c>
      <c r="Z5" s="7" t="s">
        <v>7</v>
      </c>
      <c r="AA5" s="7" t="s">
        <v>12</v>
      </c>
      <c r="AB5" s="7" t="s">
        <v>10</v>
      </c>
      <c r="AC5" s="24" t="s">
        <v>13</v>
      </c>
    </row>
    <row r="6" spans="1:29" ht="15" customHeight="1">
      <c r="A6" s="4"/>
      <c r="B6" s="9"/>
      <c r="C6" s="21"/>
      <c r="D6" s="13" t="s">
        <v>154</v>
      </c>
      <c r="E6" s="27" t="s">
        <v>14</v>
      </c>
      <c r="F6" s="27" t="s">
        <v>15</v>
      </c>
      <c r="G6" s="27" t="s">
        <v>16</v>
      </c>
      <c r="H6" s="27" t="s">
        <v>17</v>
      </c>
      <c r="I6" s="27" t="s">
        <v>18</v>
      </c>
      <c r="J6" s="26" t="s">
        <v>148</v>
      </c>
      <c r="K6" s="27" t="s">
        <v>19</v>
      </c>
      <c r="L6" s="27" t="s">
        <v>20</v>
      </c>
      <c r="M6" s="27" t="s">
        <v>21</v>
      </c>
      <c r="N6" s="27" t="s">
        <v>22</v>
      </c>
      <c r="O6" s="27" t="s">
        <v>23</v>
      </c>
      <c r="P6" s="26" t="s">
        <v>25</v>
      </c>
      <c r="Q6" s="27" t="s">
        <v>14</v>
      </c>
      <c r="R6" s="27" t="s">
        <v>15</v>
      </c>
      <c r="S6" s="27" t="s">
        <v>16</v>
      </c>
      <c r="T6" s="27" t="s">
        <v>17</v>
      </c>
      <c r="U6" s="27" t="s">
        <v>18</v>
      </c>
      <c r="V6" s="27" t="s">
        <v>24</v>
      </c>
      <c r="W6" s="27" t="s">
        <v>19</v>
      </c>
      <c r="X6" s="27" t="s">
        <v>20</v>
      </c>
      <c r="Y6" s="27" t="s">
        <v>21</v>
      </c>
      <c r="Z6" s="27" t="s">
        <v>22</v>
      </c>
      <c r="AA6" s="27" t="s">
        <v>23</v>
      </c>
      <c r="AB6" s="27" t="s">
        <v>25</v>
      </c>
      <c r="AC6" s="24" t="s">
        <v>155</v>
      </c>
    </row>
    <row r="7" spans="1:29" ht="15" customHeight="1">
      <c r="A7" s="4">
        <v>1</v>
      </c>
      <c r="B7" s="9" t="s">
        <v>26</v>
      </c>
      <c r="C7" s="22" t="s">
        <v>149</v>
      </c>
      <c r="D7" s="12">
        <f t="shared" ref="D7:D38" si="0">SUM(E7:J7)+SUM(K7:P7)</f>
        <v>537.11922800187131</v>
      </c>
      <c r="E7" s="28" t="s">
        <v>27</v>
      </c>
      <c r="F7" s="28">
        <v>187.45678891712427</v>
      </c>
      <c r="G7" s="28">
        <v>27.026952572584154</v>
      </c>
      <c r="H7" s="28">
        <v>172.79088531887905</v>
      </c>
      <c r="I7" s="28">
        <v>49.714051678881049</v>
      </c>
      <c r="J7" s="3">
        <v>100.13054951440283</v>
      </c>
      <c r="K7" s="28" t="s">
        <v>27</v>
      </c>
      <c r="L7" s="28" t="s">
        <v>27</v>
      </c>
      <c r="M7" s="28" t="s">
        <v>27</v>
      </c>
      <c r="N7" s="28" t="s">
        <v>27</v>
      </c>
      <c r="O7" s="28" t="s">
        <v>27</v>
      </c>
      <c r="P7" s="3" t="s">
        <v>27</v>
      </c>
      <c r="Q7" s="28" t="s">
        <v>27</v>
      </c>
      <c r="R7" s="28">
        <v>30.668999966233969</v>
      </c>
      <c r="S7" s="28">
        <v>9.2560000717639923</v>
      </c>
      <c r="T7" s="28">
        <v>83.593999484553933</v>
      </c>
      <c r="U7" s="28">
        <v>100.73400022089481</v>
      </c>
      <c r="V7" s="28">
        <v>621.63800000399351</v>
      </c>
      <c r="W7" s="28" t="s">
        <v>27</v>
      </c>
      <c r="X7" s="28" t="s">
        <v>27</v>
      </c>
      <c r="Y7" s="28" t="s">
        <v>27</v>
      </c>
      <c r="Z7" s="28" t="s">
        <v>27</v>
      </c>
      <c r="AA7" s="28" t="s">
        <v>27</v>
      </c>
      <c r="AB7" s="28" t="s">
        <v>27</v>
      </c>
      <c r="AC7" s="12">
        <f t="shared" ref="AC7:AC38" si="1">SUM(Q7:AB7)</f>
        <v>845.89099974744022</v>
      </c>
    </row>
    <row r="8" spans="1:29" ht="15" customHeight="1">
      <c r="A8" s="4">
        <v>2</v>
      </c>
      <c r="B8" s="9" t="s">
        <v>28</v>
      </c>
      <c r="C8" s="22" t="s">
        <v>149</v>
      </c>
      <c r="D8" s="12">
        <f t="shared" si="0"/>
        <v>429.29243029765655</v>
      </c>
      <c r="E8" s="28" t="s">
        <v>27</v>
      </c>
      <c r="F8" s="28">
        <v>91.666165231436494</v>
      </c>
      <c r="G8" s="28">
        <v>48.960555876493451</v>
      </c>
      <c r="H8" s="28">
        <v>135.55123096887021</v>
      </c>
      <c r="I8" s="28">
        <v>56.594796579241752</v>
      </c>
      <c r="J8" s="3">
        <v>96.51968164161471</v>
      </c>
      <c r="K8" s="28" t="s">
        <v>27</v>
      </c>
      <c r="L8" s="28" t="s">
        <v>27</v>
      </c>
      <c r="M8" s="28" t="s">
        <v>27</v>
      </c>
      <c r="N8" s="28" t="s">
        <v>27</v>
      </c>
      <c r="O8" s="28" t="s">
        <v>27</v>
      </c>
      <c r="P8" s="3" t="s">
        <v>27</v>
      </c>
      <c r="Q8" s="28" t="s">
        <v>27</v>
      </c>
      <c r="R8" s="28">
        <v>17.685000196099281</v>
      </c>
      <c r="S8" s="28">
        <v>10.57899996638298</v>
      </c>
      <c r="T8" s="28">
        <v>64.207000776194036</v>
      </c>
      <c r="U8" s="28">
        <v>87.82699927687645</v>
      </c>
      <c r="V8" s="28">
        <v>507.23199803754687</v>
      </c>
      <c r="W8" s="28" t="s">
        <v>27</v>
      </c>
      <c r="X8" s="28" t="s">
        <v>27</v>
      </c>
      <c r="Y8" s="28" t="s">
        <v>27</v>
      </c>
      <c r="Z8" s="28" t="s">
        <v>27</v>
      </c>
      <c r="AA8" s="28" t="s">
        <v>27</v>
      </c>
      <c r="AB8" s="28" t="s">
        <v>27</v>
      </c>
      <c r="AC8" s="12">
        <f t="shared" si="1"/>
        <v>687.52999825309962</v>
      </c>
    </row>
    <row r="9" spans="1:29" ht="15" customHeight="1">
      <c r="A9" s="4">
        <v>3</v>
      </c>
      <c r="B9" s="9" t="s">
        <v>29</v>
      </c>
      <c r="C9" s="22" t="s">
        <v>150</v>
      </c>
      <c r="D9" s="12">
        <f t="shared" si="0"/>
        <v>593.82179909121453</v>
      </c>
      <c r="E9" s="28" t="s">
        <v>27</v>
      </c>
      <c r="F9" s="28">
        <v>301.41298721855878</v>
      </c>
      <c r="G9" s="28">
        <v>23.209296599805356</v>
      </c>
      <c r="H9" s="28">
        <v>76.395889774084097</v>
      </c>
      <c r="I9" s="28">
        <v>35.632523657590149</v>
      </c>
      <c r="J9" s="3">
        <v>39.790388042281371</v>
      </c>
      <c r="K9" s="28" t="s">
        <v>27</v>
      </c>
      <c r="L9" s="28" t="s">
        <v>27</v>
      </c>
      <c r="M9" s="28">
        <v>34.509195054292675</v>
      </c>
      <c r="N9" s="28">
        <v>34.108299533143636</v>
      </c>
      <c r="O9" s="28">
        <v>21.822681923985481</v>
      </c>
      <c r="P9" s="3">
        <v>26.940537287472942</v>
      </c>
      <c r="Q9" s="28" t="s">
        <v>27</v>
      </c>
      <c r="R9" s="28">
        <v>22.359999857842922</v>
      </c>
      <c r="S9" s="28">
        <v>4.5870001316070557</v>
      </c>
      <c r="T9" s="28">
        <v>44.592999776825309</v>
      </c>
      <c r="U9" s="28">
        <v>54.49999937415123</v>
      </c>
      <c r="V9" s="28">
        <v>207.22000514809042</v>
      </c>
      <c r="W9" s="28" t="s">
        <v>27</v>
      </c>
      <c r="X9" s="28" t="s">
        <v>27</v>
      </c>
      <c r="Y9" s="28">
        <v>2.2219999432563782</v>
      </c>
      <c r="Z9" s="28">
        <v>3.4479999467730522</v>
      </c>
      <c r="AA9" s="28">
        <v>4.2899999618530273</v>
      </c>
      <c r="AB9" s="28">
        <v>38.937000274658203</v>
      </c>
      <c r="AC9" s="12">
        <f t="shared" si="1"/>
        <v>382.1570044150576</v>
      </c>
    </row>
    <row r="10" spans="1:29" ht="15" customHeight="1">
      <c r="A10" s="4">
        <v>4</v>
      </c>
      <c r="B10" s="9" t="s">
        <v>30</v>
      </c>
      <c r="C10" s="22" t="s">
        <v>149</v>
      </c>
      <c r="D10" s="12">
        <f t="shared" si="0"/>
        <v>272.15474484148984</v>
      </c>
      <c r="E10" s="28" t="s">
        <v>27</v>
      </c>
      <c r="F10" s="28">
        <v>145.87245381424577</v>
      </c>
      <c r="G10" s="28">
        <v>15.583881813943385</v>
      </c>
      <c r="H10" s="28">
        <v>58.460012777023017</v>
      </c>
      <c r="I10" s="28">
        <v>19.136749134436251</v>
      </c>
      <c r="J10" s="3">
        <v>33.101647301841403</v>
      </c>
      <c r="K10" s="28" t="s">
        <v>27</v>
      </c>
      <c r="L10" s="28" t="s">
        <v>27</v>
      </c>
      <c r="M10" s="28" t="s">
        <v>27</v>
      </c>
      <c r="N10" s="28" t="s">
        <v>27</v>
      </c>
      <c r="O10" s="28" t="s">
        <v>27</v>
      </c>
      <c r="P10" s="3" t="s">
        <v>27</v>
      </c>
      <c r="Q10" s="28" t="s">
        <v>27</v>
      </c>
      <c r="R10" s="28">
        <v>25.233999878168106</v>
      </c>
      <c r="S10" s="28">
        <v>8.6889998763799667</v>
      </c>
      <c r="T10" s="28">
        <v>40.571999868378043</v>
      </c>
      <c r="U10" s="28">
        <v>62.404000628739595</v>
      </c>
      <c r="V10" s="28">
        <v>276.65200677514076</v>
      </c>
      <c r="W10" s="28" t="s">
        <v>27</v>
      </c>
      <c r="X10" s="28" t="s">
        <v>27</v>
      </c>
      <c r="Y10" s="28" t="s">
        <v>27</v>
      </c>
      <c r="Z10" s="28" t="s">
        <v>27</v>
      </c>
      <c r="AA10" s="28" t="s">
        <v>27</v>
      </c>
      <c r="AB10" s="28" t="s">
        <v>27</v>
      </c>
      <c r="AC10" s="12">
        <f t="shared" si="1"/>
        <v>413.55100702680647</v>
      </c>
    </row>
    <row r="11" spans="1:29" ht="15" customHeight="1">
      <c r="A11" s="4">
        <v>5</v>
      </c>
      <c r="B11" s="9" t="s">
        <v>31</v>
      </c>
      <c r="C11" s="22" t="s">
        <v>150</v>
      </c>
      <c r="D11" s="12">
        <f t="shared" si="0"/>
        <v>1393.4847593967302</v>
      </c>
      <c r="E11" s="28">
        <v>269.54712993878127</v>
      </c>
      <c r="F11" s="28">
        <v>108.92274060368538</v>
      </c>
      <c r="G11" s="28">
        <v>214.73709951481223</v>
      </c>
      <c r="H11" s="28">
        <v>244.47080322836339</v>
      </c>
      <c r="I11" s="28">
        <v>85.131622258860617</v>
      </c>
      <c r="J11" s="3">
        <v>128.88754238933453</v>
      </c>
      <c r="K11" s="28" t="s">
        <v>27</v>
      </c>
      <c r="L11" s="28">
        <v>32.040590939521792</v>
      </c>
      <c r="M11" s="28">
        <v>121.36014716558158</v>
      </c>
      <c r="N11" s="28">
        <v>127.43811811775994</v>
      </c>
      <c r="O11" s="28">
        <v>23.554297821992076</v>
      </c>
      <c r="P11" s="3">
        <v>37.394667418037322</v>
      </c>
      <c r="Q11" s="28">
        <v>8.4379999041557312</v>
      </c>
      <c r="R11" s="28">
        <v>18.306000113487244</v>
      </c>
      <c r="S11" s="28">
        <v>30.615000277757645</v>
      </c>
      <c r="T11" s="28">
        <v>96.63899989426136</v>
      </c>
      <c r="U11" s="28">
        <v>126.21299963630736</v>
      </c>
      <c r="V11" s="28">
        <v>658.27399051189423</v>
      </c>
      <c r="W11" s="28" t="s">
        <v>27</v>
      </c>
      <c r="X11" s="28">
        <v>4.0510001182556152</v>
      </c>
      <c r="Y11" s="28">
        <v>7.7629998847842216</v>
      </c>
      <c r="Z11" s="28">
        <v>16.977999738883227</v>
      </c>
      <c r="AA11" s="28">
        <v>9.6360000083222985</v>
      </c>
      <c r="AB11" s="28">
        <v>85.433002948760986</v>
      </c>
      <c r="AC11" s="12">
        <f t="shared" si="1"/>
        <v>1062.3459930368699</v>
      </c>
    </row>
    <row r="12" spans="1:29" ht="15" customHeight="1">
      <c r="A12" s="4">
        <v>6</v>
      </c>
      <c r="B12" s="9" t="s">
        <v>32</v>
      </c>
      <c r="C12" s="22" t="s">
        <v>149</v>
      </c>
      <c r="D12" s="12">
        <f t="shared" si="0"/>
        <v>514.71711215710525</v>
      </c>
      <c r="E12" s="28">
        <v>270.99312055492402</v>
      </c>
      <c r="F12" s="28" t="s">
        <v>27</v>
      </c>
      <c r="G12" s="28">
        <v>35.271735997319219</v>
      </c>
      <c r="H12" s="28">
        <v>134.21032228079437</v>
      </c>
      <c r="I12" s="28">
        <v>25.11109689474106</v>
      </c>
      <c r="J12" s="3">
        <v>49.130836429326585</v>
      </c>
      <c r="K12" s="28" t="s">
        <v>27</v>
      </c>
      <c r="L12" s="28" t="s">
        <v>27</v>
      </c>
      <c r="M12" s="28" t="s">
        <v>27</v>
      </c>
      <c r="N12" s="28" t="s">
        <v>27</v>
      </c>
      <c r="O12" s="28" t="s">
        <v>27</v>
      </c>
      <c r="P12" s="3" t="s">
        <v>27</v>
      </c>
      <c r="Q12" s="28">
        <v>13.308000087738037</v>
      </c>
      <c r="R12" s="28" t="s">
        <v>27</v>
      </c>
      <c r="S12" s="28">
        <v>12.749000012874603</v>
      </c>
      <c r="T12" s="28">
        <v>66.654999684542418</v>
      </c>
      <c r="U12" s="28">
        <v>51.550999879837036</v>
      </c>
      <c r="V12" s="28">
        <v>307.51799410581589</v>
      </c>
      <c r="W12" s="28" t="s">
        <v>27</v>
      </c>
      <c r="X12" s="28" t="s">
        <v>27</v>
      </c>
      <c r="Y12" s="28" t="s">
        <v>27</v>
      </c>
      <c r="Z12" s="28" t="s">
        <v>27</v>
      </c>
      <c r="AA12" s="28" t="s">
        <v>27</v>
      </c>
      <c r="AB12" s="28" t="s">
        <v>27</v>
      </c>
      <c r="AC12" s="12">
        <f t="shared" si="1"/>
        <v>451.78099377080798</v>
      </c>
    </row>
    <row r="13" spans="1:29" ht="15" customHeight="1">
      <c r="A13" s="4">
        <v>7</v>
      </c>
      <c r="B13" s="9" t="s">
        <v>33</v>
      </c>
      <c r="C13" s="22" t="s">
        <v>150</v>
      </c>
      <c r="D13" s="12">
        <f t="shared" si="0"/>
        <v>827.90209958343701</v>
      </c>
      <c r="E13" s="28" t="s">
        <v>27</v>
      </c>
      <c r="F13" s="28">
        <v>383.30446489967403</v>
      </c>
      <c r="G13" s="28" t="s">
        <v>27</v>
      </c>
      <c r="H13" s="28">
        <v>149.28724306277931</v>
      </c>
      <c r="I13" s="28">
        <v>35.142316196568309</v>
      </c>
      <c r="J13" s="3">
        <v>52.164254922708786</v>
      </c>
      <c r="K13" s="28" t="s">
        <v>27</v>
      </c>
      <c r="L13" s="28" t="s">
        <v>27</v>
      </c>
      <c r="M13" s="28">
        <v>66.415860823214061</v>
      </c>
      <c r="N13" s="28">
        <v>74.842225044846529</v>
      </c>
      <c r="O13" s="28">
        <v>32.336953072242437</v>
      </c>
      <c r="P13" s="3">
        <v>34.408781561403451</v>
      </c>
      <c r="Q13" s="28" t="s">
        <v>27</v>
      </c>
      <c r="R13" s="28">
        <v>31.735999975353479</v>
      </c>
      <c r="S13" s="28" t="s">
        <v>27</v>
      </c>
      <c r="T13" s="28">
        <v>96.402999468147755</v>
      </c>
      <c r="U13" s="28">
        <v>54.500000115483999</v>
      </c>
      <c r="V13" s="28">
        <v>274.0220050662756</v>
      </c>
      <c r="W13" s="28" t="s">
        <v>27</v>
      </c>
      <c r="X13" s="28" t="s">
        <v>27</v>
      </c>
      <c r="Y13" s="28">
        <v>2.8549999892711639</v>
      </c>
      <c r="Z13" s="28">
        <v>9.5279998425394297</v>
      </c>
      <c r="AA13" s="28">
        <v>10.667000023648143</v>
      </c>
      <c r="AB13" s="28">
        <v>68.719002068042755</v>
      </c>
      <c r="AC13" s="12">
        <f t="shared" si="1"/>
        <v>548.43000654876232</v>
      </c>
    </row>
    <row r="14" spans="1:29" ht="15" customHeight="1">
      <c r="A14" s="4">
        <v>8</v>
      </c>
      <c r="B14" s="9" t="s">
        <v>34</v>
      </c>
      <c r="C14" s="22" t="s">
        <v>151</v>
      </c>
      <c r="D14" s="12">
        <f t="shared" si="0"/>
        <v>3923.7169560912189</v>
      </c>
      <c r="E14" s="28">
        <v>855.07793220138547</v>
      </c>
      <c r="F14" s="28" t="s">
        <v>27</v>
      </c>
      <c r="G14" s="28" t="s">
        <v>27</v>
      </c>
      <c r="H14" s="28">
        <v>198.33343456861749</v>
      </c>
      <c r="I14" s="28">
        <v>67.27274878942967</v>
      </c>
      <c r="J14" s="3">
        <v>66.018688537047169</v>
      </c>
      <c r="K14" s="28">
        <v>1318.2227280282975</v>
      </c>
      <c r="L14" s="28" t="s">
        <v>27</v>
      </c>
      <c r="M14" s="28" t="s">
        <v>27</v>
      </c>
      <c r="N14" s="28">
        <v>768.8843401255458</v>
      </c>
      <c r="O14" s="28">
        <v>317.981164911218</v>
      </c>
      <c r="P14" s="3">
        <v>331.92591892967806</v>
      </c>
      <c r="Q14" s="28">
        <v>19.410000026226044</v>
      </c>
      <c r="R14" s="28" t="s">
        <v>27</v>
      </c>
      <c r="S14" s="28" t="s">
        <v>27</v>
      </c>
      <c r="T14" s="28">
        <v>59.280000235885382</v>
      </c>
      <c r="U14" s="28">
        <v>52.831999897956848</v>
      </c>
      <c r="V14" s="28">
        <v>226.69700016081333</v>
      </c>
      <c r="W14" s="28">
        <v>14.572999954223633</v>
      </c>
      <c r="X14" s="28" t="s">
        <v>27</v>
      </c>
      <c r="Y14" s="28" t="s">
        <v>27</v>
      </c>
      <c r="Z14" s="28">
        <v>45.629999926313758</v>
      </c>
      <c r="AA14" s="28">
        <v>32.346999889239669</v>
      </c>
      <c r="AB14" s="28">
        <v>317.85700015723705</v>
      </c>
      <c r="AC14" s="12">
        <f t="shared" si="1"/>
        <v>768.62600024789572</v>
      </c>
    </row>
    <row r="15" spans="1:29" ht="15" customHeight="1">
      <c r="A15" s="4">
        <v>9</v>
      </c>
      <c r="B15" s="9" t="s">
        <v>35</v>
      </c>
      <c r="C15" s="22" t="s">
        <v>150</v>
      </c>
      <c r="D15" s="12">
        <f t="shared" si="0"/>
        <v>547.59950432280107</v>
      </c>
      <c r="E15" s="28" t="s">
        <v>27</v>
      </c>
      <c r="F15" s="28">
        <v>116.46939658563583</v>
      </c>
      <c r="G15" s="28">
        <v>113.27796199861076</v>
      </c>
      <c r="H15" s="28">
        <v>36.730284577012064</v>
      </c>
      <c r="I15" s="28">
        <v>48.868096831172707</v>
      </c>
      <c r="J15" s="3">
        <v>36.26803713173139</v>
      </c>
      <c r="K15" s="28" t="s">
        <v>27</v>
      </c>
      <c r="L15" s="28" t="s">
        <v>27</v>
      </c>
      <c r="M15" s="28">
        <v>101.9894274025783</v>
      </c>
      <c r="N15" s="28">
        <v>54.432580234851692</v>
      </c>
      <c r="O15" s="28">
        <v>18.894576179184021</v>
      </c>
      <c r="P15" s="3">
        <v>20.669143382024291</v>
      </c>
      <c r="Q15" s="28" t="s">
        <v>27</v>
      </c>
      <c r="R15" s="28">
        <v>12.625000022351742</v>
      </c>
      <c r="S15" s="28">
        <v>35.441000229679048</v>
      </c>
      <c r="T15" s="28">
        <v>25.669999778270721</v>
      </c>
      <c r="U15" s="28">
        <v>64.331999922171235</v>
      </c>
      <c r="V15" s="28">
        <v>171.97800510190427</v>
      </c>
      <c r="W15" s="28" t="s">
        <v>27</v>
      </c>
      <c r="X15" s="28" t="s">
        <v>27</v>
      </c>
      <c r="Y15" s="28">
        <v>9.8129999469965696</v>
      </c>
      <c r="Z15" s="28">
        <v>8.3729999521747231</v>
      </c>
      <c r="AA15" s="28">
        <v>7.8260000459849834</v>
      </c>
      <c r="AB15" s="28">
        <v>47.587998390197754</v>
      </c>
      <c r="AC15" s="12">
        <f t="shared" si="1"/>
        <v>383.64600338973105</v>
      </c>
    </row>
    <row r="16" spans="1:29" ht="15" customHeight="1">
      <c r="A16" s="4">
        <v>10</v>
      </c>
      <c r="B16" s="9" t="s">
        <v>36</v>
      </c>
      <c r="C16" s="22" t="s">
        <v>151</v>
      </c>
      <c r="D16" s="12">
        <f t="shared" si="0"/>
        <v>1375.0980720622319</v>
      </c>
      <c r="E16" s="28">
        <v>241.44115918278695</v>
      </c>
      <c r="F16" s="28">
        <v>127.60639769940823</v>
      </c>
      <c r="G16" s="28" t="s">
        <v>27</v>
      </c>
      <c r="H16" s="28">
        <v>110.28724382580072</v>
      </c>
      <c r="I16" s="28">
        <v>17.897886908063665</v>
      </c>
      <c r="J16" s="3">
        <v>31.931577368918866</v>
      </c>
      <c r="K16" s="28" t="s">
        <v>27</v>
      </c>
      <c r="L16" s="28" t="s">
        <v>27</v>
      </c>
      <c r="M16" s="28">
        <v>466.41103936193883</v>
      </c>
      <c r="N16" s="28">
        <v>141.96285093970224</v>
      </c>
      <c r="O16" s="28">
        <v>108.76366565467045</v>
      </c>
      <c r="P16" s="3">
        <v>128.796251120942</v>
      </c>
      <c r="Q16" s="28">
        <v>10.694999992847443</v>
      </c>
      <c r="R16" s="28">
        <v>11.317999695427716</v>
      </c>
      <c r="S16" s="28" t="s">
        <v>27</v>
      </c>
      <c r="T16" s="28">
        <v>39.331000208854675</v>
      </c>
      <c r="U16" s="28">
        <v>35.21499995701015</v>
      </c>
      <c r="V16" s="28">
        <v>194.63099996000528</v>
      </c>
      <c r="W16" s="28" t="s">
        <v>27</v>
      </c>
      <c r="X16" s="28" t="s">
        <v>27</v>
      </c>
      <c r="Y16" s="28">
        <v>21.637000260874629</v>
      </c>
      <c r="Z16" s="28">
        <v>17.99799997266382</v>
      </c>
      <c r="AA16" s="28">
        <v>31.88100016862154</v>
      </c>
      <c r="AB16" s="28">
        <v>238.9249999858439</v>
      </c>
      <c r="AC16" s="12">
        <f t="shared" si="1"/>
        <v>601.63100020214915</v>
      </c>
    </row>
    <row r="17" spans="1:29" ht="15" customHeight="1">
      <c r="A17" s="4">
        <v>11</v>
      </c>
      <c r="B17" s="9" t="s">
        <v>37</v>
      </c>
      <c r="C17" s="22" t="s">
        <v>150</v>
      </c>
      <c r="D17" s="12">
        <f t="shared" si="0"/>
        <v>701.30403647641174</v>
      </c>
      <c r="E17" s="28" t="s">
        <v>27</v>
      </c>
      <c r="F17" s="28">
        <v>137.82868721678852</v>
      </c>
      <c r="G17" s="28">
        <v>82.01734512897022</v>
      </c>
      <c r="H17" s="28">
        <v>64.358610727816824</v>
      </c>
      <c r="I17" s="28">
        <v>31.631740023225547</v>
      </c>
      <c r="J17" s="3">
        <v>31.973084978035807</v>
      </c>
      <c r="K17" s="28" t="s">
        <v>27</v>
      </c>
      <c r="L17" s="28" t="s">
        <v>27</v>
      </c>
      <c r="M17" s="28">
        <v>233.06018581129982</v>
      </c>
      <c r="N17" s="28">
        <v>50.560784913972022</v>
      </c>
      <c r="O17" s="28">
        <v>28.983096933119</v>
      </c>
      <c r="P17" s="3">
        <v>40.890500743184049</v>
      </c>
      <c r="Q17" s="28" t="s">
        <v>27</v>
      </c>
      <c r="R17" s="28">
        <v>11.769999712705612</v>
      </c>
      <c r="S17" s="28">
        <v>16.582999826408923</v>
      </c>
      <c r="T17" s="28">
        <v>30.715999975800514</v>
      </c>
      <c r="U17" s="28">
        <v>52.412000015377998</v>
      </c>
      <c r="V17" s="28">
        <v>175.04700329899788</v>
      </c>
      <c r="W17" s="28" t="s">
        <v>27</v>
      </c>
      <c r="X17" s="28" t="s">
        <v>27</v>
      </c>
      <c r="Y17" s="28">
        <v>16.835999852977693</v>
      </c>
      <c r="Z17" s="28">
        <v>9.2090000193566084</v>
      </c>
      <c r="AA17" s="28">
        <v>9.4779999814927578</v>
      </c>
      <c r="AB17" s="28">
        <v>81.222000062465668</v>
      </c>
      <c r="AC17" s="12">
        <f t="shared" si="1"/>
        <v>403.27300274558365</v>
      </c>
    </row>
    <row r="18" spans="1:29" ht="15" customHeight="1">
      <c r="A18" s="4">
        <v>12</v>
      </c>
      <c r="B18" s="9" t="s">
        <v>38</v>
      </c>
      <c r="C18" s="22" t="s">
        <v>149</v>
      </c>
      <c r="D18" s="12">
        <f t="shared" si="0"/>
        <v>284.15382903741835</v>
      </c>
      <c r="E18" s="28" t="s">
        <v>27</v>
      </c>
      <c r="F18" s="28">
        <v>144.16182254791261</v>
      </c>
      <c r="G18" s="28" t="s">
        <v>27</v>
      </c>
      <c r="H18" s="28">
        <v>85.807066058948635</v>
      </c>
      <c r="I18" s="28">
        <v>20.061721038535236</v>
      </c>
      <c r="J18" s="3">
        <v>34.123219392021873</v>
      </c>
      <c r="K18" s="28" t="s">
        <v>27</v>
      </c>
      <c r="L18" s="28" t="s">
        <v>27</v>
      </c>
      <c r="M18" s="28" t="s">
        <v>27</v>
      </c>
      <c r="N18" s="28" t="s">
        <v>27</v>
      </c>
      <c r="O18" s="28" t="s">
        <v>27</v>
      </c>
      <c r="P18" s="3" t="s">
        <v>27</v>
      </c>
      <c r="Q18" s="28" t="s">
        <v>27</v>
      </c>
      <c r="R18" s="28">
        <v>19.857000350952148</v>
      </c>
      <c r="S18" s="28" t="s">
        <v>27</v>
      </c>
      <c r="T18" s="28">
        <v>69.177000813186169</v>
      </c>
      <c r="U18" s="28">
        <v>45.469999924302101</v>
      </c>
      <c r="V18" s="28">
        <v>227.20800306997262</v>
      </c>
      <c r="W18" s="28" t="s">
        <v>27</v>
      </c>
      <c r="X18" s="28" t="s">
        <v>27</v>
      </c>
      <c r="Y18" s="28" t="s">
        <v>27</v>
      </c>
      <c r="Z18" s="28" t="s">
        <v>27</v>
      </c>
      <c r="AA18" s="28" t="s">
        <v>27</v>
      </c>
      <c r="AB18" s="28" t="s">
        <v>27</v>
      </c>
      <c r="AC18" s="12">
        <f t="shared" si="1"/>
        <v>361.71200415841304</v>
      </c>
    </row>
    <row r="19" spans="1:29" ht="15" customHeight="1">
      <c r="A19" s="4">
        <v>13</v>
      </c>
      <c r="B19" s="9" t="s">
        <v>39</v>
      </c>
      <c r="C19" s="22" t="s">
        <v>149</v>
      </c>
      <c r="D19" s="12">
        <f t="shared" si="0"/>
        <v>435.39624650242428</v>
      </c>
      <c r="E19" s="28" t="s">
        <v>27</v>
      </c>
      <c r="F19" s="28">
        <v>208.53066129791736</v>
      </c>
      <c r="G19" s="28" t="s">
        <v>27</v>
      </c>
      <c r="H19" s="28">
        <v>113.27479598849639</v>
      </c>
      <c r="I19" s="28">
        <v>64.472764623060826</v>
      </c>
      <c r="J19" s="3">
        <v>49.118024592949745</v>
      </c>
      <c r="K19" s="28" t="s">
        <v>27</v>
      </c>
      <c r="L19" s="28" t="s">
        <v>27</v>
      </c>
      <c r="M19" s="28" t="s">
        <v>27</v>
      </c>
      <c r="N19" s="28" t="s">
        <v>27</v>
      </c>
      <c r="O19" s="28" t="s">
        <v>27</v>
      </c>
      <c r="P19" s="3" t="s">
        <v>27</v>
      </c>
      <c r="Q19" s="28" t="s">
        <v>27</v>
      </c>
      <c r="R19" s="28">
        <v>27.505000233650208</v>
      </c>
      <c r="S19" s="28" t="s">
        <v>27</v>
      </c>
      <c r="T19" s="28">
        <v>76.194999990053475</v>
      </c>
      <c r="U19" s="28">
        <v>141.38500119745731</v>
      </c>
      <c r="V19" s="28">
        <v>320.37698467075825</v>
      </c>
      <c r="W19" s="28" t="s">
        <v>27</v>
      </c>
      <c r="X19" s="28" t="s">
        <v>27</v>
      </c>
      <c r="Y19" s="28" t="s">
        <v>27</v>
      </c>
      <c r="Z19" s="28" t="s">
        <v>27</v>
      </c>
      <c r="AA19" s="28" t="s">
        <v>27</v>
      </c>
      <c r="AB19" s="28" t="s">
        <v>27</v>
      </c>
      <c r="AC19" s="12">
        <f t="shared" si="1"/>
        <v>565.46198609191924</v>
      </c>
    </row>
    <row r="20" spans="1:29" ht="15" customHeight="1">
      <c r="A20" s="4">
        <v>14</v>
      </c>
      <c r="B20" s="9" t="s">
        <v>40</v>
      </c>
      <c r="C20" s="22" t="s">
        <v>149</v>
      </c>
      <c r="D20" s="12">
        <f t="shared" si="0"/>
        <v>442.1084253862283</v>
      </c>
      <c r="E20" s="28" t="s">
        <v>27</v>
      </c>
      <c r="F20" s="28">
        <v>149.69225173287839</v>
      </c>
      <c r="G20" s="28">
        <v>47.381597750484943</v>
      </c>
      <c r="H20" s="28">
        <v>94.750187439203259</v>
      </c>
      <c r="I20" s="28">
        <v>60.282518526360391</v>
      </c>
      <c r="J20" s="3">
        <v>90.001869937301336</v>
      </c>
      <c r="K20" s="28" t="s">
        <v>27</v>
      </c>
      <c r="L20" s="28" t="s">
        <v>27</v>
      </c>
      <c r="M20" s="28" t="s">
        <v>27</v>
      </c>
      <c r="N20" s="28" t="s">
        <v>27</v>
      </c>
      <c r="O20" s="28" t="s">
        <v>27</v>
      </c>
      <c r="P20" s="3" t="s">
        <v>27</v>
      </c>
      <c r="Q20" s="28" t="s">
        <v>27</v>
      </c>
      <c r="R20" s="28">
        <v>31.321000190451741</v>
      </c>
      <c r="S20" s="28">
        <v>17.596999943256378</v>
      </c>
      <c r="T20" s="28">
        <v>77.272000420838594</v>
      </c>
      <c r="U20" s="28">
        <v>144.25899909436703</v>
      </c>
      <c r="V20" s="28">
        <v>619.96498984843493</v>
      </c>
      <c r="W20" s="28" t="s">
        <v>27</v>
      </c>
      <c r="X20" s="28" t="s">
        <v>27</v>
      </c>
      <c r="Y20" s="28" t="s">
        <v>27</v>
      </c>
      <c r="Z20" s="28" t="s">
        <v>27</v>
      </c>
      <c r="AA20" s="28" t="s">
        <v>27</v>
      </c>
      <c r="AB20" s="28" t="s">
        <v>27</v>
      </c>
      <c r="AC20" s="12">
        <f t="shared" si="1"/>
        <v>890.41398949734867</v>
      </c>
    </row>
    <row r="21" spans="1:29" ht="15" customHeight="1">
      <c r="A21" s="4">
        <v>15</v>
      </c>
      <c r="B21" s="9" t="s">
        <v>41</v>
      </c>
      <c r="C21" s="22" t="s">
        <v>157</v>
      </c>
      <c r="D21" s="12">
        <f t="shared" si="0"/>
        <v>2140.7807934742709</v>
      </c>
      <c r="E21" s="28">
        <v>876.18849061286448</v>
      </c>
      <c r="F21" s="28">
        <v>24.112019773483276</v>
      </c>
      <c r="G21" s="28">
        <v>61.310773193106058</v>
      </c>
      <c r="H21" s="28">
        <v>371.51272688924149</v>
      </c>
      <c r="I21" s="28">
        <v>73.083982805013662</v>
      </c>
      <c r="J21" s="3">
        <v>115.17059697574314</v>
      </c>
      <c r="K21" s="28">
        <v>323.79469951438904</v>
      </c>
      <c r="L21" s="28" t="s">
        <v>27</v>
      </c>
      <c r="M21" s="28">
        <v>75.707048692308362</v>
      </c>
      <c r="N21" s="28">
        <v>109.36690395152569</v>
      </c>
      <c r="O21" s="28">
        <v>36.935440292865039</v>
      </c>
      <c r="P21" s="3">
        <v>73.598110773730752</v>
      </c>
      <c r="Q21" s="28">
        <v>15.679999709129333</v>
      </c>
      <c r="R21" s="28">
        <v>1.4270000457763672</v>
      </c>
      <c r="S21" s="28">
        <v>6.3619999065995216</v>
      </c>
      <c r="T21" s="28">
        <v>59.659000298008323</v>
      </c>
      <c r="U21" s="28">
        <v>60.44200088083744</v>
      </c>
      <c r="V21" s="28">
        <v>408.46300179511309</v>
      </c>
      <c r="W21" s="28">
        <v>4.192000150680542</v>
      </c>
      <c r="X21" s="28" t="s">
        <v>27</v>
      </c>
      <c r="Y21" s="28">
        <v>5.4060001038014889</v>
      </c>
      <c r="Z21" s="28">
        <v>10.479000017046928</v>
      </c>
      <c r="AA21" s="28">
        <v>9.1190000027418137</v>
      </c>
      <c r="AB21" s="28">
        <v>122.64499896764755</v>
      </c>
      <c r="AC21" s="12">
        <f t="shared" si="1"/>
        <v>703.8740018773824</v>
      </c>
    </row>
    <row r="22" spans="1:29" ht="15" customHeight="1">
      <c r="A22" s="4">
        <v>16</v>
      </c>
      <c r="B22" s="9" t="s">
        <v>42</v>
      </c>
      <c r="C22" s="22" t="s">
        <v>149</v>
      </c>
      <c r="D22" s="12">
        <f t="shared" si="0"/>
        <v>465.7750449138847</v>
      </c>
      <c r="E22" s="28" t="s">
        <v>27</v>
      </c>
      <c r="F22" s="28">
        <v>155.01418793651462</v>
      </c>
      <c r="G22" s="28" t="s">
        <v>27</v>
      </c>
      <c r="H22" s="28">
        <v>196.83659395667911</v>
      </c>
      <c r="I22" s="28">
        <v>44.547964013978842</v>
      </c>
      <c r="J22" s="3">
        <v>69.376299006712131</v>
      </c>
      <c r="K22" s="28" t="s">
        <v>27</v>
      </c>
      <c r="L22" s="28" t="s">
        <v>27</v>
      </c>
      <c r="M22" s="28" t="s">
        <v>27</v>
      </c>
      <c r="N22" s="28" t="s">
        <v>27</v>
      </c>
      <c r="O22" s="28" t="s">
        <v>27</v>
      </c>
      <c r="P22" s="3" t="s">
        <v>27</v>
      </c>
      <c r="Q22" s="28" t="s">
        <v>27</v>
      </c>
      <c r="R22" s="28">
        <v>17.968000456690788</v>
      </c>
      <c r="S22" s="28" t="s">
        <v>27</v>
      </c>
      <c r="T22" s="28">
        <v>91.136999666690826</v>
      </c>
      <c r="U22" s="28">
        <v>120.95700018107891</v>
      </c>
      <c r="V22" s="28">
        <v>517.12799969315529</v>
      </c>
      <c r="W22" s="28" t="s">
        <v>27</v>
      </c>
      <c r="X22" s="28" t="s">
        <v>27</v>
      </c>
      <c r="Y22" s="28" t="s">
        <v>27</v>
      </c>
      <c r="Z22" s="28" t="s">
        <v>27</v>
      </c>
      <c r="AA22" s="28" t="s">
        <v>27</v>
      </c>
      <c r="AB22" s="28" t="s">
        <v>27</v>
      </c>
      <c r="AC22" s="12">
        <f t="shared" si="1"/>
        <v>747.18999999761581</v>
      </c>
    </row>
    <row r="23" spans="1:29" ht="15" customHeight="1">
      <c r="A23" s="4">
        <v>17</v>
      </c>
      <c r="B23" s="9" t="s">
        <v>43</v>
      </c>
      <c r="C23" s="22" t="s">
        <v>150</v>
      </c>
      <c r="D23" s="12">
        <f t="shared" si="0"/>
        <v>506.36113257170547</v>
      </c>
      <c r="E23" s="28">
        <v>38.556484960556027</v>
      </c>
      <c r="F23" s="28">
        <v>136.52909536004066</v>
      </c>
      <c r="G23" s="28">
        <v>14.985449980795384</v>
      </c>
      <c r="H23" s="28">
        <v>117.34829549609125</v>
      </c>
      <c r="I23" s="28">
        <v>24.814420953750609</v>
      </c>
      <c r="J23" s="3">
        <v>47.8295577242504</v>
      </c>
      <c r="K23" s="28" t="s">
        <v>27</v>
      </c>
      <c r="L23" s="28" t="s">
        <v>27</v>
      </c>
      <c r="M23" s="28">
        <v>4.8934801697731016</v>
      </c>
      <c r="N23" s="28">
        <v>91.473795410800719</v>
      </c>
      <c r="O23" s="28">
        <v>10.491669213082641</v>
      </c>
      <c r="P23" s="3">
        <v>19.438883302564697</v>
      </c>
      <c r="Q23" s="28">
        <v>2.5469999313354492</v>
      </c>
      <c r="R23" s="28">
        <v>15.563000053167343</v>
      </c>
      <c r="S23" s="28">
        <v>4.6289999932050705</v>
      </c>
      <c r="T23" s="28">
        <v>73.846000507473946</v>
      </c>
      <c r="U23" s="28">
        <v>76.74500048160553</v>
      </c>
      <c r="V23" s="28">
        <v>386.73299982771277</v>
      </c>
      <c r="W23" s="28" t="s">
        <v>27</v>
      </c>
      <c r="X23" s="28" t="s">
        <v>27</v>
      </c>
      <c r="Y23" s="28">
        <v>0.5910000205039978</v>
      </c>
      <c r="Z23" s="28">
        <v>16.215999983251095</v>
      </c>
      <c r="AA23" s="28">
        <v>5.1100000850856304</v>
      </c>
      <c r="AB23" s="28">
        <v>49.523999974131584</v>
      </c>
      <c r="AC23" s="12">
        <f t="shared" si="1"/>
        <v>631.50400085747242</v>
      </c>
    </row>
    <row r="24" spans="1:29" ht="15" customHeight="1">
      <c r="A24" s="4">
        <v>18</v>
      </c>
      <c r="B24" s="9" t="s">
        <v>44</v>
      </c>
      <c r="C24" s="22" t="s">
        <v>150</v>
      </c>
      <c r="D24" s="12">
        <f t="shared" si="0"/>
        <v>809.19387454677258</v>
      </c>
      <c r="E24" s="28" t="s">
        <v>27</v>
      </c>
      <c r="F24" s="28">
        <v>177.96562873458862</v>
      </c>
      <c r="G24" s="28">
        <v>65.404142404556268</v>
      </c>
      <c r="H24" s="28">
        <v>94.598755145311358</v>
      </c>
      <c r="I24" s="28">
        <v>59.549608239162716</v>
      </c>
      <c r="J24" s="3">
        <v>152.61220551327614</v>
      </c>
      <c r="K24" s="28" t="s">
        <v>27</v>
      </c>
      <c r="L24" s="28" t="s">
        <v>27</v>
      </c>
      <c r="M24" s="28">
        <v>81.03707913671434</v>
      </c>
      <c r="N24" s="28">
        <v>89.20261715498566</v>
      </c>
      <c r="O24" s="28">
        <v>44.374132301151754</v>
      </c>
      <c r="P24" s="3">
        <v>44.44970591702576</v>
      </c>
      <c r="Q24" s="28" t="s">
        <v>27</v>
      </c>
      <c r="R24" s="28">
        <v>22.424000531435013</v>
      </c>
      <c r="S24" s="28">
        <v>13.13599967956543</v>
      </c>
      <c r="T24" s="28">
        <v>42.346000403165817</v>
      </c>
      <c r="U24" s="28">
        <v>91.187000248581171</v>
      </c>
      <c r="V24" s="28">
        <v>795.34899994730949</v>
      </c>
      <c r="W24" s="28" t="s">
        <v>27</v>
      </c>
      <c r="X24" s="28" t="s">
        <v>27</v>
      </c>
      <c r="Y24" s="28">
        <v>5.1009999439120293</v>
      </c>
      <c r="Z24" s="28">
        <v>10.58899987116456</v>
      </c>
      <c r="AA24" s="28">
        <v>13.421000100672245</v>
      </c>
      <c r="AB24" s="28">
        <v>84.086999997496605</v>
      </c>
      <c r="AC24" s="12">
        <f t="shared" si="1"/>
        <v>1077.6400007233024</v>
      </c>
    </row>
    <row r="25" spans="1:29" ht="15" customHeight="1">
      <c r="A25" s="4">
        <v>19</v>
      </c>
      <c r="B25" s="9" t="s">
        <v>45</v>
      </c>
      <c r="C25" s="22" t="s">
        <v>151</v>
      </c>
      <c r="D25" s="12">
        <f t="shared" si="0"/>
        <v>2162.8336343990695</v>
      </c>
      <c r="E25" s="28" t="s">
        <v>27</v>
      </c>
      <c r="F25" s="28">
        <v>125.70708848977088</v>
      </c>
      <c r="G25" s="28">
        <v>69.091209473580122</v>
      </c>
      <c r="H25" s="28">
        <v>26.370729892432689</v>
      </c>
      <c r="I25" s="28">
        <v>27.467421549141406</v>
      </c>
      <c r="J25" s="3">
        <v>28.282703335028927</v>
      </c>
      <c r="K25" s="28">
        <v>766.70587211334703</v>
      </c>
      <c r="L25" s="28">
        <v>34.271800678968432</v>
      </c>
      <c r="M25" s="28">
        <v>591.49234379734469</v>
      </c>
      <c r="N25" s="28">
        <v>191.29147798015177</v>
      </c>
      <c r="O25" s="28">
        <v>125.74623240287602</v>
      </c>
      <c r="P25" s="3">
        <v>176.4067546864274</v>
      </c>
      <c r="Q25" s="28" t="s">
        <v>27</v>
      </c>
      <c r="R25" s="28">
        <v>10.198000192642212</v>
      </c>
      <c r="S25" s="28">
        <v>9.3839999362826347</v>
      </c>
      <c r="T25" s="28">
        <v>20.786999963223934</v>
      </c>
      <c r="U25" s="28">
        <v>34.960000425577164</v>
      </c>
      <c r="V25" s="28">
        <v>131.31600034236908</v>
      </c>
      <c r="W25" s="28">
        <v>9.5339998006820679</v>
      </c>
      <c r="X25" s="28">
        <v>0.69800001382827759</v>
      </c>
      <c r="Y25" s="28">
        <v>30.520999910309911</v>
      </c>
      <c r="Z25" s="28">
        <v>34.463999817147851</v>
      </c>
      <c r="AA25" s="28">
        <v>27.513999985530972</v>
      </c>
      <c r="AB25" s="28">
        <v>272.60300368070602</v>
      </c>
      <c r="AC25" s="12">
        <f t="shared" si="1"/>
        <v>581.97900406830013</v>
      </c>
    </row>
    <row r="26" spans="1:29" ht="15" customHeight="1">
      <c r="A26" s="4">
        <v>20</v>
      </c>
      <c r="B26" s="9" t="s">
        <v>46</v>
      </c>
      <c r="C26" s="22" t="s">
        <v>149</v>
      </c>
      <c r="D26" s="12">
        <f t="shared" si="0"/>
        <v>162.60925626868797</v>
      </c>
      <c r="E26" s="28" t="s">
        <v>27</v>
      </c>
      <c r="F26" s="28">
        <v>35.100047262191772</v>
      </c>
      <c r="G26" s="28">
        <v>21.922389488220215</v>
      </c>
      <c r="H26" s="28">
        <v>64.046225389428443</v>
      </c>
      <c r="I26" s="28">
        <v>13.474630733788013</v>
      </c>
      <c r="J26" s="3">
        <v>28.065963395059523</v>
      </c>
      <c r="K26" s="28" t="s">
        <v>27</v>
      </c>
      <c r="L26" s="28" t="s">
        <v>27</v>
      </c>
      <c r="M26" s="28" t="s">
        <v>27</v>
      </c>
      <c r="N26" s="28" t="s">
        <v>27</v>
      </c>
      <c r="O26" s="28" t="s">
        <v>27</v>
      </c>
      <c r="P26" s="3" t="s">
        <v>27</v>
      </c>
      <c r="Q26" s="28" t="s">
        <v>27</v>
      </c>
      <c r="R26" s="28">
        <v>12.65500009059906</v>
      </c>
      <c r="S26" s="28">
        <v>19.18999969959259</v>
      </c>
      <c r="T26" s="28">
        <v>38.91299955919385</v>
      </c>
      <c r="U26" s="28">
        <v>41.146999299526215</v>
      </c>
      <c r="V26" s="28">
        <v>225.13500142097473</v>
      </c>
      <c r="W26" s="28" t="s">
        <v>27</v>
      </c>
      <c r="X26" s="28" t="s">
        <v>27</v>
      </c>
      <c r="Y26" s="28" t="s">
        <v>27</v>
      </c>
      <c r="Z26" s="28" t="s">
        <v>27</v>
      </c>
      <c r="AA26" s="28" t="s">
        <v>27</v>
      </c>
      <c r="AB26" s="28" t="s">
        <v>27</v>
      </c>
      <c r="AC26" s="12">
        <f t="shared" si="1"/>
        <v>337.04000006988645</v>
      </c>
    </row>
    <row r="27" spans="1:29" ht="15" customHeight="1">
      <c r="A27" s="4">
        <v>21</v>
      </c>
      <c r="B27" s="9" t="s">
        <v>47</v>
      </c>
      <c r="C27" s="22" t="s">
        <v>149</v>
      </c>
      <c r="D27" s="12">
        <f t="shared" si="0"/>
        <v>654.75814395393252</v>
      </c>
      <c r="E27" s="28">
        <v>366.16612500000002</v>
      </c>
      <c r="F27" s="28" t="s">
        <v>27</v>
      </c>
      <c r="G27" s="28" t="s">
        <v>27</v>
      </c>
      <c r="H27" s="28">
        <v>246.12996839641033</v>
      </c>
      <c r="I27" s="28">
        <v>17.096690100014211</v>
      </c>
      <c r="J27" s="3">
        <v>25.365360457507943</v>
      </c>
      <c r="K27" s="28" t="s">
        <v>27</v>
      </c>
      <c r="L27" s="28" t="s">
        <v>27</v>
      </c>
      <c r="M27" s="28" t="s">
        <v>27</v>
      </c>
      <c r="N27" s="28" t="s">
        <v>27</v>
      </c>
      <c r="O27" s="28" t="s">
        <v>27</v>
      </c>
      <c r="P27" s="3" t="s">
        <v>27</v>
      </c>
      <c r="Q27" s="28">
        <v>14.625</v>
      </c>
      <c r="R27" s="28" t="s">
        <v>27</v>
      </c>
      <c r="S27" s="28" t="s">
        <v>27</v>
      </c>
      <c r="T27" s="28">
        <v>62.64300000667572</v>
      </c>
      <c r="U27" s="28">
        <v>30.678000152111053</v>
      </c>
      <c r="V27" s="28">
        <v>145.95999927259982</v>
      </c>
      <c r="W27" s="28" t="s">
        <v>27</v>
      </c>
      <c r="X27" s="28" t="s">
        <v>27</v>
      </c>
      <c r="Y27" s="28" t="s">
        <v>27</v>
      </c>
      <c r="Z27" s="28" t="s">
        <v>27</v>
      </c>
      <c r="AA27" s="28" t="s">
        <v>27</v>
      </c>
      <c r="AB27" s="28" t="s">
        <v>27</v>
      </c>
      <c r="AC27" s="12">
        <f t="shared" si="1"/>
        <v>253.90599943138659</v>
      </c>
    </row>
    <row r="28" spans="1:29" ht="15" customHeight="1">
      <c r="A28" s="4">
        <v>22</v>
      </c>
      <c r="B28" s="9" t="s">
        <v>48</v>
      </c>
      <c r="C28" s="22" t="s">
        <v>149</v>
      </c>
      <c r="D28" s="12">
        <f t="shared" si="0"/>
        <v>1148.9635711375781</v>
      </c>
      <c r="E28" s="28">
        <v>514.45518625354771</v>
      </c>
      <c r="F28" s="28">
        <v>91.788335815854367</v>
      </c>
      <c r="G28" s="28">
        <v>62.057826140910386</v>
      </c>
      <c r="H28" s="28">
        <v>256.94988269034775</v>
      </c>
      <c r="I28" s="28">
        <v>82.070136338949197</v>
      </c>
      <c r="J28" s="3">
        <v>141.64220389796884</v>
      </c>
      <c r="K28" s="28" t="s">
        <v>27</v>
      </c>
      <c r="L28" s="28" t="s">
        <v>27</v>
      </c>
      <c r="M28" s="28" t="s">
        <v>27</v>
      </c>
      <c r="N28" s="28" t="s">
        <v>27</v>
      </c>
      <c r="O28" s="28" t="s">
        <v>27</v>
      </c>
      <c r="P28" s="3" t="s">
        <v>27</v>
      </c>
      <c r="Q28" s="28">
        <v>32.147000432014465</v>
      </c>
      <c r="R28" s="28">
        <v>18.769000412896276</v>
      </c>
      <c r="S28" s="28">
        <v>11.72100006788969</v>
      </c>
      <c r="T28" s="28">
        <v>85.336000492796302</v>
      </c>
      <c r="U28" s="28">
        <v>112.586999155581</v>
      </c>
      <c r="V28" s="28">
        <v>689.17000025510788</v>
      </c>
      <c r="W28" s="28" t="s">
        <v>27</v>
      </c>
      <c r="X28" s="28" t="s">
        <v>27</v>
      </c>
      <c r="Y28" s="28" t="s">
        <v>27</v>
      </c>
      <c r="Z28" s="28" t="s">
        <v>27</v>
      </c>
      <c r="AA28" s="28" t="s">
        <v>27</v>
      </c>
      <c r="AB28" s="28" t="s">
        <v>27</v>
      </c>
      <c r="AC28" s="12">
        <f t="shared" si="1"/>
        <v>949.73000081628561</v>
      </c>
    </row>
    <row r="29" spans="1:29" ht="15" customHeight="1">
      <c r="A29" s="4">
        <v>23</v>
      </c>
      <c r="B29" s="9" t="s">
        <v>49</v>
      </c>
      <c r="C29" s="22" t="s">
        <v>149</v>
      </c>
      <c r="D29" s="12">
        <f t="shared" si="0"/>
        <v>406.71664424262366</v>
      </c>
      <c r="E29" s="28" t="s">
        <v>27</v>
      </c>
      <c r="F29" s="28">
        <v>115.28717046040296</v>
      </c>
      <c r="G29" s="28" t="s">
        <v>27</v>
      </c>
      <c r="H29" s="28">
        <v>144.09798927493392</v>
      </c>
      <c r="I29" s="28">
        <v>51.882298036634921</v>
      </c>
      <c r="J29" s="3">
        <v>95.449186470651924</v>
      </c>
      <c r="K29" s="28" t="s">
        <v>27</v>
      </c>
      <c r="L29" s="28" t="s">
        <v>27</v>
      </c>
      <c r="M29" s="28" t="s">
        <v>27</v>
      </c>
      <c r="N29" s="28" t="s">
        <v>27</v>
      </c>
      <c r="O29" s="28" t="s">
        <v>27</v>
      </c>
      <c r="P29" s="3" t="s">
        <v>27</v>
      </c>
      <c r="Q29" s="28" t="s">
        <v>27</v>
      </c>
      <c r="R29" s="28">
        <v>23.715000301599503</v>
      </c>
      <c r="S29" s="28" t="s">
        <v>27</v>
      </c>
      <c r="T29" s="28">
        <v>95.608000919222832</v>
      </c>
      <c r="U29" s="28">
        <v>95.79399961233139</v>
      </c>
      <c r="V29" s="28">
        <v>559.13299988210201</v>
      </c>
      <c r="W29" s="28" t="s">
        <v>27</v>
      </c>
      <c r="X29" s="28" t="s">
        <v>27</v>
      </c>
      <c r="Y29" s="28" t="s">
        <v>27</v>
      </c>
      <c r="Z29" s="28" t="s">
        <v>27</v>
      </c>
      <c r="AA29" s="28" t="s">
        <v>27</v>
      </c>
      <c r="AB29" s="28" t="s">
        <v>27</v>
      </c>
      <c r="AC29" s="12">
        <f t="shared" si="1"/>
        <v>774.25000071525574</v>
      </c>
    </row>
    <row r="30" spans="1:29" ht="15" customHeight="1">
      <c r="A30" s="4">
        <v>24</v>
      </c>
      <c r="B30" s="9" t="s">
        <v>50</v>
      </c>
      <c r="C30" s="22" t="s">
        <v>157</v>
      </c>
      <c r="D30" s="12">
        <f t="shared" si="0"/>
        <v>2193.8802057957064</v>
      </c>
      <c r="E30" s="28">
        <v>374.84299594116209</v>
      </c>
      <c r="F30" s="28">
        <v>464.81924582189322</v>
      </c>
      <c r="G30" s="28">
        <v>34.397230293750766</v>
      </c>
      <c r="H30" s="28">
        <v>179.02279223601519</v>
      </c>
      <c r="I30" s="28">
        <v>102.93514197957516</v>
      </c>
      <c r="J30" s="3">
        <v>115.23779080277696</v>
      </c>
      <c r="K30" s="28">
        <v>100.92409875488281</v>
      </c>
      <c r="L30" s="28">
        <v>63.348439360141754</v>
      </c>
      <c r="M30" s="28">
        <v>300.17035716535526</v>
      </c>
      <c r="N30" s="28">
        <v>244.35207171519102</v>
      </c>
      <c r="O30" s="28">
        <v>77.982975535772738</v>
      </c>
      <c r="P30" s="3">
        <v>135.84706618918972</v>
      </c>
      <c r="Q30" s="28">
        <v>19.630000591278076</v>
      </c>
      <c r="R30" s="28">
        <v>47.39100070297718</v>
      </c>
      <c r="S30" s="28">
        <v>7.9270000457763672</v>
      </c>
      <c r="T30" s="28">
        <v>99.099000513553619</v>
      </c>
      <c r="U30" s="28">
        <v>163.53200197219849</v>
      </c>
      <c r="V30" s="28">
        <v>614.54100072383881</v>
      </c>
      <c r="W30" s="28">
        <v>3.9130001068115234</v>
      </c>
      <c r="X30" s="28">
        <v>4.6970000267028809</v>
      </c>
      <c r="Y30" s="28">
        <v>22.663999740965664</v>
      </c>
      <c r="Z30" s="28">
        <v>31.26699985191226</v>
      </c>
      <c r="AA30" s="28">
        <v>18.527000050991774</v>
      </c>
      <c r="AB30" s="28">
        <v>221.00399997830391</v>
      </c>
      <c r="AC30" s="12">
        <f t="shared" si="1"/>
        <v>1254.1920043053105</v>
      </c>
    </row>
    <row r="31" spans="1:29" ht="15" customHeight="1">
      <c r="A31" s="4">
        <v>25</v>
      </c>
      <c r="B31" s="9" t="s">
        <v>51</v>
      </c>
      <c r="C31" s="22" t="s">
        <v>150</v>
      </c>
      <c r="D31" s="12">
        <f t="shared" si="0"/>
        <v>1275.911317135118</v>
      </c>
      <c r="E31" s="28">
        <v>391.86436079788206</v>
      </c>
      <c r="F31" s="28">
        <v>203.455815487206</v>
      </c>
      <c r="G31" s="28">
        <v>10.342679629325866</v>
      </c>
      <c r="H31" s="28">
        <v>148.78067517306283</v>
      </c>
      <c r="I31" s="28">
        <v>53.892148335441945</v>
      </c>
      <c r="J31" s="3">
        <v>45.027925967617271</v>
      </c>
      <c r="K31" s="28">
        <v>113.80111918902398</v>
      </c>
      <c r="L31" s="28" t="s">
        <v>27</v>
      </c>
      <c r="M31" s="28">
        <v>67.934976036921142</v>
      </c>
      <c r="N31" s="28">
        <v>161.64245712821557</v>
      </c>
      <c r="O31" s="28">
        <v>36.590879926808178</v>
      </c>
      <c r="P31" s="3">
        <v>42.578279463613157</v>
      </c>
      <c r="Q31" s="28">
        <v>12.263000011444092</v>
      </c>
      <c r="R31" s="28">
        <v>17.629000119864941</v>
      </c>
      <c r="S31" s="28">
        <v>4.3639998435974121</v>
      </c>
      <c r="T31" s="28">
        <v>44.969999754801393</v>
      </c>
      <c r="U31" s="28">
        <v>64.044000193476677</v>
      </c>
      <c r="V31" s="28">
        <v>200.29000045359135</v>
      </c>
      <c r="W31" s="28">
        <v>2.5169999599456787</v>
      </c>
      <c r="X31" s="28" t="s">
        <v>27</v>
      </c>
      <c r="Y31" s="28">
        <v>3.5269999094307423</v>
      </c>
      <c r="Z31" s="28">
        <v>15.307999987155199</v>
      </c>
      <c r="AA31" s="28">
        <v>11.222000017762184</v>
      </c>
      <c r="AB31" s="28">
        <v>81.25</v>
      </c>
      <c r="AC31" s="12">
        <f t="shared" si="1"/>
        <v>457.38400025106966</v>
      </c>
    </row>
    <row r="32" spans="1:29" ht="15" customHeight="1">
      <c r="A32" s="4">
        <v>26</v>
      </c>
      <c r="B32" s="9" t="s">
        <v>52</v>
      </c>
      <c r="C32" s="22" t="s">
        <v>149</v>
      </c>
      <c r="D32" s="12">
        <f t="shared" si="0"/>
        <v>667.57518251363501</v>
      </c>
      <c r="E32" s="28" t="s">
        <v>27</v>
      </c>
      <c r="F32" s="28">
        <v>170.06055382776259</v>
      </c>
      <c r="G32" s="28">
        <v>123.60938271882385</v>
      </c>
      <c r="H32" s="28">
        <v>193.31589465299248</v>
      </c>
      <c r="I32" s="28">
        <v>70.144840664640071</v>
      </c>
      <c r="J32" s="3">
        <v>110.44451064941602</v>
      </c>
      <c r="K32" s="28" t="s">
        <v>27</v>
      </c>
      <c r="L32" s="28" t="s">
        <v>27</v>
      </c>
      <c r="M32" s="28" t="s">
        <v>27</v>
      </c>
      <c r="N32" s="28" t="s">
        <v>27</v>
      </c>
      <c r="O32" s="28" t="s">
        <v>27</v>
      </c>
      <c r="P32" s="3" t="s">
        <v>27</v>
      </c>
      <c r="Q32" s="28" t="s">
        <v>27</v>
      </c>
      <c r="R32" s="28">
        <v>25.336000263690948</v>
      </c>
      <c r="S32" s="28">
        <v>16.162000045180321</v>
      </c>
      <c r="T32" s="28">
        <v>92.278000183403492</v>
      </c>
      <c r="U32" s="28">
        <v>89.43800038844347</v>
      </c>
      <c r="V32" s="28">
        <v>513.36199750006199</v>
      </c>
      <c r="W32" s="28" t="s">
        <v>27</v>
      </c>
      <c r="X32" s="28" t="s">
        <v>27</v>
      </c>
      <c r="Y32" s="28" t="s">
        <v>27</v>
      </c>
      <c r="Z32" s="28" t="s">
        <v>27</v>
      </c>
      <c r="AA32" s="28" t="s">
        <v>27</v>
      </c>
      <c r="AB32" s="28" t="s">
        <v>27</v>
      </c>
      <c r="AC32" s="12">
        <f t="shared" si="1"/>
        <v>736.57599838078022</v>
      </c>
    </row>
    <row r="33" spans="1:29" ht="15" customHeight="1">
      <c r="A33" s="4">
        <v>27</v>
      </c>
      <c r="B33" s="9" t="s">
        <v>53</v>
      </c>
      <c r="C33" s="22" t="s">
        <v>149</v>
      </c>
      <c r="D33" s="12">
        <f t="shared" si="0"/>
        <v>276.28055245990021</v>
      </c>
      <c r="E33" s="28" t="s">
        <v>27</v>
      </c>
      <c r="F33" s="28">
        <v>89.503420159369711</v>
      </c>
      <c r="G33" s="28">
        <v>51.562109144091608</v>
      </c>
      <c r="H33" s="28">
        <v>39.702882621735334</v>
      </c>
      <c r="I33" s="28">
        <v>45.7764408082068</v>
      </c>
      <c r="J33" s="3">
        <v>49.735699726496776</v>
      </c>
      <c r="K33" s="28" t="s">
        <v>27</v>
      </c>
      <c r="L33" s="28" t="s">
        <v>27</v>
      </c>
      <c r="M33" s="28" t="s">
        <v>27</v>
      </c>
      <c r="N33" s="28" t="s">
        <v>27</v>
      </c>
      <c r="O33" s="28" t="s">
        <v>27</v>
      </c>
      <c r="P33" s="3" t="s">
        <v>27</v>
      </c>
      <c r="Q33" s="28" t="s">
        <v>27</v>
      </c>
      <c r="R33" s="28">
        <v>21.308000013232231</v>
      </c>
      <c r="S33" s="28">
        <v>12.816000044345856</v>
      </c>
      <c r="T33" s="28">
        <v>21.255999356508255</v>
      </c>
      <c r="U33" s="28">
        <v>68.73499983549118</v>
      </c>
      <c r="V33" s="28">
        <v>256.0439920425415</v>
      </c>
      <c r="W33" s="28" t="s">
        <v>27</v>
      </c>
      <c r="X33" s="28" t="s">
        <v>27</v>
      </c>
      <c r="Y33" s="28" t="s">
        <v>27</v>
      </c>
      <c r="Z33" s="28" t="s">
        <v>27</v>
      </c>
      <c r="AA33" s="28" t="s">
        <v>27</v>
      </c>
      <c r="AB33" s="28" t="s">
        <v>27</v>
      </c>
      <c r="AC33" s="12">
        <f t="shared" si="1"/>
        <v>380.15899129211903</v>
      </c>
    </row>
    <row r="34" spans="1:29" ht="15" customHeight="1">
      <c r="A34" s="4">
        <v>28</v>
      </c>
      <c r="B34" s="9" t="s">
        <v>54</v>
      </c>
      <c r="C34" s="22" t="s">
        <v>149</v>
      </c>
      <c r="D34" s="12">
        <f t="shared" si="0"/>
        <v>237.5444822745153</v>
      </c>
      <c r="E34" s="28" t="s">
        <v>27</v>
      </c>
      <c r="F34" s="28" t="s">
        <v>27</v>
      </c>
      <c r="G34" s="28">
        <v>117.20948855620622</v>
      </c>
      <c r="H34" s="28">
        <v>46.97531419527531</v>
      </c>
      <c r="I34" s="28">
        <v>23.160235410690309</v>
      </c>
      <c r="J34" s="3">
        <v>50.19944411234345</v>
      </c>
      <c r="K34" s="28" t="s">
        <v>27</v>
      </c>
      <c r="L34" s="28" t="s">
        <v>27</v>
      </c>
      <c r="M34" s="28" t="s">
        <v>27</v>
      </c>
      <c r="N34" s="28" t="s">
        <v>27</v>
      </c>
      <c r="O34" s="28" t="s">
        <v>27</v>
      </c>
      <c r="P34" s="3" t="s">
        <v>27</v>
      </c>
      <c r="Q34" s="28" t="s">
        <v>27</v>
      </c>
      <c r="R34" s="28" t="s">
        <v>27</v>
      </c>
      <c r="S34" s="28">
        <v>30.511999607086182</v>
      </c>
      <c r="T34" s="28">
        <v>57.157000225037336</v>
      </c>
      <c r="U34" s="28">
        <v>73.395001173019409</v>
      </c>
      <c r="V34" s="28">
        <v>412.11899983882904</v>
      </c>
      <c r="W34" s="28" t="s">
        <v>27</v>
      </c>
      <c r="X34" s="28" t="s">
        <v>27</v>
      </c>
      <c r="Y34" s="28" t="s">
        <v>27</v>
      </c>
      <c r="Z34" s="28" t="s">
        <v>27</v>
      </c>
      <c r="AA34" s="28" t="s">
        <v>27</v>
      </c>
      <c r="AB34" s="28" t="s">
        <v>27</v>
      </c>
      <c r="AC34" s="12">
        <f t="shared" si="1"/>
        <v>573.18300084397197</v>
      </c>
    </row>
    <row r="35" spans="1:29" ht="15" customHeight="1">
      <c r="A35" s="4">
        <v>29</v>
      </c>
      <c r="B35" s="9" t="s">
        <v>55</v>
      </c>
      <c r="C35" s="22" t="s">
        <v>149</v>
      </c>
      <c r="D35" s="12">
        <f t="shared" si="0"/>
        <v>222.65140811291337</v>
      </c>
      <c r="E35" s="28" t="s">
        <v>27</v>
      </c>
      <c r="F35" s="28" t="s">
        <v>27</v>
      </c>
      <c r="G35" s="28">
        <v>126.25024480497837</v>
      </c>
      <c r="H35" s="28">
        <v>20.358151321768762</v>
      </c>
      <c r="I35" s="28">
        <v>31.372788765549661</v>
      </c>
      <c r="J35" s="3">
        <v>44.670223220616577</v>
      </c>
      <c r="K35" s="28" t="s">
        <v>27</v>
      </c>
      <c r="L35" s="28" t="s">
        <v>27</v>
      </c>
      <c r="M35" s="28" t="s">
        <v>27</v>
      </c>
      <c r="N35" s="28" t="s">
        <v>27</v>
      </c>
      <c r="O35" s="28" t="s">
        <v>27</v>
      </c>
      <c r="P35" s="3" t="s">
        <v>27</v>
      </c>
      <c r="Q35" s="28" t="s">
        <v>27</v>
      </c>
      <c r="R35" s="28" t="s">
        <v>27</v>
      </c>
      <c r="S35" s="28">
        <v>36.235999662429094</v>
      </c>
      <c r="T35" s="28">
        <v>20.533999919891357</v>
      </c>
      <c r="U35" s="28">
        <v>80.321999371051788</v>
      </c>
      <c r="V35" s="28">
        <v>320.96601536870003</v>
      </c>
      <c r="W35" s="28" t="s">
        <v>27</v>
      </c>
      <c r="X35" s="28" t="s">
        <v>27</v>
      </c>
      <c r="Y35" s="28" t="s">
        <v>27</v>
      </c>
      <c r="Z35" s="28" t="s">
        <v>27</v>
      </c>
      <c r="AA35" s="28" t="s">
        <v>27</v>
      </c>
      <c r="AB35" s="28" t="s">
        <v>27</v>
      </c>
      <c r="AC35" s="12">
        <f t="shared" si="1"/>
        <v>458.05801432207227</v>
      </c>
    </row>
    <row r="36" spans="1:29" ht="15" customHeight="1">
      <c r="A36" s="4">
        <v>30</v>
      </c>
      <c r="B36" s="9" t="s">
        <v>56</v>
      </c>
      <c r="C36" s="22" t="s">
        <v>151</v>
      </c>
      <c r="D36" s="12">
        <f t="shared" si="0"/>
        <v>2084.94518992545</v>
      </c>
      <c r="E36" s="28" t="s">
        <v>27</v>
      </c>
      <c r="F36" s="28">
        <v>201.40502794682979</v>
      </c>
      <c r="G36" s="28">
        <v>137.42522021132709</v>
      </c>
      <c r="H36" s="28">
        <v>290.00486874084919</v>
      </c>
      <c r="I36" s="28">
        <v>76.275543394006789</v>
      </c>
      <c r="J36" s="3">
        <v>107.49317831286527</v>
      </c>
      <c r="K36" s="28" t="s">
        <v>27</v>
      </c>
      <c r="L36" s="28">
        <v>237.66491020441055</v>
      </c>
      <c r="M36" s="28">
        <v>466.47585369436445</v>
      </c>
      <c r="N36" s="28">
        <v>267.51987347949671</v>
      </c>
      <c r="O36" s="28">
        <v>158.48625732186437</v>
      </c>
      <c r="P36" s="3">
        <v>142.19445661943564</v>
      </c>
      <c r="Q36" s="28" t="s">
        <v>27</v>
      </c>
      <c r="R36" s="28">
        <v>27.315000176429749</v>
      </c>
      <c r="S36" s="28">
        <v>20.856000050902367</v>
      </c>
      <c r="T36" s="28">
        <v>67.23300020955503</v>
      </c>
      <c r="U36" s="28">
        <v>121.37599916383624</v>
      </c>
      <c r="V36" s="28">
        <v>573.825000397861</v>
      </c>
      <c r="W36" s="28" t="s">
        <v>27</v>
      </c>
      <c r="X36" s="28">
        <v>14.308000087738037</v>
      </c>
      <c r="Y36" s="28">
        <v>31.568999957293272</v>
      </c>
      <c r="Z36" s="28">
        <v>33.956999881193042</v>
      </c>
      <c r="AA36" s="28">
        <v>43.781000055372715</v>
      </c>
      <c r="AB36" s="28">
        <v>254.18500001728535</v>
      </c>
      <c r="AC36" s="12">
        <f t="shared" si="1"/>
        <v>1188.4049999974668</v>
      </c>
    </row>
    <row r="37" spans="1:29" ht="15" customHeight="1">
      <c r="A37" s="4">
        <v>31</v>
      </c>
      <c r="B37" s="9" t="s">
        <v>57</v>
      </c>
      <c r="C37" s="22" t="s">
        <v>149</v>
      </c>
      <c r="D37" s="12">
        <f t="shared" si="0"/>
        <v>321.71902476276392</v>
      </c>
      <c r="E37" s="28">
        <v>73.32120058536529</v>
      </c>
      <c r="F37" s="28" t="s">
        <v>27</v>
      </c>
      <c r="G37" s="28">
        <v>84.666341813810163</v>
      </c>
      <c r="H37" s="28">
        <v>73.745769500024622</v>
      </c>
      <c r="I37" s="28">
        <v>38.052166356921198</v>
      </c>
      <c r="J37" s="3">
        <v>51.933546506642664</v>
      </c>
      <c r="K37" s="28" t="s">
        <v>27</v>
      </c>
      <c r="L37" s="28" t="s">
        <v>27</v>
      </c>
      <c r="M37" s="28" t="s">
        <v>27</v>
      </c>
      <c r="N37" s="28" t="s">
        <v>27</v>
      </c>
      <c r="O37" s="28" t="s">
        <v>27</v>
      </c>
      <c r="P37" s="3" t="s">
        <v>27</v>
      </c>
      <c r="Q37" s="28">
        <v>2.628000020980835</v>
      </c>
      <c r="R37" s="28" t="s">
        <v>27</v>
      </c>
      <c r="S37" s="28">
        <v>20.029999990016222</v>
      </c>
      <c r="T37" s="28">
        <v>54.606000281870365</v>
      </c>
      <c r="U37" s="28">
        <v>72.444000124931335</v>
      </c>
      <c r="V37" s="28">
        <v>310.10100435093045</v>
      </c>
      <c r="W37" s="28" t="s">
        <v>27</v>
      </c>
      <c r="X37" s="28" t="s">
        <v>27</v>
      </c>
      <c r="Y37" s="28" t="s">
        <v>27</v>
      </c>
      <c r="Z37" s="28" t="s">
        <v>27</v>
      </c>
      <c r="AA37" s="28" t="s">
        <v>27</v>
      </c>
      <c r="AB37" s="28" t="s">
        <v>27</v>
      </c>
      <c r="AC37" s="12">
        <f t="shared" si="1"/>
        <v>459.80900476872921</v>
      </c>
    </row>
    <row r="38" spans="1:29" ht="15" customHeight="1">
      <c r="A38" s="4">
        <v>32</v>
      </c>
      <c r="B38" s="9" t="s">
        <v>58</v>
      </c>
      <c r="C38" s="22" t="s">
        <v>149</v>
      </c>
      <c r="D38" s="12">
        <f t="shared" si="0"/>
        <v>146.66022185464581</v>
      </c>
      <c r="E38" s="28" t="s">
        <v>27</v>
      </c>
      <c r="F38" s="28" t="s">
        <v>27</v>
      </c>
      <c r="G38" s="28">
        <v>48.342881073147062</v>
      </c>
      <c r="H38" s="28">
        <v>32.318349195957182</v>
      </c>
      <c r="I38" s="28">
        <v>20.72027393258363</v>
      </c>
      <c r="J38" s="3">
        <v>45.278717652957937</v>
      </c>
      <c r="K38" s="28" t="s">
        <v>27</v>
      </c>
      <c r="L38" s="28" t="s">
        <v>27</v>
      </c>
      <c r="M38" s="28" t="s">
        <v>27</v>
      </c>
      <c r="N38" s="28" t="s">
        <v>27</v>
      </c>
      <c r="O38" s="28" t="s">
        <v>27</v>
      </c>
      <c r="P38" s="3" t="s">
        <v>27</v>
      </c>
      <c r="Q38" s="28" t="s">
        <v>27</v>
      </c>
      <c r="R38" s="28" t="s">
        <v>27</v>
      </c>
      <c r="S38" s="28">
        <v>18.89000004529953</v>
      </c>
      <c r="T38" s="28">
        <v>50.641000270843506</v>
      </c>
      <c r="U38" s="28">
        <v>53.854999775998294</v>
      </c>
      <c r="V38" s="28">
        <v>328.41800305247307</v>
      </c>
      <c r="W38" s="28" t="s">
        <v>27</v>
      </c>
      <c r="X38" s="28" t="s">
        <v>27</v>
      </c>
      <c r="Y38" s="28" t="s">
        <v>27</v>
      </c>
      <c r="Z38" s="28" t="s">
        <v>27</v>
      </c>
      <c r="AA38" s="28" t="s">
        <v>27</v>
      </c>
      <c r="AB38" s="28" t="s">
        <v>27</v>
      </c>
      <c r="AC38" s="12">
        <f t="shared" si="1"/>
        <v>451.8040031446144</v>
      </c>
    </row>
    <row r="39" spans="1:29" ht="15" customHeight="1">
      <c r="A39" s="4">
        <v>33</v>
      </c>
      <c r="B39" s="9" t="s">
        <v>59</v>
      </c>
      <c r="C39" s="22" t="s">
        <v>149</v>
      </c>
      <c r="D39" s="12">
        <f t="shared" ref="D39:D70" si="2">SUM(E39:J39)+SUM(K39:P39)</f>
        <v>347.05768131410423</v>
      </c>
      <c r="E39" s="28" t="s">
        <v>27</v>
      </c>
      <c r="F39" s="28" t="s">
        <v>27</v>
      </c>
      <c r="G39" s="28" t="s">
        <v>27</v>
      </c>
      <c r="H39" s="28">
        <v>218.54508165523782</v>
      </c>
      <c r="I39" s="28">
        <v>54.536199913457033</v>
      </c>
      <c r="J39" s="3">
        <v>73.976399745409381</v>
      </c>
      <c r="K39" s="28" t="s">
        <v>27</v>
      </c>
      <c r="L39" s="28" t="s">
        <v>27</v>
      </c>
      <c r="M39" s="28" t="s">
        <v>27</v>
      </c>
      <c r="N39" s="28" t="s">
        <v>27</v>
      </c>
      <c r="O39" s="28" t="s">
        <v>27</v>
      </c>
      <c r="P39" s="3" t="s">
        <v>27</v>
      </c>
      <c r="Q39" s="28" t="s">
        <v>27</v>
      </c>
      <c r="R39" s="28" t="s">
        <v>27</v>
      </c>
      <c r="S39" s="28" t="s">
        <v>27</v>
      </c>
      <c r="T39" s="28">
        <v>60.905999472364783</v>
      </c>
      <c r="U39" s="28">
        <v>67.056999996304512</v>
      </c>
      <c r="V39" s="28">
        <v>336.14099994115531</v>
      </c>
      <c r="W39" s="28" t="s">
        <v>27</v>
      </c>
      <c r="X39" s="28" t="s">
        <v>27</v>
      </c>
      <c r="Y39" s="28" t="s">
        <v>27</v>
      </c>
      <c r="Z39" s="28" t="s">
        <v>27</v>
      </c>
      <c r="AA39" s="28" t="s">
        <v>27</v>
      </c>
      <c r="AB39" s="28" t="s">
        <v>27</v>
      </c>
      <c r="AC39" s="12">
        <f t="shared" ref="AC39:AC70" si="3">SUM(Q39:AB39)</f>
        <v>464.10399940982461</v>
      </c>
    </row>
    <row r="40" spans="1:29" ht="15" customHeight="1">
      <c r="A40" s="4">
        <v>34</v>
      </c>
      <c r="B40" s="9" t="s">
        <v>60</v>
      </c>
      <c r="C40" s="22" t="s">
        <v>158</v>
      </c>
      <c r="D40" s="12">
        <f t="shared" si="2"/>
        <v>7496.2831201761446</v>
      </c>
      <c r="E40" s="28" t="s">
        <v>27</v>
      </c>
      <c r="F40" s="28" t="s">
        <v>27</v>
      </c>
      <c r="G40" s="28" t="s">
        <v>27</v>
      </c>
      <c r="H40" s="28" t="s">
        <v>27</v>
      </c>
      <c r="I40" s="28" t="s">
        <v>27</v>
      </c>
      <c r="J40" s="3" t="s">
        <v>27</v>
      </c>
      <c r="K40" s="28">
        <v>1856.9421314520837</v>
      </c>
      <c r="L40" s="28">
        <v>858.82830632734294</v>
      </c>
      <c r="M40" s="28">
        <v>1745.487832600832</v>
      </c>
      <c r="N40" s="28">
        <v>1841.7437750536837</v>
      </c>
      <c r="O40" s="28">
        <v>645.23871904645671</v>
      </c>
      <c r="P40" s="3">
        <v>548.0423556957461</v>
      </c>
      <c r="Q40" s="28" t="s">
        <v>27</v>
      </c>
      <c r="R40" s="28" t="s">
        <v>27</v>
      </c>
      <c r="S40" s="28" t="s">
        <v>27</v>
      </c>
      <c r="T40" s="28" t="s">
        <v>27</v>
      </c>
      <c r="U40" s="28" t="s">
        <v>27</v>
      </c>
      <c r="V40" s="28" t="s">
        <v>27</v>
      </c>
      <c r="W40" s="28">
        <v>35.421000242233276</v>
      </c>
      <c r="X40" s="28">
        <v>13.763999938964844</v>
      </c>
      <c r="Y40" s="28">
        <v>56.532999960705638</v>
      </c>
      <c r="Z40" s="28">
        <v>141.09100039443001</v>
      </c>
      <c r="AA40" s="28">
        <v>158.7510001603514</v>
      </c>
      <c r="AB40" s="28">
        <v>911.28700029850006</v>
      </c>
      <c r="AC40" s="12">
        <f t="shared" si="3"/>
        <v>1316.8470009951852</v>
      </c>
    </row>
    <row r="41" spans="1:29" ht="15" customHeight="1">
      <c r="A41" s="4">
        <v>35</v>
      </c>
      <c r="B41" s="9" t="s">
        <v>61</v>
      </c>
      <c r="C41" s="22" t="s">
        <v>149</v>
      </c>
      <c r="D41" s="12">
        <f t="shared" si="2"/>
        <v>363.97791046126133</v>
      </c>
      <c r="E41" s="28" t="s">
        <v>27</v>
      </c>
      <c r="F41" s="28">
        <v>16.716624291837217</v>
      </c>
      <c r="G41" s="28">
        <v>141.95397635648027</v>
      </c>
      <c r="H41" s="28">
        <v>104.68221606694907</v>
      </c>
      <c r="I41" s="28">
        <v>37.380752588391303</v>
      </c>
      <c r="J41" s="3">
        <v>63.244341157603444</v>
      </c>
      <c r="K41" s="28" t="s">
        <v>27</v>
      </c>
      <c r="L41" s="28" t="s">
        <v>27</v>
      </c>
      <c r="M41" s="28" t="s">
        <v>27</v>
      </c>
      <c r="N41" s="28" t="s">
        <v>27</v>
      </c>
      <c r="O41" s="28" t="s">
        <v>27</v>
      </c>
      <c r="P41" s="3" t="s">
        <v>27</v>
      </c>
      <c r="Q41" s="28" t="s">
        <v>27</v>
      </c>
      <c r="R41" s="28">
        <v>5.4230000972747803</v>
      </c>
      <c r="S41" s="28">
        <v>34.783000281080604</v>
      </c>
      <c r="T41" s="28">
        <v>51.63899973873049</v>
      </c>
      <c r="U41" s="28">
        <v>70.815000474452972</v>
      </c>
      <c r="V41" s="28">
        <v>376.47501517087221</v>
      </c>
      <c r="W41" s="28" t="s">
        <v>27</v>
      </c>
      <c r="X41" s="28" t="s">
        <v>27</v>
      </c>
      <c r="Y41" s="28" t="s">
        <v>27</v>
      </c>
      <c r="Z41" s="28" t="s">
        <v>27</v>
      </c>
      <c r="AA41" s="28" t="s">
        <v>27</v>
      </c>
      <c r="AB41" s="28" t="s">
        <v>27</v>
      </c>
      <c r="AC41" s="12">
        <f t="shared" si="3"/>
        <v>539.13501576241106</v>
      </c>
    </row>
    <row r="42" spans="1:29" ht="15" customHeight="1">
      <c r="A42" s="4">
        <v>36</v>
      </c>
      <c r="B42" s="9" t="s">
        <v>62</v>
      </c>
      <c r="C42" s="22" t="s">
        <v>149</v>
      </c>
      <c r="D42" s="12">
        <f t="shared" si="2"/>
        <v>1426.1538539331873</v>
      </c>
      <c r="E42" s="28" t="s">
        <v>27</v>
      </c>
      <c r="F42" s="28">
        <v>705.41479910627004</v>
      </c>
      <c r="G42" s="28">
        <v>34.281817862946539</v>
      </c>
      <c r="H42" s="28">
        <v>306.50467782924324</v>
      </c>
      <c r="I42" s="28">
        <v>208.23078112065792</v>
      </c>
      <c r="J42" s="3">
        <v>171.72177801406963</v>
      </c>
      <c r="K42" s="28" t="s">
        <v>27</v>
      </c>
      <c r="L42" s="28" t="s">
        <v>27</v>
      </c>
      <c r="M42" s="28" t="s">
        <v>27</v>
      </c>
      <c r="N42" s="28" t="s">
        <v>27</v>
      </c>
      <c r="O42" s="28" t="s">
        <v>27</v>
      </c>
      <c r="P42" s="3" t="s">
        <v>27</v>
      </c>
      <c r="Q42" s="28" t="s">
        <v>27</v>
      </c>
      <c r="R42" s="28">
        <v>47.686000980436802</v>
      </c>
      <c r="S42" s="28">
        <v>4.5849999887868762</v>
      </c>
      <c r="T42" s="28">
        <v>101.0049986988306</v>
      </c>
      <c r="U42" s="28">
        <v>122.80899928510189</v>
      </c>
      <c r="V42" s="28">
        <v>493.05600026994944</v>
      </c>
      <c r="W42" s="28" t="s">
        <v>27</v>
      </c>
      <c r="X42" s="28" t="s">
        <v>27</v>
      </c>
      <c r="Y42" s="28" t="s">
        <v>27</v>
      </c>
      <c r="Z42" s="28" t="s">
        <v>27</v>
      </c>
      <c r="AA42" s="28" t="s">
        <v>27</v>
      </c>
      <c r="AB42" s="28" t="s">
        <v>27</v>
      </c>
      <c r="AC42" s="12">
        <f t="shared" si="3"/>
        <v>769.14099922310561</v>
      </c>
    </row>
    <row r="43" spans="1:29" ht="15" customHeight="1">
      <c r="A43" s="4">
        <v>37</v>
      </c>
      <c r="B43" s="9" t="s">
        <v>63</v>
      </c>
      <c r="C43" s="22" t="s">
        <v>150</v>
      </c>
      <c r="D43" s="12">
        <f t="shared" si="2"/>
        <v>1543.5431930198533</v>
      </c>
      <c r="E43" s="28">
        <v>493.03453609704974</v>
      </c>
      <c r="F43" s="28">
        <v>107.07237643411756</v>
      </c>
      <c r="G43" s="28">
        <v>130.63821663331984</v>
      </c>
      <c r="H43" s="28">
        <v>11.22675207477808</v>
      </c>
      <c r="I43" s="28">
        <v>73.358631042197345</v>
      </c>
      <c r="J43" s="3">
        <v>47.205323407131736</v>
      </c>
      <c r="K43" s="28" t="s">
        <v>27</v>
      </c>
      <c r="L43" s="28" t="s">
        <v>27</v>
      </c>
      <c r="M43" s="28">
        <v>390.6938262423277</v>
      </c>
      <c r="N43" s="28">
        <v>158.03409765058757</v>
      </c>
      <c r="O43" s="28">
        <v>64.319969384519382</v>
      </c>
      <c r="P43" s="3">
        <v>67.959464053824334</v>
      </c>
      <c r="Q43" s="28">
        <v>13.12799996137619</v>
      </c>
      <c r="R43" s="28">
        <v>5.4289998710155487</v>
      </c>
      <c r="S43" s="28">
        <v>33.760999321937561</v>
      </c>
      <c r="T43" s="28">
        <v>2.8500000089406967</v>
      </c>
      <c r="U43" s="28">
        <v>75.461000464856625</v>
      </c>
      <c r="V43" s="28">
        <v>191.86900775134563</v>
      </c>
      <c r="W43" s="28" t="s">
        <v>27</v>
      </c>
      <c r="X43" s="28" t="s">
        <v>27</v>
      </c>
      <c r="Y43" s="28">
        <v>17.934000134468079</v>
      </c>
      <c r="Z43" s="28">
        <v>17.655999880284071</v>
      </c>
      <c r="AA43" s="28">
        <v>19.646000010892749</v>
      </c>
      <c r="AB43" s="28">
        <v>129.35400289483368</v>
      </c>
      <c r="AC43" s="12">
        <f t="shared" si="3"/>
        <v>507.08801029995084</v>
      </c>
    </row>
    <row r="44" spans="1:29" ht="15" customHeight="1">
      <c r="A44" s="4">
        <v>38</v>
      </c>
      <c r="B44" s="9" t="s">
        <v>64</v>
      </c>
      <c r="C44" s="22" t="s">
        <v>149</v>
      </c>
      <c r="D44" s="12">
        <f t="shared" si="2"/>
        <v>196.68452207505723</v>
      </c>
      <c r="E44" s="28" t="s">
        <v>27</v>
      </c>
      <c r="F44" s="28">
        <v>39.923138514280318</v>
      </c>
      <c r="G44" s="28">
        <v>26.14722042822838</v>
      </c>
      <c r="H44" s="28">
        <v>81.33281592790037</v>
      </c>
      <c r="I44" s="28">
        <v>20.334004182159902</v>
      </c>
      <c r="J44" s="3">
        <v>28.947343022488251</v>
      </c>
      <c r="K44" s="28" t="s">
        <v>27</v>
      </c>
      <c r="L44" s="28" t="s">
        <v>27</v>
      </c>
      <c r="M44" s="28" t="s">
        <v>27</v>
      </c>
      <c r="N44" s="28" t="s">
        <v>27</v>
      </c>
      <c r="O44" s="28" t="s">
        <v>27</v>
      </c>
      <c r="P44" s="3" t="s">
        <v>27</v>
      </c>
      <c r="Q44" s="28" t="s">
        <v>27</v>
      </c>
      <c r="R44" s="28">
        <v>8.093999907374382</v>
      </c>
      <c r="S44" s="28">
        <v>25.109000325202942</v>
      </c>
      <c r="T44" s="28">
        <v>43.407999817281961</v>
      </c>
      <c r="U44" s="28">
        <v>55.090999811887741</v>
      </c>
      <c r="V44" s="28">
        <v>215.47899715788662</v>
      </c>
      <c r="W44" s="28" t="s">
        <v>27</v>
      </c>
      <c r="X44" s="28" t="s">
        <v>27</v>
      </c>
      <c r="Y44" s="28" t="s">
        <v>27</v>
      </c>
      <c r="Z44" s="28" t="s">
        <v>27</v>
      </c>
      <c r="AA44" s="28" t="s">
        <v>27</v>
      </c>
      <c r="AB44" s="28" t="s">
        <v>27</v>
      </c>
      <c r="AC44" s="12">
        <f t="shared" si="3"/>
        <v>347.18099701963365</v>
      </c>
    </row>
    <row r="45" spans="1:29" ht="15" customHeight="1">
      <c r="A45" s="4">
        <v>39</v>
      </c>
      <c r="B45" s="9" t="s">
        <v>65</v>
      </c>
      <c r="C45" s="22" t="s">
        <v>149</v>
      </c>
      <c r="D45" s="12">
        <f t="shared" si="2"/>
        <v>650.97717267959308</v>
      </c>
      <c r="E45" s="28">
        <v>457.37296435546875</v>
      </c>
      <c r="F45" s="28" t="s">
        <v>27</v>
      </c>
      <c r="G45" s="28">
        <v>5.3538819053620097</v>
      </c>
      <c r="H45" s="28">
        <v>139.86004217474164</v>
      </c>
      <c r="I45" s="28">
        <v>28.425469167083502</v>
      </c>
      <c r="J45" s="3">
        <v>19.964815076937185</v>
      </c>
      <c r="K45" s="28" t="s">
        <v>27</v>
      </c>
      <c r="L45" s="28" t="s">
        <v>27</v>
      </c>
      <c r="M45" s="28" t="s">
        <v>27</v>
      </c>
      <c r="N45" s="28" t="s">
        <v>27</v>
      </c>
      <c r="O45" s="28" t="s">
        <v>27</v>
      </c>
      <c r="P45" s="3" t="s">
        <v>27</v>
      </c>
      <c r="Q45" s="28">
        <v>16.457000732421875</v>
      </c>
      <c r="R45" s="28" t="s">
        <v>27</v>
      </c>
      <c r="S45" s="28">
        <v>2.0849999636411667</v>
      </c>
      <c r="T45" s="28">
        <v>40.450999416410923</v>
      </c>
      <c r="U45" s="28">
        <v>34.132000222802162</v>
      </c>
      <c r="V45" s="28">
        <v>89.383000873029232</v>
      </c>
      <c r="W45" s="28" t="s">
        <v>27</v>
      </c>
      <c r="X45" s="28" t="s">
        <v>27</v>
      </c>
      <c r="Y45" s="28" t="s">
        <v>27</v>
      </c>
      <c r="Z45" s="28" t="s">
        <v>27</v>
      </c>
      <c r="AA45" s="28" t="s">
        <v>27</v>
      </c>
      <c r="AB45" s="28" t="s">
        <v>27</v>
      </c>
      <c r="AC45" s="12">
        <f t="shared" si="3"/>
        <v>182.50800120830536</v>
      </c>
    </row>
    <row r="46" spans="1:29" ht="15" customHeight="1">
      <c r="A46" s="4">
        <v>40</v>
      </c>
      <c r="B46" s="9" t="s">
        <v>66</v>
      </c>
      <c r="C46" s="22" t="s">
        <v>149</v>
      </c>
      <c r="D46" s="12">
        <f t="shared" si="2"/>
        <v>375.87630715198077</v>
      </c>
      <c r="E46" s="28" t="s">
        <v>27</v>
      </c>
      <c r="F46" s="28">
        <v>220.94696022718401</v>
      </c>
      <c r="G46" s="28">
        <v>63.543730538584292</v>
      </c>
      <c r="H46" s="28">
        <v>30.673437211990358</v>
      </c>
      <c r="I46" s="28">
        <v>23.134708411097527</v>
      </c>
      <c r="J46" s="3">
        <v>37.577470763124623</v>
      </c>
      <c r="K46" s="28" t="s">
        <v>27</v>
      </c>
      <c r="L46" s="28" t="s">
        <v>27</v>
      </c>
      <c r="M46" s="28" t="s">
        <v>27</v>
      </c>
      <c r="N46" s="28" t="s">
        <v>27</v>
      </c>
      <c r="O46" s="28" t="s">
        <v>27</v>
      </c>
      <c r="P46" s="3" t="s">
        <v>27</v>
      </c>
      <c r="Q46" s="28" t="s">
        <v>27</v>
      </c>
      <c r="R46" s="28">
        <v>18.120000204071403</v>
      </c>
      <c r="S46" s="28">
        <v>27.967999700456858</v>
      </c>
      <c r="T46" s="28">
        <v>23.602000176906586</v>
      </c>
      <c r="U46" s="28">
        <v>52.720001041889191</v>
      </c>
      <c r="V46" s="28">
        <v>251.05699979886413</v>
      </c>
      <c r="W46" s="28" t="s">
        <v>27</v>
      </c>
      <c r="X46" s="28" t="s">
        <v>27</v>
      </c>
      <c r="Y46" s="28" t="s">
        <v>27</v>
      </c>
      <c r="Z46" s="28" t="s">
        <v>27</v>
      </c>
      <c r="AA46" s="28" t="s">
        <v>27</v>
      </c>
      <c r="AB46" s="28" t="s">
        <v>27</v>
      </c>
      <c r="AC46" s="12">
        <f t="shared" si="3"/>
        <v>373.46700092218816</v>
      </c>
    </row>
    <row r="47" spans="1:29" ht="15" customHeight="1">
      <c r="A47" s="4">
        <v>41</v>
      </c>
      <c r="B47" s="9" t="s">
        <v>67</v>
      </c>
      <c r="C47" s="22" t="s">
        <v>149</v>
      </c>
      <c r="D47" s="12">
        <f t="shared" si="2"/>
        <v>1289.8510008985297</v>
      </c>
      <c r="E47" s="28">
        <v>903.20198779106136</v>
      </c>
      <c r="F47" s="28" t="s">
        <v>27</v>
      </c>
      <c r="G47" s="28" t="s">
        <v>27</v>
      </c>
      <c r="H47" s="28">
        <v>251.74063573159276</v>
      </c>
      <c r="I47" s="28">
        <v>58.104101478721944</v>
      </c>
      <c r="J47" s="3">
        <v>76.804275897153431</v>
      </c>
      <c r="K47" s="28" t="s">
        <v>27</v>
      </c>
      <c r="L47" s="28" t="s">
        <v>27</v>
      </c>
      <c r="M47" s="28" t="s">
        <v>27</v>
      </c>
      <c r="N47" s="28" t="s">
        <v>27</v>
      </c>
      <c r="O47" s="28" t="s">
        <v>27</v>
      </c>
      <c r="P47" s="3" t="s">
        <v>27</v>
      </c>
      <c r="Q47" s="28">
        <v>23.023999691009521</v>
      </c>
      <c r="R47" s="28" t="s">
        <v>27</v>
      </c>
      <c r="S47" s="28" t="s">
        <v>27</v>
      </c>
      <c r="T47" s="28">
        <v>71.646000385284424</v>
      </c>
      <c r="U47" s="28">
        <v>56.831999819725752</v>
      </c>
      <c r="V47" s="28">
        <v>302.50000311434269</v>
      </c>
      <c r="W47" s="28" t="s">
        <v>27</v>
      </c>
      <c r="X47" s="28" t="s">
        <v>27</v>
      </c>
      <c r="Y47" s="28" t="s">
        <v>27</v>
      </c>
      <c r="Z47" s="28" t="s">
        <v>27</v>
      </c>
      <c r="AA47" s="28" t="s">
        <v>27</v>
      </c>
      <c r="AB47" s="28" t="s">
        <v>27</v>
      </c>
      <c r="AC47" s="12">
        <f t="shared" si="3"/>
        <v>454.00200301036239</v>
      </c>
    </row>
    <row r="48" spans="1:29" ht="15" customHeight="1">
      <c r="A48" s="4">
        <v>42</v>
      </c>
      <c r="B48" s="9" t="s">
        <v>68</v>
      </c>
      <c r="C48" s="22" t="s">
        <v>150</v>
      </c>
      <c r="D48" s="12">
        <f t="shared" si="2"/>
        <v>1192.1034826259211</v>
      </c>
      <c r="E48" s="28" t="s">
        <v>27</v>
      </c>
      <c r="F48" s="28">
        <v>419.39631905806812</v>
      </c>
      <c r="G48" s="28">
        <v>61.527050342187287</v>
      </c>
      <c r="H48" s="28">
        <v>192.72924585992098</v>
      </c>
      <c r="I48" s="28">
        <v>126.56431633372605</v>
      </c>
      <c r="J48" s="3">
        <v>162.97906368499523</v>
      </c>
      <c r="K48" s="28" t="s">
        <v>27</v>
      </c>
      <c r="L48" s="28">
        <v>57.601078577041626</v>
      </c>
      <c r="M48" s="28">
        <v>60.203735940636136</v>
      </c>
      <c r="N48" s="28">
        <v>52.386497830711306</v>
      </c>
      <c r="O48" s="28">
        <v>22.31759418773651</v>
      </c>
      <c r="P48" s="3">
        <v>36.398580810897869</v>
      </c>
      <c r="Q48" s="28" t="s">
        <v>27</v>
      </c>
      <c r="R48" s="28">
        <v>46.160999925807118</v>
      </c>
      <c r="S48" s="28">
        <v>19.084999864920974</v>
      </c>
      <c r="T48" s="28">
        <v>105.76599980518222</v>
      </c>
      <c r="U48" s="28">
        <v>161.53300003707409</v>
      </c>
      <c r="V48" s="28">
        <v>758.01200805976987</v>
      </c>
      <c r="W48" s="28" t="s">
        <v>27</v>
      </c>
      <c r="X48" s="28">
        <v>4.2739998996257782</v>
      </c>
      <c r="Y48" s="28">
        <v>6.662999982945621</v>
      </c>
      <c r="Z48" s="28">
        <v>9.9199999440461397</v>
      </c>
      <c r="AA48" s="28">
        <v>6.9200000688433647</v>
      </c>
      <c r="AB48" s="28">
        <v>69.935000002384186</v>
      </c>
      <c r="AC48" s="12">
        <f t="shared" si="3"/>
        <v>1188.2690075905994</v>
      </c>
    </row>
    <row r="49" spans="1:29" ht="15" customHeight="1">
      <c r="A49" s="4">
        <v>43</v>
      </c>
      <c r="B49" s="9" t="s">
        <v>69</v>
      </c>
      <c r="C49" s="22" t="s">
        <v>149</v>
      </c>
      <c r="D49" s="12">
        <f t="shared" si="2"/>
        <v>862.58025232375758</v>
      </c>
      <c r="E49" s="28" t="s">
        <v>27</v>
      </c>
      <c r="F49" s="28">
        <v>281.35506877362729</v>
      </c>
      <c r="G49" s="28">
        <v>90.125749715436257</v>
      </c>
      <c r="H49" s="28">
        <v>236.71649161611498</v>
      </c>
      <c r="I49" s="28">
        <v>89.252464734047649</v>
      </c>
      <c r="J49" s="3">
        <v>165.13047748453147</v>
      </c>
      <c r="K49" s="28" t="s">
        <v>27</v>
      </c>
      <c r="L49" s="28" t="s">
        <v>27</v>
      </c>
      <c r="M49" s="28" t="s">
        <v>27</v>
      </c>
      <c r="N49" s="28" t="s">
        <v>27</v>
      </c>
      <c r="O49" s="28" t="s">
        <v>27</v>
      </c>
      <c r="P49" s="3" t="s">
        <v>27</v>
      </c>
      <c r="Q49" s="28" t="s">
        <v>27</v>
      </c>
      <c r="R49" s="28">
        <v>31.216000020503998</v>
      </c>
      <c r="S49" s="28">
        <v>22.023000251501799</v>
      </c>
      <c r="T49" s="28">
        <v>107.11199879273772</v>
      </c>
      <c r="U49" s="28">
        <v>103.11300012469292</v>
      </c>
      <c r="V49" s="28">
        <v>721.68000003695488</v>
      </c>
      <c r="W49" s="28" t="s">
        <v>27</v>
      </c>
      <c r="X49" s="28" t="s">
        <v>27</v>
      </c>
      <c r="Y49" s="28" t="s">
        <v>27</v>
      </c>
      <c r="Z49" s="28" t="s">
        <v>27</v>
      </c>
      <c r="AA49" s="28" t="s">
        <v>27</v>
      </c>
      <c r="AB49" s="28" t="s">
        <v>27</v>
      </c>
      <c r="AC49" s="12">
        <f t="shared" si="3"/>
        <v>985.14399922639132</v>
      </c>
    </row>
    <row r="50" spans="1:29" ht="15" customHeight="1">
      <c r="A50" s="4">
        <v>44</v>
      </c>
      <c r="B50" s="9" t="s">
        <v>70</v>
      </c>
      <c r="C50" s="22" t="s">
        <v>149</v>
      </c>
      <c r="D50" s="12">
        <f t="shared" si="2"/>
        <v>263.19138564457228</v>
      </c>
      <c r="E50" s="28" t="s">
        <v>27</v>
      </c>
      <c r="F50" s="28" t="s">
        <v>27</v>
      </c>
      <c r="G50" s="28">
        <v>89.222609136968856</v>
      </c>
      <c r="H50" s="28">
        <v>89.298757277727134</v>
      </c>
      <c r="I50" s="28">
        <v>29.639735020916909</v>
      </c>
      <c r="J50" s="3">
        <v>55.030284208959394</v>
      </c>
      <c r="K50" s="28" t="s">
        <v>27</v>
      </c>
      <c r="L50" s="28" t="s">
        <v>27</v>
      </c>
      <c r="M50" s="28" t="s">
        <v>27</v>
      </c>
      <c r="N50" s="28" t="s">
        <v>27</v>
      </c>
      <c r="O50" s="28" t="s">
        <v>27</v>
      </c>
      <c r="P50" s="3" t="s">
        <v>27</v>
      </c>
      <c r="Q50" s="28" t="s">
        <v>27</v>
      </c>
      <c r="R50" s="28" t="s">
        <v>27</v>
      </c>
      <c r="S50" s="28">
        <v>26.676999632269144</v>
      </c>
      <c r="T50" s="28">
        <v>37.583000212907791</v>
      </c>
      <c r="U50" s="28">
        <v>91.066999953240156</v>
      </c>
      <c r="V50" s="28">
        <v>443.12899994850159</v>
      </c>
      <c r="W50" s="28" t="s">
        <v>27</v>
      </c>
      <c r="X50" s="28" t="s">
        <v>27</v>
      </c>
      <c r="Y50" s="28" t="s">
        <v>27</v>
      </c>
      <c r="Z50" s="28" t="s">
        <v>27</v>
      </c>
      <c r="AA50" s="28" t="s">
        <v>27</v>
      </c>
      <c r="AB50" s="28" t="s">
        <v>27</v>
      </c>
      <c r="AC50" s="12">
        <f t="shared" si="3"/>
        <v>598.45599974691868</v>
      </c>
    </row>
    <row r="51" spans="1:29" ht="15" customHeight="1">
      <c r="A51" s="4">
        <v>45</v>
      </c>
      <c r="B51" s="9" t="s">
        <v>71</v>
      </c>
      <c r="C51" s="22" t="s">
        <v>151</v>
      </c>
      <c r="D51" s="12">
        <f t="shared" si="2"/>
        <v>879.50091089472312</v>
      </c>
      <c r="E51" s="28" t="s">
        <v>27</v>
      </c>
      <c r="F51" s="28">
        <v>261.78879311113434</v>
      </c>
      <c r="G51" s="28" t="s">
        <v>27</v>
      </c>
      <c r="H51" s="28">
        <v>134.76249637156724</v>
      </c>
      <c r="I51" s="28">
        <v>30.693709782361985</v>
      </c>
      <c r="J51" s="3">
        <v>85.478525870573932</v>
      </c>
      <c r="K51" s="28" t="s">
        <v>27</v>
      </c>
      <c r="L51" s="28" t="s">
        <v>27</v>
      </c>
      <c r="M51" s="28">
        <v>150.04245197257399</v>
      </c>
      <c r="N51" s="28">
        <v>96.931441340506083</v>
      </c>
      <c r="O51" s="28">
        <v>53.016218029119074</v>
      </c>
      <c r="P51" s="3">
        <v>66.787274416886447</v>
      </c>
      <c r="Q51" s="28" t="s">
        <v>27</v>
      </c>
      <c r="R51" s="28">
        <v>37.053999880328774</v>
      </c>
      <c r="S51" s="28" t="s">
        <v>27</v>
      </c>
      <c r="T51" s="28">
        <v>75.059999510645866</v>
      </c>
      <c r="U51" s="28">
        <v>64.386999726295471</v>
      </c>
      <c r="V51" s="28">
        <v>542.29099975340068</v>
      </c>
      <c r="W51" s="28" t="s">
        <v>27</v>
      </c>
      <c r="X51" s="28" t="s">
        <v>27</v>
      </c>
      <c r="Y51" s="28">
        <v>8.1830001696944237</v>
      </c>
      <c r="Z51" s="28">
        <v>11.074999997392297</v>
      </c>
      <c r="AA51" s="28">
        <v>13.436999935656786</v>
      </c>
      <c r="AB51" s="28">
        <v>113.13400000333786</v>
      </c>
      <c r="AC51" s="12">
        <f t="shared" si="3"/>
        <v>864.62099897675216</v>
      </c>
    </row>
    <row r="52" spans="1:29" ht="15" customHeight="1">
      <c r="A52" s="4">
        <v>46</v>
      </c>
      <c r="B52" s="9" t="s">
        <v>72</v>
      </c>
      <c r="C52" s="22" t="s">
        <v>149</v>
      </c>
      <c r="D52" s="12">
        <f t="shared" si="2"/>
        <v>265.29144675553545</v>
      </c>
      <c r="E52" s="28" t="s">
        <v>27</v>
      </c>
      <c r="F52" s="28">
        <v>151.51643442369996</v>
      </c>
      <c r="G52" s="28" t="s">
        <v>27</v>
      </c>
      <c r="H52" s="28">
        <v>38.242789609074592</v>
      </c>
      <c r="I52" s="28">
        <v>39.391052859112619</v>
      </c>
      <c r="J52" s="3">
        <v>36.141169863648237</v>
      </c>
      <c r="K52" s="28" t="s">
        <v>27</v>
      </c>
      <c r="L52" s="28" t="s">
        <v>27</v>
      </c>
      <c r="M52" s="28" t="s">
        <v>27</v>
      </c>
      <c r="N52" s="28" t="s">
        <v>27</v>
      </c>
      <c r="O52" s="28" t="s">
        <v>27</v>
      </c>
      <c r="P52" s="3" t="s">
        <v>27</v>
      </c>
      <c r="Q52" s="28" t="s">
        <v>27</v>
      </c>
      <c r="R52" s="28">
        <v>18.752999939024448</v>
      </c>
      <c r="S52" s="28" t="s">
        <v>27</v>
      </c>
      <c r="T52" s="28">
        <v>23.963999830186367</v>
      </c>
      <c r="U52" s="28">
        <v>78.952999986708164</v>
      </c>
      <c r="V52" s="28">
        <v>222.85400097072124</v>
      </c>
      <c r="W52" s="28" t="s">
        <v>27</v>
      </c>
      <c r="X52" s="28" t="s">
        <v>27</v>
      </c>
      <c r="Y52" s="28" t="s">
        <v>27</v>
      </c>
      <c r="Z52" s="28" t="s">
        <v>27</v>
      </c>
      <c r="AA52" s="28" t="s">
        <v>27</v>
      </c>
      <c r="AB52" s="28" t="s">
        <v>27</v>
      </c>
      <c r="AC52" s="12">
        <f t="shared" si="3"/>
        <v>344.52400072664022</v>
      </c>
    </row>
    <row r="53" spans="1:29" ht="15" customHeight="1">
      <c r="A53" s="4">
        <v>47</v>
      </c>
      <c r="B53" s="9" t="s">
        <v>73</v>
      </c>
      <c r="C53" s="22" t="s">
        <v>150</v>
      </c>
      <c r="D53" s="12">
        <f t="shared" si="2"/>
        <v>3376.8448504711714</v>
      </c>
      <c r="E53" s="28">
        <v>715.10836871528625</v>
      </c>
      <c r="F53" s="28">
        <v>312.78264777088168</v>
      </c>
      <c r="G53" s="28">
        <v>92.793462547510856</v>
      </c>
      <c r="H53" s="28">
        <v>229.9509146344848</v>
      </c>
      <c r="I53" s="28">
        <v>186.33206276476383</v>
      </c>
      <c r="J53" s="3">
        <v>177.51695122310934</v>
      </c>
      <c r="K53" s="28">
        <v>226.59401087737083</v>
      </c>
      <c r="L53" s="28">
        <v>56.324526824772356</v>
      </c>
      <c r="M53" s="28">
        <v>518.05630843538052</v>
      </c>
      <c r="N53" s="28">
        <v>469.88530525397323</v>
      </c>
      <c r="O53" s="28">
        <v>164.20193050261216</v>
      </c>
      <c r="P53" s="3">
        <v>227.29836092102545</v>
      </c>
      <c r="Q53" s="28">
        <v>19.209999799728394</v>
      </c>
      <c r="R53" s="28">
        <v>25.205000281333923</v>
      </c>
      <c r="S53" s="28">
        <v>13.274999774992466</v>
      </c>
      <c r="T53" s="28">
        <v>78.695000423118472</v>
      </c>
      <c r="U53" s="28">
        <v>138.0339997112751</v>
      </c>
      <c r="V53" s="28">
        <v>587.72499351482838</v>
      </c>
      <c r="W53" s="28">
        <v>5.4370000660419464</v>
      </c>
      <c r="X53" s="28">
        <v>4.9029999971389771</v>
      </c>
      <c r="Y53" s="28">
        <v>21.07699977606535</v>
      </c>
      <c r="Z53" s="28">
        <v>48.375000120606273</v>
      </c>
      <c r="AA53" s="28">
        <v>40.330999894067645</v>
      </c>
      <c r="AB53" s="28">
        <v>377.55300140380859</v>
      </c>
      <c r="AC53" s="12">
        <f t="shared" si="3"/>
        <v>1359.8199947630055</v>
      </c>
    </row>
    <row r="54" spans="1:29" ht="15" customHeight="1">
      <c r="A54" s="4">
        <v>48</v>
      </c>
      <c r="B54" s="9" t="s">
        <v>74</v>
      </c>
      <c r="C54" s="22" t="s">
        <v>149</v>
      </c>
      <c r="D54" s="12">
        <f t="shared" si="2"/>
        <v>787.63650193440492</v>
      </c>
      <c r="E54" s="28" t="s">
        <v>27</v>
      </c>
      <c r="F54" s="28">
        <v>239.98268255063891</v>
      </c>
      <c r="G54" s="28">
        <v>170.55268462726474</v>
      </c>
      <c r="H54" s="28">
        <v>192.94809177437799</v>
      </c>
      <c r="I54" s="28">
        <v>87.141004565879697</v>
      </c>
      <c r="J54" s="3">
        <v>97.012038416243612</v>
      </c>
      <c r="K54" s="28" t="s">
        <v>27</v>
      </c>
      <c r="L54" s="28" t="s">
        <v>27</v>
      </c>
      <c r="M54" s="28" t="s">
        <v>27</v>
      </c>
      <c r="N54" s="28" t="s">
        <v>27</v>
      </c>
      <c r="O54" s="28" t="s">
        <v>27</v>
      </c>
      <c r="P54" s="3" t="s">
        <v>27</v>
      </c>
      <c r="Q54" s="28" t="s">
        <v>27</v>
      </c>
      <c r="R54" s="28">
        <v>39.181999005377293</v>
      </c>
      <c r="S54" s="28">
        <v>27.63199982047081</v>
      </c>
      <c r="T54" s="28">
        <v>89.8290023393929</v>
      </c>
      <c r="U54" s="28">
        <v>70.944001458585262</v>
      </c>
      <c r="V54" s="28">
        <v>340.70100057125092</v>
      </c>
      <c r="W54" s="28" t="s">
        <v>27</v>
      </c>
      <c r="X54" s="28" t="s">
        <v>27</v>
      </c>
      <c r="Y54" s="28" t="s">
        <v>27</v>
      </c>
      <c r="Z54" s="28" t="s">
        <v>27</v>
      </c>
      <c r="AA54" s="28" t="s">
        <v>27</v>
      </c>
      <c r="AB54" s="28" t="s">
        <v>27</v>
      </c>
      <c r="AC54" s="12">
        <f t="shared" si="3"/>
        <v>568.28800319507718</v>
      </c>
    </row>
    <row r="55" spans="1:29" ht="15" customHeight="1">
      <c r="A55" s="4">
        <v>49</v>
      </c>
      <c r="B55" s="9" t="s">
        <v>75</v>
      </c>
      <c r="C55" s="22" t="s">
        <v>150</v>
      </c>
      <c r="D55" s="12">
        <f t="shared" si="2"/>
        <v>393.27714345548986</v>
      </c>
      <c r="E55" s="28" t="s">
        <v>27</v>
      </c>
      <c r="F55" s="28" t="s">
        <v>27</v>
      </c>
      <c r="G55" s="28">
        <v>70.791733502969151</v>
      </c>
      <c r="H55" s="28">
        <v>128.67661202833057</v>
      </c>
      <c r="I55" s="28">
        <v>47.26805570489168</v>
      </c>
      <c r="J55" s="3">
        <v>72.347935866552319</v>
      </c>
      <c r="K55" s="28" t="s">
        <v>27</v>
      </c>
      <c r="L55" s="28" t="s">
        <v>27</v>
      </c>
      <c r="M55" s="28">
        <v>23.363104245312513</v>
      </c>
      <c r="N55" s="28">
        <v>22.249300922721623</v>
      </c>
      <c r="O55" s="28">
        <v>16.242710006780921</v>
      </c>
      <c r="P55" s="3">
        <v>12.337691177931084</v>
      </c>
      <c r="Q55" s="28" t="s">
        <v>27</v>
      </c>
      <c r="R55" s="28" t="s">
        <v>27</v>
      </c>
      <c r="S55" s="28">
        <v>17.339999862015247</v>
      </c>
      <c r="T55" s="28">
        <v>54.583000466227531</v>
      </c>
      <c r="U55" s="28">
        <v>68.253999650478363</v>
      </c>
      <c r="V55" s="28">
        <v>363.4679998466745</v>
      </c>
      <c r="W55" s="28" t="s">
        <v>27</v>
      </c>
      <c r="X55" s="28" t="s">
        <v>27</v>
      </c>
      <c r="Y55" s="28">
        <v>2.1320000141859055</v>
      </c>
      <c r="Z55" s="28">
        <v>4.3479999750852585</v>
      </c>
      <c r="AA55" s="28">
        <v>5.2920000180602074</v>
      </c>
      <c r="AB55" s="28">
        <v>24.449999988079071</v>
      </c>
      <c r="AC55" s="12">
        <f t="shared" si="3"/>
        <v>539.86699982080609</v>
      </c>
    </row>
    <row r="56" spans="1:29" ht="15" customHeight="1">
      <c r="A56" s="4">
        <v>50</v>
      </c>
      <c r="B56" s="9" t="s">
        <v>76</v>
      </c>
      <c r="C56" s="22" t="s">
        <v>149</v>
      </c>
      <c r="D56" s="12">
        <f t="shared" si="2"/>
        <v>1020.6282108208276</v>
      </c>
      <c r="E56" s="28">
        <v>635.7180865120888</v>
      </c>
      <c r="F56" s="28" t="s">
        <v>27</v>
      </c>
      <c r="G56" s="28" t="s">
        <v>27</v>
      </c>
      <c r="H56" s="28">
        <v>257.70846847811339</v>
      </c>
      <c r="I56" s="28">
        <v>46.978765167236325</v>
      </c>
      <c r="J56" s="3">
        <v>80.222890663388981</v>
      </c>
      <c r="K56" s="28" t="s">
        <v>27</v>
      </c>
      <c r="L56" s="28" t="s">
        <v>27</v>
      </c>
      <c r="M56" s="28" t="s">
        <v>27</v>
      </c>
      <c r="N56" s="28" t="s">
        <v>27</v>
      </c>
      <c r="O56" s="28" t="s">
        <v>27</v>
      </c>
      <c r="P56" s="3" t="s">
        <v>27</v>
      </c>
      <c r="Q56" s="28">
        <v>20.665999889373779</v>
      </c>
      <c r="R56" s="28" t="s">
        <v>27</v>
      </c>
      <c r="S56" s="28" t="s">
        <v>27</v>
      </c>
      <c r="T56" s="28">
        <v>113.73399945348501</v>
      </c>
      <c r="U56" s="28">
        <v>97.309000343084335</v>
      </c>
      <c r="V56" s="28">
        <v>504.93899219483137</v>
      </c>
      <c r="W56" s="28" t="s">
        <v>27</v>
      </c>
      <c r="X56" s="28" t="s">
        <v>27</v>
      </c>
      <c r="Y56" s="28" t="s">
        <v>27</v>
      </c>
      <c r="Z56" s="28" t="s">
        <v>27</v>
      </c>
      <c r="AA56" s="28" t="s">
        <v>27</v>
      </c>
      <c r="AB56" s="28" t="s">
        <v>27</v>
      </c>
      <c r="AC56" s="12">
        <f t="shared" si="3"/>
        <v>736.6479918807745</v>
      </c>
    </row>
    <row r="57" spans="1:29" ht="15" customHeight="1">
      <c r="A57" s="4">
        <v>51</v>
      </c>
      <c r="B57" s="9" t="s">
        <v>77</v>
      </c>
      <c r="C57" s="22" t="s">
        <v>151</v>
      </c>
      <c r="D57" s="12">
        <f t="shared" si="2"/>
        <v>1466.533465734409</v>
      </c>
      <c r="E57" s="28" t="s">
        <v>27</v>
      </c>
      <c r="F57" s="28">
        <v>318.62075690281392</v>
      </c>
      <c r="G57" s="28">
        <v>110.06423301184178</v>
      </c>
      <c r="H57" s="28">
        <v>72.610772227659822</v>
      </c>
      <c r="I57" s="28">
        <v>63.611684467554092</v>
      </c>
      <c r="J57" s="3">
        <v>82.286243238098479</v>
      </c>
      <c r="K57" s="28" t="s">
        <v>27</v>
      </c>
      <c r="L57" s="28">
        <v>134.59964117658137</v>
      </c>
      <c r="M57" s="28">
        <v>383.13663460272551</v>
      </c>
      <c r="N57" s="28">
        <v>182.09808388839662</v>
      </c>
      <c r="O57" s="28">
        <v>67.623751707315449</v>
      </c>
      <c r="P57" s="3">
        <v>51.881664511421938</v>
      </c>
      <c r="Q57" s="28" t="s">
        <v>27</v>
      </c>
      <c r="R57" s="28">
        <v>32.683000326156616</v>
      </c>
      <c r="S57" s="28">
        <v>24.147999733686447</v>
      </c>
      <c r="T57" s="28">
        <v>30.372000373899937</v>
      </c>
      <c r="U57" s="28">
        <v>107.18199932575226</v>
      </c>
      <c r="V57" s="28">
        <v>455.24400515109301</v>
      </c>
      <c r="W57" s="28" t="s">
        <v>27</v>
      </c>
      <c r="X57" s="28">
        <v>7.1440000683069229</v>
      </c>
      <c r="Y57" s="28">
        <v>17.773000344634056</v>
      </c>
      <c r="Z57" s="28">
        <v>26.199999749660492</v>
      </c>
      <c r="AA57" s="28">
        <v>24.834000185132027</v>
      </c>
      <c r="AB57" s="28">
        <v>110.80000166222453</v>
      </c>
      <c r="AC57" s="12">
        <f t="shared" si="3"/>
        <v>836.38000692054629</v>
      </c>
    </row>
    <row r="58" spans="1:29" ht="15" customHeight="1">
      <c r="A58" s="4">
        <v>52</v>
      </c>
      <c r="B58" s="9" t="s">
        <v>78</v>
      </c>
      <c r="C58" s="22" t="s">
        <v>149</v>
      </c>
      <c r="D58" s="12">
        <f t="shared" si="2"/>
        <v>697.3242611802043</v>
      </c>
      <c r="E58" s="28">
        <v>386.23135444879534</v>
      </c>
      <c r="F58" s="28" t="s">
        <v>27</v>
      </c>
      <c r="G58" s="28">
        <v>102.81921994872391</v>
      </c>
      <c r="H58" s="28">
        <v>108.39902207946777</v>
      </c>
      <c r="I58" s="28">
        <v>57.442930668532846</v>
      </c>
      <c r="J58" s="3">
        <v>42.431734034684332</v>
      </c>
      <c r="K58" s="28" t="s">
        <v>27</v>
      </c>
      <c r="L58" s="28" t="s">
        <v>27</v>
      </c>
      <c r="M58" s="28" t="s">
        <v>27</v>
      </c>
      <c r="N58" s="28" t="s">
        <v>27</v>
      </c>
      <c r="O58" s="28" t="s">
        <v>27</v>
      </c>
      <c r="P58" s="3" t="s">
        <v>27</v>
      </c>
      <c r="Q58" s="28">
        <v>13.358999967575073</v>
      </c>
      <c r="R58" s="28" t="s">
        <v>27</v>
      </c>
      <c r="S58" s="28">
        <v>29.564999943599105</v>
      </c>
      <c r="T58" s="28">
        <v>51.885000616312027</v>
      </c>
      <c r="U58" s="28">
        <v>106.72599975764751</v>
      </c>
      <c r="V58" s="28">
        <v>249.53399458527565</v>
      </c>
      <c r="W58" s="28" t="s">
        <v>27</v>
      </c>
      <c r="X58" s="28" t="s">
        <v>27</v>
      </c>
      <c r="Y58" s="28" t="s">
        <v>27</v>
      </c>
      <c r="Z58" s="28" t="s">
        <v>27</v>
      </c>
      <c r="AA58" s="28" t="s">
        <v>27</v>
      </c>
      <c r="AB58" s="28" t="s">
        <v>27</v>
      </c>
      <c r="AC58" s="12">
        <f t="shared" si="3"/>
        <v>451.06899487040937</v>
      </c>
    </row>
    <row r="59" spans="1:29" ht="15" customHeight="1">
      <c r="A59" s="4">
        <v>53</v>
      </c>
      <c r="B59" s="9" t="s">
        <v>79</v>
      </c>
      <c r="C59" s="22" t="s">
        <v>149</v>
      </c>
      <c r="D59" s="12">
        <f t="shared" si="2"/>
        <v>186.51402519909891</v>
      </c>
      <c r="E59" s="28" t="s">
        <v>27</v>
      </c>
      <c r="F59" s="28">
        <v>80.392676484450703</v>
      </c>
      <c r="G59" s="28">
        <v>9.832879934936761</v>
      </c>
      <c r="H59" s="28">
        <v>49.999219407249242</v>
      </c>
      <c r="I59" s="28">
        <v>15.268548190928996</v>
      </c>
      <c r="J59" s="3">
        <v>31.02070118153323</v>
      </c>
      <c r="K59" s="28" t="s">
        <v>27</v>
      </c>
      <c r="L59" s="28" t="s">
        <v>27</v>
      </c>
      <c r="M59" s="28" t="s">
        <v>27</v>
      </c>
      <c r="N59" s="28" t="s">
        <v>27</v>
      </c>
      <c r="O59" s="28" t="s">
        <v>27</v>
      </c>
      <c r="P59" s="3" t="s">
        <v>27</v>
      </c>
      <c r="Q59" s="28" t="s">
        <v>27</v>
      </c>
      <c r="R59" s="28">
        <v>20.035000491887331</v>
      </c>
      <c r="S59" s="28">
        <v>18.376999661326408</v>
      </c>
      <c r="T59" s="28">
        <v>46.561000388115644</v>
      </c>
      <c r="U59" s="28">
        <v>54.973000690340996</v>
      </c>
      <c r="V59" s="28">
        <v>275.80800740048289</v>
      </c>
      <c r="W59" s="28" t="s">
        <v>27</v>
      </c>
      <c r="X59" s="28" t="s">
        <v>27</v>
      </c>
      <c r="Y59" s="28" t="s">
        <v>27</v>
      </c>
      <c r="Z59" s="28" t="s">
        <v>27</v>
      </c>
      <c r="AA59" s="28" t="s">
        <v>27</v>
      </c>
      <c r="AB59" s="28" t="s">
        <v>27</v>
      </c>
      <c r="AC59" s="12">
        <f t="shared" si="3"/>
        <v>415.75400863215327</v>
      </c>
    </row>
    <row r="60" spans="1:29" ht="15" customHeight="1">
      <c r="A60" s="4">
        <v>54</v>
      </c>
      <c r="B60" s="9" t="s">
        <v>80</v>
      </c>
      <c r="C60" s="22" t="s">
        <v>150</v>
      </c>
      <c r="D60" s="12">
        <f t="shared" si="2"/>
        <v>1672.702668322293</v>
      </c>
      <c r="E60" s="28" t="s">
        <v>27</v>
      </c>
      <c r="F60" s="28">
        <v>530.49013466966153</v>
      </c>
      <c r="G60" s="28">
        <v>67.476074304267769</v>
      </c>
      <c r="H60" s="28">
        <v>296.49053830336408</v>
      </c>
      <c r="I60" s="28">
        <v>118.30344875150919</v>
      </c>
      <c r="J60" s="3">
        <v>155.92056411482946</v>
      </c>
      <c r="K60" s="28" t="s">
        <v>27</v>
      </c>
      <c r="L60" s="28">
        <v>128.31409403741361</v>
      </c>
      <c r="M60" s="28">
        <v>52.048163621783253</v>
      </c>
      <c r="N60" s="28">
        <v>177.62109518805519</v>
      </c>
      <c r="O60" s="28">
        <v>72.880973640114064</v>
      </c>
      <c r="P60" s="3">
        <v>73.157581691294922</v>
      </c>
      <c r="Q60" s="28" t="s">
        <v>27</v>
      </c>
      <c r="R60" s="28">
        <v>42.097999215126038</v>
      </c>
      <c r="S60" s="28">
        <v>13.294000081717968</v>
      </c>
      <c r="T60" s="28">
        <v>95.148999512195587</v>
      </c>
      <c r="U60" s="28">
        <v>118.00199985876679</v>
      </c>
      <c r="V60" s="28">
        <v>621.66699984204024</v>
      </c>
      <c r="W60" s="28" t="s">
        <v>27</v>
      </c>
      <c r="X60" s="28">
        <v>6.4700000584125519</v>
      </c>
      <c r="Y60" s="28">
        <v>4.1699999570846558</v>
      </c>
      <c r="Z60" s="28">
        <v>16.303000248968601</v>
      </c>
      <c r="AA60" s="28">
        <v>18.667999964207411</v>
      </c>
      <c r="AB60" s="28">
        <v>124.74600001424551</v>
      </c>
      <c r="AC60" s="12">
        <f t="shared" si="3"/>
        <v>1060.5669987527654</v>
      </c>
    </row>
    <row r="61" spans="1:29" ht="15" customHeight="1">
      <c r="A61" s="4">
        <v>55</v>
      </c>
      <c r="B61" s="9" t="s">
        <v>81</v>
      </c>
      <c r="C61" s="22" t="s">
        <v>149</v>
      </c>
      <c r="D61" s="12">
        <f t="shared" si="2"/>
        <v>325.51627978276008</v>
      </c>
      <c r="E61" s="28" t="s">
        <v>27</v>
      </c>
      <c r="F61" s="28" t="s">
        <v>27</v>
      </c>
      <c r="G61" s="28">
        <v>169.63715281469374</v>
      </c>
      <c r="H61" s="28">
        <v>37.382809951774775</v>
      </c>
      <c r="I61" s="28">
        <v>36.5609868208766</v>
      </c>
      <c r="J61" s="3">
        <v>81.935330195414991</v>
      </c>
      <c r="K61" s="28" t="s">
        <v>27</v>
      </c>
      <c r="L61" s="28" t="s">
        <v>27</v>
      </c>
      <c r="M61" s="28" t="s">
        <v>27</v>
      </c>
      <c r="N61" s="28" t="s">
        <v>27</v>
      </c>
      <c r="O61" s="28" t="s">
        <v>27</v>
      </c>
      <c r="P61" s="3" t="s">
        <v>27</v>
      </c>
      <c r="Q61" s="28" t="s">
        <v>27</v>
      </c>
      <c r="R61" s="28" t="s">
        <v>27</v>
      </c>
      <c r="S61" s="28">
        <v>50.503999583423138</v>
      </c>
      <c r="T61" s="28">
        <v>40.600000537931919</v>
      </c>
      <c r="U61" s="28">
        <v>84.042999446392059</v>
      </c>
      <c r="V61" s="28">
        <v>550.39299988001585</v>
      </c>
      <c r="W61" s="28" t="s">
        <v>27</v>
      </c>
      <c r="X61" s="28" t="s">
        <v>27</v>
      </c>
      <c r="Y61" s="28" t="s">
        <v>27</v>
      </c>
      <c r="Z61" s="28" t="s">
        <v>27</v>
      </c>
      <c r="AA61" s="28" t="s">
        <v>27</v>
      </c>
      <c r="AB61" s="28" t="s">
        <v>27</v>
      </c>
      <c r="AC61" s="12">
        <f t="shared" si="3"/>
        <v>725.53999944776297</v>
      </c>
    </row>
    <row r="62" spans="1:29" ht="15" customHeight="1">
      <c r="A62" s="4">
        <v>56</v>
      </c>
      <c r="B62" s="9" t="s">
        <v>82</v>
      </c>
      <c r="C62" s="22" t="s">
        <v>151</v>
      </c>
      <c r="D62" s="12">
        <f t="shared" si="2"/>
        <v>18906.582049606419</v>
      </c>
      <c r="E62" s="28">
        <v>167.50980577468872</v>
      </c>
      <c r="F62" s="28">
        <v>116.50049201258273</v>
      </c>
      <c r="G62" s="28">
        <v>107.04347765035928</v>
      </c>
      <c r="H62" s="28">
        <v>3.5712000846862795</v>
      </c>
      <c r="I62" s="28">
        <v>30.357766647074371</v>
      </c>
      <c r="J62" s="3">
        <v>33.2894004129842</v>
      </c>
      <c r="K62" s="28">
        <v>8239.0986140228506</v>
      </c>
      <c r="L62" s="28">
        <v>510.04564980614185</v>
      </c>
      <c r="M62" s="28">
        <v>3649.8295063067385</v>
      </c>
      <c r="N62" s="28">
        <v>2933.4750850088913</v>
      </c>
      <c r="O62" s="28">
        <v>1435.0629509213334</v>
      </c>
      <c r="P62" s="3">
        <v>1680.7981009580883</v>
      </c>
      <c r="Q62" s="28">
        <v>3.2090001106262207</v>
      </c>
      <c r="R62" s="28">
        <v>4.8920000847429037</v>
      </c>
      <c r="S62" s="28">
        <v>7.765000008046627</v>
      </c>
      <c r="T62" s="28">
        <v>0.55800001323223114</v>
      </c>
      <c r="U62" s="28">
        <v>22.348999573849142</v>
      </c>
      <c r="V62" s="28">
        <v>109.78600001335144</v>
      </c>
      <c r="W62" s="28">
        <v>93.621999993920326</v>
      </c>
      <c r="X62" s="28">
        <v>13.650999993085861</v>
      </c>
      <c r="Y62" s="28">
        <v>158.54999983659945</v>
      </c>
      <c r="Z62" s="28">
        <v>239.60499964049086</v>
      </c>
      <c r="AA62" s="28">
        <v>264.36100011831149</v>
      </c>
      <c r="AB62" s="28">
        <v>2332.589000063017</v>
      </c>
      <c r="AC62" s="12">
        <f t="shared" si="3"/>
        <v>3250.9369994492736</v>
      </c>
    </row>
    <row r="63" spans="1:29" ht="15" customHeight="1">
      <c r="A63" s="4">
        <v>57</v>
      </c>
      <c r="B63" s="9" t="s">
        <v>83</v>
      </c>
      <c r="C63" s="22" t="s">
        <v>157</v>
      </c>
      <c r="D63" s="12">
        <f t="shared" si="2"/>
        <v>991.29611109197049</v>
      </c>
      <c r="E63" s="28" t="s">
        <v>27</v>
      </c>
      <c r="F63" s="28">
        <v>336.61353428125381</v>
      </c>
      <c r="G63" s="28">
        <v>92.857729890823364</v>
      </c>
      <c r="H63" s="28">
        <v>64.400815524041647</v>
      </c>
      <c r="I63" s="28">
        <v>65.030691583100705</v>
      </c>
      <c r="J63" s="3">
        <v>54.407921990239963</v>
      </c>
      <c r="K63" s="28" t="s">
        <v>27</v>
      </c>
      <c r="L63" s="28" t="s">
        <v>27</v>
      </c>
      <c r="M63" s="28">
        <v>158.40717087718843</v>
      </c>
      <c r="N63" s="28">
        <v>131.53896841865779</v>
      </c>
      <c r="O63" s="28">
        <v>45.75151760496199</v>
      </c>
      <c r="P63" s="3">
        <v>42.287760921702677</v>
      </c>
      <c r="Q63" s="28" t="s">
        <v>27</v>
      </c>
      <c r="R63" s="28">
        <v>10.962999939918518</v>
      </c>
      <c r="S63" s="28">
        <v>10.96999990940094</v>
      </c>
      <c r="T63" s="28">
        <v>20.795999951660633</v>
      </c>
      <c r="U63" s="28">
        <v>54.645000310614705</v>
      </c>
      <c r="V63" s="28">
        <v>194.89199848473072</v>
      </c>
      <c r="W63" s="28" t="s">
        <v>27</v>
      </c>
      <c r="X63" s="28" t="s">
        <v>27</v>
      </c>
      <c r="Y63" s="28">
        <v>5.585000067949295</v>
      </c>
      <c r="Z63" s="28">
        <v>11.031000016257167</v>
      </c>
      <c r="AA63" s="28">
        <v>14.850999943912029</v>
      </c>
      <c r="AB63" s="28">
        <v>83.608996152877808</v>
      </c>
      <c r="AC63" s="12">
        <f t="shared" si="3"/>
        <v>407.34199477732182</v>
      </c>
    </row>
    <row r="64" spans="1:29" ht="15" customHeight="1">
      <c r="A64" s="4">
        <v>58</v>
      </c>
      <c r="B64" s="9" t="s">
        <v>84</v>
      </c>
      <c r="C64" s="22" t="s">
        <v>149</v>
      </c>
      <c r="D64" s="12">
        <f t="shared" si="2"/>
        <v>630.73065353729896</v>
      </c>
      <c r="E64" s="28" t="s">
        <v>27</v>
      </c>
      <c r="F64" s="28">
        <v>244.18443323319406</v>
      </c>
      <c r="G64" s="28">
        <v>21.817400056868792</v>
      </c>
      <c r="H64" s="28">
        <v>222.71657104961574</v>
      </c>
      <c r="I64" s="28">
        <v>71.105677926929673</v>
      </c>
      <c r="J64" s="3">
        <v>70.906571270690776</v>
      </c>
      <c r="K64" s="28" t="s">
        <v>27</v>
      </c>
      <c r="L64" s="28" t="s">
        <v>27</v>
      </c>
      <c r="M64" s="28" t="s">
        <v>27</v>
      </c>
      <c r="N64" s="28" t="s">
        <v>27</v>
      </c>
      <c r="O64" s="28" t="s">
        <v>27</v>
      </c>
      <c r="P64" s="3" t="s">
        <v>27</v>
      </c>
      <c r="Q64" s="28" t="s">
        <v>27</v>
      </c>
      <c r="R64" s="28">
        <v>24.747000690549612</v>
      </c>
      <c r="S64" s="28">
        <v>4.6420000120997429</v>
      </c>
      <c r="T64" s="28">
        <v>56.536000326275826</v>
      </c>
      <c r="U64" s="28">
        <v>88.538999663665891</v>
      </c>
      <c r="V64" s="28">
        <v>324.73800171166658</v>
      </c>
      <c r="W64" s="28" t="s">
        <v>27</v>
      </c>
      <c r="X64" s="28" t="s">
        <v>27</v>
      </c>
      <c r="Y64" s="28" t="s">
        <v>27</v>
      </c>
      <c r="Z64" s="28" t="s">
        <v>27</v>
      </c>
      <c r="AA64" s="28" t="s">
        <v>27</v>
      </c>
      <c r="AB64" s="28" t="s">
        <v>27</v>
      </c>
      <c r="AC64" s="12">
        <f t="shared" si="3"/>
        <v>499.20200240425766</v>
      </c>
    </row>
    <row r="65" spans="1:29" ht="15" customHeight="1">
      <c r="A65" s="4">
        <v>59</v>
      </c>
      <c r="B65" s="9" t="s">
        <v>85</v>
      </c>
      <c r="C65" s="22" t="s">
        <v>151</v>
      </c>
      <c r="D65" s="12">
        <f t="shared" si="2"/>
        <v>3966.0585946806796</v>
      </c>
      <c r="E65" s="28">
        <v>160.07040596008301</v>
      </c>
      <c r="F65" s="28" t="s">
        <v>27</v>
      </c>
      <c r="G65" s="28" t="s">
        <v>27</v>
      </c>
      <c r="H65" s="28">
        <v>105.03047963734343</v>
      </c>
      <c r="I65" s="28">
        <v>14.95924292036891</v>
      </c>
      <c r="J65" s="3">
        <v>16.508396983434274</v>
      </c>
      <c r="K65" s="28">
        <v>2047.1019940190315</v>
      </c>
      <c r="L65" s="28" t="s">
        <v>27</v>
      </c>
      <c r="M65" s="28">
        <v>139.05399310804438</v>
      </c>
      <c r="N65" s="28">
        <v>833.38527654954794</v>
      </c>
      <c r="O65" s="28">
        <v>325.61409315184875</v>
      </c>
      <c r="P65" s="3">
        <v>324.33471235097727</v>
      </c>
      <c r="Q65" s="28">
        <v>3.1760001182556152</v>
      </c>
      <c r="R65" s="28" t="s">
        <v>27</v>
      </c>
      <c r="S65" s="28" t="s">
        <v>27</v>
      </c>
      <c r="T65" s="28">
        <v>37.072999617084861</v>
      </c>
      <c r="U65" s="28">
        <v>28.519999653100967</v>
      </c>
      <c r="V65" s="28">
        <v>98.660999983549118</v>
      </c>
      <c r="W65" s="28">
        <v>16.248000383377075</v>
      </c>
      <c r="X65" s="28" t="s">
        <v>27</v>
      </c>
      <c r="Y65" s="28">
        <v>12.364999857265502</v>
      </c>
      <c r="Z65" s="28">
        <v>68.244999784976244</v>
      </c>
      <c r="AA65" s="28">
        <v>68.83500050008297</v>
      </c>
      <c r="AB65" s="28">
        <v>490.53099985420704</v>
      </c>
      <c r="AC65" s="12">
        <f t="shared" si="3"/>
        <v>823.65399975189939</v>
      </c>
    </row>
    <row r="66" spans="1:29" ht="15" customHeight="1">
      <c r="A66" s="4">
        <v>60</v>
      </c>
      <c r="B66" s="9" t="s">
        <v>86</v>
      </c>
      <c r="C66" s="22" t="s">
        <v>149</v>
      </c>
      <c r="D66" s="12">
        <f t="shared" si="2"/>
        <v>509.06167552243801</v>
      </c>
      <c r="E66" s="28" t="s">
        <v>27</v>
      </c>
      <c r="F66" s="28">
        <v>183.85601545405387</v>
      </c>
      <c r="G66" s="28" t="s">
        <v>27</v>
      </c>
      <c r="H66" s="28">
        <v>174.18541947939991</v>
      </c>
      <c r="I66" s="28">
        <v>92.820627488255496</v>
      </c>
      <c r="J66" s="3">
        <v>58.199613100728712</v>
      </c>
      <c r="K66" s="28" t="s">
        <v>27</v>
      </c>
      <c r="L66" s="28" t="s">
        <v>27</v>
      </c>
      <c r="M66" s="28" t="s">
        <v>27</v>
      </c>
      <c r="N66" s="28" t="s">
        <v>27</v>
      </c>
      <c r="O66" s="28" t="s">
        <v>27</v>
      </c>
      <c r="P66" s="3" t="s">
        <v>27</v>
      </c>
      <c r="Q66" s="28" t="s">
        <v>27</v>
      </c>
      <c r="R66" s="28">
        <v>29.472999572753906</v>
      </c>
      <c r="S66" s="28" t="s">
        <v>27</v>
      </c>
      <c r="T66" s="28">
        <v>67.849001243710518</v>
      </c>
      <c r="U66" s="28">
        <v>100.48700053989887</v>
      </c>
      <c r="V66" s="28">
        <v>244.23099994659424</v>
      </c>
      <c r="W66" s="28" t="s">
        <v>27</v>
      </c>
      <c r="X66" s="28" t="s">
        <v>27</v>
      </c>
      <c r="Y66" s="28" t="s">
        <v>27</v>
      </c>
      <c r="Z66" s="28" t="s">
        <v>27</v>
      </c>
      <c r="AA66" s="28" t="s">
        <v>27</v>
      </c>
      <c r="AB66" s="28" t="s">
        <v>27</v>
      </c>
      <c r="AC66" s="12">
        <f t="shared" si="3"/>
        <v>442.04000130295753</v>
      </c>
    </row>
    <row r="67" spans="1:29" ht="15" customHeight="1">
      <c r="A67" s="4">
        <v>61</v>
      </c>
      <c r="B67" s="9" t="s">
        <v>87</v>
      </c>
      <c r="C67" s="22" t="s">
        <v>150</v>
      </c>
      <c r="D67" s="12">
        <f t="shared" si="2"/>
        <v>870.74928712575581</v>
      </c>
      <c r="E67" s="28" t="s">
        <v>27</v>
      </c>
      <c r="F67" s="28">
        <v>456.92429468512535</v>
      </c>
      <c r="G67" s="28" t="s">
        <v>27</v>
      </c>
      <c r="H67" s="28">
        <v>127.22492591689527</v>
      </c>
      <c r="I67" s="28">
        <v>99.249407493829722</v>
      </c>
      <c r="J67" s="3">
        <v>122.19554675509836</v>
      </c>
      <c r="K67" s="28" t="s">
        <v>27</v>
      </c>
      <c r="L67" s="28" t="s">
        <v>27</v>
      </c>
      <c r="M67" s="28">
        <v>24.522378664255143</v>
      </c>
      <c r="N67" s="28">
        <v>23.731666052460671</v>
      </c>
      <c r="O67" s="28">
        <v>9.4105110962509642</v>
      </c>
      <c r="P67" s="3">
        <v>7.4905564618404128</v>
      </c>
      <c r="Q67" s="28" t="s">
        <v>27</v>
      </c>
      <c r="R67" s="28">
        <v>29.234000444412231</v>
      </c>
      <c r="S67" s="28" t="s">
        <v>27</v>
      </c>
      <c r="T67" s="28">
        <v>63.973999977111816</v>
      </c>
      <c r="U67" s="28">
        <v>91.325001269578934</v>
      </c>
      <c r="V67" s="28">
        <v>463.25800000876188</v>
      </c>
      <c r="W67" s="28" t="s">
        <v>27</v>
      </c>
      <c r="X67" s="28" t="s">
        <v>27</v>
      </c>
      <c r="Y67" s="28">
        <v>1.0210000276565552</v>
      </c>
      <c r="Z67" s="28">
        <v>2.995000034570694</v>
      </c>
      <c r="AA67" s="28">
        <v>6.1600000334437937</v>
      </c>
      <c r="AB67" s="28">
        <v>22.954999983310699</v>
      </c>
      <c r="AC67" s="12">
        <f t="shared" si="3"/>
        <v>680.92200177884661</v>
      </c>
    </row>
    <row r="68" spans="1:29" ht="15" customHeight="1">
      <c r="A68" s="4">
        <v>62</v>
      </c>
      <c r="B68" s="9" t="s">
        <v>88</v>
      </c>
      <c r="C68" s="22" t="s">
        <v>149</v>
      </c>
      <c r="D68" s="12">
        <f t="shared" si="2"/>
        <v>498.83655489806017</v>
      </c>
      <c r="E68" s="28">
        <v>130.76262611150742</v>
      </c>
      <c r="F68" s="28" t="s">
        <v>27</v>
      </c>
      <c r="G68" s="28">
        <v>142.14923933261261</v>
      </c>
      <c r="H68" s="28">
        <v>112.88126338984073</v>
      </c>
      <c r="I68" s="28">
        <v>53.704017413869501</v>
      </c>
      <c r="J68" s="3">
        <v>59.339408650229878</v>
      </c>
      <c r="K68" s="28" t="s">
        <v>27</v>
      </c>
      <c r="L68" s="28" t="s">
        <v>27</v>
      </c>
      <c r="M68" s="28" t="s">
        <v>27</v>
      </c>
      <c r="N68" s="28" t="s">
        <v>27</v>
      </c>
      <c r="O68" s="28" t="s">
        <v>27</v>
      </c>
      <c r="P68" s="3" t="s">
        <v>27</v>
      </c>
      <c r="Q68" s="28">
        <v>4.0390000343322754</v>
      </c>
      <c r="R68" s="28" t="s">
        <v>27</v>
      </c>
      <c r="S68" s="28">
        <v>27.328000215813518</v>
      </c>
      <c r="T68" s="28">
        <v>46.136999987065792</v>
      </c>
      <c r="U68" s="28">
        <v>76.76299960911274</v>
      </c>
      <c r="V68" s="28">
        <v>296.22699290700257</v>
      </c>
      <c r="W68" s="28" t="s">
        <v>27</v>
      </c>
      <c r="X68" s="28" t="s">
        <v>27</v>
      </c>
      <c r="Y68" s="28" t="s">
        <v>27</v>
      </c>
      <c r="Z68" s="28" t="s">
        <v>27</v>
      </c>
      <c r="AA68" s="28" t="s">
        <v>27</v>
      </c>
      <c r="AB68" s="28" t="s">
        <v>27</v>
      </c>
      <c r="AC68" s="12">
        <f t="shared" si="3"/>
        <v>450.49399275332689</v>
      </c>
    </row>
    <row r="69" spans="1:29" ht="15" customHeight="1">
      <c r="A69" s="4">
        <v>63</v>
      </c>
      <c r="B69" s="9" t="s">
        <v>89</v>
      </c>
      <c r="C69" s="22" t="s">
        <v>150</v>
      </c>
      <c r="D69" s="12">
        <f t="shared" si="2"/>
        <v>2196.8574204992437</v>
      </c>
      <c r="E69" s="28">
        <v>706.35225034928317</v>
      </c>
      <c r="F69" s="28">
        <v>148.63199037742615</v>
      </c>
      <c r="G69" s="28">
        <v>78.067655271351342</v>
      </c>
      <c r="H69" s="28">
        <v>494.85378428376464</v>
      </c>
      <c r="I69" s="28">
        <v>82.082079241454608</v>
      </c>
      <c r="J69" s="3">
        <v>177.45943886950209</v>
      </c>
      <c r="K69" s="28">
        <v>137.62345363473892</v>
      </c>
      <c r="L69" s="28" t="s">
        <v>27</v>
      </c>
      <c r="M69" s="28">
        <v>210.90121763125063</v>
      </c>
      <c r="N69" s="28">
        <v>113.4578012039885</v>
      </c>
      <c r="O69" s="28">
        <v>20.205494654834272</v>
      </c>
      <c r="P69" s="3">
        <v>27.222254981649296</v>
      </c>
      <c r="Q69" s="28">
        <v>19.266000658273697</v>
      </c>
      <c r="R69" s="28">
        <v>16.486999750137329</v>
      </c>
      <c r="S69" s="28">
        <v>11.976000159978867</v>
      </c>
      <c r="T69" s="28">
        <v>101.90299954079092</v>
      </c>
      <c r="U69" s="28">
        <v>92.923000365495682</v>
      </c>
      <c r="V69" s="28">
        <v>765.78498116787523</v>
      </c>
      <c r="W69" s="28">
        <v>3.5580000877380371</v>
      </c>
      <c r="X69" s="28" t="s">
        <v>27</v>
      </c>
      <c r="Y69" s="28">
        <v>11.063999973237514</v>
      </c>
      <c r="Z69" s="28">
        <v>10.769999895244837</v>
      </c>
      <c r="AA69" s="28">
        <v>8.0189998894929886</v>
      </c>
      <c r="AB69" s="28">
        <v>61.024999769404531</v>
      </c>
      <c r="AC69" s="12">
        <f t="shared" si="3"/>
        <v>1102.7759812576696</v>
      </c>
    </row>
    <row r="70" spans="1:29" ht="15" customHeight="1">
      <c r="A70" s="4">
        <v>64</v>
      </c>
      <c r="B70" s="9" t="s">
        <v>90</v>
      </c>
      <c r="C70" s="22" t="s">
        <v>149</v>
      </c>
      <c r="D70" s="12">
        <f t="shared" si="2"/>
        <v>566.3244061119683</v>
      </c>
      <c r="E70" s="28" t="s">
        <v>27</v>
      </c>
      <c r="F70" s="28">
        <v>300.57312952901424</v>
      </c>
      <c r="G70" s="28" t="s">
        <v>27</v>
      </c>
      <c r="H70" s="28">
        <v>119.99042488770186</v>
      </c>
      <c r="I70" s="28">
        <v>53.595650731980804</v>
      </c>
      <c r="J70" s="3">
        <v>92.165200963271346</v>
      </c>
      <c r="K70" s="28" t="s">
        <v>27</v>
      </c>
      <c r="L70" s="28" t="s">
        <v>27</v>
      </c>
      <c r="M70" s="28" t="s">
        <v>27</v>
      </c>
      <c r="N70" s="28" t="s">
        <v>27</v>
      </c>
      <c r="O70" s="28" t="s">
        <v>27</v>
      </c>
      <c r="P70" s="3" t="s">
        <v>27</v>
      </c>
      <c r="Q70" s="28" t="s">
        <v>27</v>
      </c>
      <c r="R70" s="28">
        <v>34.151999939233065</v>
      </c>
      <c r="S70" s="28" t="s">
        <v>27</v>
      </c>
      <c r="T70" s="28">
        <v>96.075999554246664</v>
      </c>
      <c r="U70" s="28">
        <v>64.611999958753586</v>
      </c>
      <c r="V70" s="28">
        <v>413.65400046855211</v>
      </c>
      <c r="W70" s="28" t="s">
        <v>27</v>
      </c>
      <c r="X70" s="28" t="s">
        <v>27</v>
      </c>
      <c r="Y70" s="28" t="s">
        <v>27</v>
      </c>
      <c r="Z70" s="28" t="s">
        <v>27</v>
      </c>
      <c r="AA70" s="28" t="s">
        <v>27</v>
      </c>
      <c r="AB70" s="28" t="s">
        <v>27</v>
      </c>
      <c r="AC70" s="12">
        <f t="shared" si="3"/>
        <v>608.49399992078543</v>
      </c>
    </row>
    <row r="71" spans="1:29" ht="15" customHeight="1">
      <c r="A71" s="4">
        <v>65</v>
      </c>
      <c r="B71" s="9" t="s">
        <v>91</v>
      </c>
      <c r="C71" s="22" t="s">
        <v>149</v>
      </c>
      <c r="D71" s="12">
        <f t="shared" ref="D71:D102" si="4">SUM(E71:J71)+SUM(K71:P71)</f>
        <v>197.90425185915143</v>
      </c>
      <c r="E71" s="28" t="s">
        <v>27</v>
      </c>
      <c r="F71" s="28" t="s">
        <v>27</v>
      </c>
      <c r="G71" s="28">
        <v>59.56288041707873</v>
      </c>
      <c r="H71" s="28">
        <v>55.271767295569184</v>
      </c>
      <c r="I71" s="28">
        <v>27.161080776542427</v>
      </c>
      <c r="J71" s="3">
        <v>55.908523369961074</v>
      </c>
      <c r="K71" s="28" t="s">
        <v>27</v>
      </c>
      <c r="L71" s="28" t="s">
        <v>27</v>
      </c>
      <c r="M71" s="28" t="s">
        <v>27</v>
      </c>
      <c r="N71" s="28" t="s">
        <v>27</v>
      </c>
      <c r="O71" s="28" t="s">
        <v>27</v>
      </c>
      <c r="P71" s="3" t="s">
        <v>27</v>
      </c>
      <c r="Q71" s="28" t="s">
        <v>27</v>
      </c>
      <c r="R71" s="28" t="s">
        <v>27</v>
      </c>
      <c r="S71" s="28">
        <v>14.845000192523003</v>
      </c>
      <c r="T71" s="28">
        <v>39.337999358773232</v>
      </c>
      <c r="U71" s="28">
        <v>55.333999544382095</v>
      </c>
      <c r="V71" s="28">
        <v>348.27000017464161</v>
      </c>
      <c r="W71" s="28" t="s">
        <v>27</v>
      </c>
      <c r="X71" s="28" t="s">
        <v>27</v>
      </c>
      <c r="Y71" s="28" t="s">
        <v>27</v>
      </c>
      <c r="Z71" s="28" t="s">
        <v>27</v>
      </c>
      <c r="AA71" s="28" t="s">
        <v>27</v>
      </c>
      <c r="AB71" s="28" t="s">
        <v>27</v>
      </c>
      <c r="AC71" s="12">
        <f t="shared" ref="AC71:AC102" si="5">SUM(Q71:AB71)</f>
        <v>457.78699927031994</v>
      </c>
    </row>
    <row r="72" spans="1:29" ht="15" customHeight="1">
      <c r="A72" s="4">
        <v>66</v>
      </c>
      <c r="B72" s="9" t="s">
        <v>92</v>
      </c>
      <c r="C72" s="22" t="s">
        <v>149</v>
      </c>
      <c r="D72" s="12">
        <f t="shared" si="4"/>
        <v>400.98641488783295</v>
      </c>
      <c r="E72" s="28" t="s">
        <v>27</v>
      </c>
      <c r="F72" s="28">
        <v>81.857629444599155</v>
      </c>
      <c r="G72" s="28">
        <v>92.645093230374158</v>
      </c>
      <c r="H72" s="28">
        <v>80.986082611560818</v>
      </c>
      <c r="I72" s="28">
        <v>60.71997888571024</v>
      </c>
      <c r="J72" s="3">
        <v>84.777630715588586</v>
      </c>
      <c r="K72" s="28" t="s">
        <v>27</v>
      </c>
      <c r="L72" s="28" t="s">
        <v>27</v>
      </c>
      <c r="M72" s="28" t="s">
        <v>27</v>
      </c>
      <c r="N72" s="28" t="s">
        <v>27</v>
      </c>
      <c r="O72" s="28" t="s">
        <v>27</v>
      </c>
      <c r="P72" s="3" t="s">
        <v>27</v>
      </c>
      <c r="Q72" s="28" t="s">
        <v>27</v>
      </c>
      <c r="R72" s="28">
        <v>15.096999883651733</v>
      </c>
      <c r="S72" s="28">
        <v>26.136999759823084</v>
      </c>
      <c r="T72" s="28">
        <v>43.135000705718994</v>
      </c>
      <c r="U72" s="28">
        <v>72.035000205039978</v>
      </c>
      <c r="V72" s="28">
        <v>376.69999994337559</v>
      </c>
      <c r="W72" s="28" t="s">
        <v>27</v>
      </c>
      <c r="X72" s="28" t="s">
        <v>27</v>
      </c>
      <c r="Y72" s="28" t="s">
        <v>27</v>
      </c>
      <c r="Z72" s="28" t="s">
        <v>27</v>
      </c>
      <c r="AA72" s="28" t="s">
        <v>27</v>
      </c>
      <c r="AB72" s="28" t="s">
        <v>27</v>
      </c>
      <c r="AC72" s="12">
        <f t="shared" si="5"/>
        <v>533.10400049760938</v>
      </c>
    </row>
    <row r="73" spans="1:29" ht="15" customHeight="1">
      <c r="A73" s="4">
        <v>67</v>
      </c>
      <c r="B73" s="9" t="s">
        <v>93</v>
      </c>
      <c r="C73" s="22" t="s">
        <v>149</v>
      </c>
      <c r="D73" s="12">
        <f t="shared" si="4"/>
        <v>709.96694949817061</v>
      </c>
      <c r="E73" s="28" t="s">
        <v>27</v>
      </c>
      <c r="F73" s="28">
        <v>294.57975012467057</v>
      </c>
      <c r="G73" s="28" t="s">
        <v>27</v>
      </c>
      <c r="H73" s="28">
        <v>218.41847974115609</v>
      </c>
      <c r="I73" s="28">
        <v>77.472859370827678</v>
      </c>
      <c r="J73" s="3">
        <v>119.49586026151621</v>
      </c>
      <c r="K73" s="28" t="s">
        <v>27</v>
      </c>
      <c r="L73" s="28" t="s">
        <v>27</v>
      </c>
      <c r="M73" s="28" t="s">
        <v>27</v>
      </c>
      <c r="N73" s="28" t="s">
        <v>27</v>
      </c>
      <c r="O73" s="28" t="s">
        <v>27</v>
      </c>
      <c r="P73" s="3" t="s">
        <v>27</v>
      </c>
      <c r="Q73" s="28" t="s">
        <v>27</v>
      </c>
      <c r="R73" s="28">
        <v>47.148999977856874</v>
      </c>
      <c r="S73" s="28" t="s">
        <v>27</v>
      </c>
      <c r="T73" s="28">
        <v>96.108000099658966</v>
      </c>
      <c r="U73" s="28">
        <v>72.563999712467194</v>
      </c>
      <c r="V73" s="28">
        <v>458.07599310576916</v>
      </c>
      <c r="W73" s="28" t="s">
        <v>27</v>
      </c>
      <c r="X73" s="28" t="s">
        <v>27</v>
      </c>
      <c r="Y73" s="28" t="s">
        <v>27</v>
      </c>
      <c r="Z73" s="28" t="s">
        <v>27</v>
      </c>
      <c r="AA73" s="28" t="s">
        <v>27</v>
      </c>
      <c r="AB73" s="28" t="s">
        <v>27</v>
      </c>
      <c r="AC73" s="12">
        <f t="shared" si="5"/>
        <v>673.89699289575219</v>
      </c>
    </row>
    <row r="74" spans="1:29" ht="15" customHeight="1">
      <c r="A74" s="4">
        <v>68</v>
      </c>
      <c r="B74" s="9" t="s">
        <v>94</v>
      </c>
      <c r="C74" s="22" t="s">
        <v>149</v>
      </c>
      <c r="D74" s="12">
        <f t="shared" si="4"/>
        <v>395.87861367953957</v>
      </c>
      <c r="E74" s="28" t="s">
        <v>27</v>
      </c>
      <c r="F74" s="28">
        <v>213.75461512080579</v>
      </c>
      <c r="G74" s="28" t="s">
        <v>27</v>
      </c>
      <c r="H74" s="28">
        <v>83.937271671495395</v>
      </c>
      <c r="I74" s="28">
        <v>39.084999199919402</v>
      </c>
      <c r="J74" s="3">
        <v>59.101727687318956</v>
      </c>
      <c r="K74" s="28" t="s">
        <v>27</v>
      </c>
      <c r="L74" s="28" t="s">
        <v>27</v>
      </c>
      <c r="M74" s="28" t="s">
        <v>27</v>
      </c>
      <c r="N74" s="28" t="s">
        <v>27</v>
      </c>
      <c r="O74" s="28" t="s">
        <v>27</v>
      </c>
      <c r="P74" s="3" t="s">
        <v>27</v>
      </c>
      <c r="Q74" s="28" t="s">
        <v>27</v>
      </c>
      <c r="R74" s="28">
        <v>52.725999858230352</v>
      </c>
      <c r="S74" s="28" t="s">
        <v>27</v>
      </c>
      <c r="T74" s="28">
        <v>67.297001023776829</v>
      </c>
      <c r="U74" s="28">
        <v>80.474999859929085</v>
      </c>
      <c r="V74" s="28">
        <v>370.60900141298771</v>
      </c>
      <c r="W74" s="28" t="s">
        <v>27</v>
      </c>
      <c r="X74" s="28" t="s">
        <v>27</v>
      </c>
      <c r="Y74" s="28" t="s">
        <v>27</v>
      </c>
      <c r="Z74" s="28" t="s">
        <v>27</v>
      </c>
      <c r="AA74" s="28" t="s">
        <v>27</v>
      </c>
      <c r="AB74" s="28" t="s">
        <v>27</v>
      </c>
      <c r="AC74" s="12">
        <f t="shared" si="5"/>
        <v>571.10700215492398</v>
      </c>
    </row>
    <row r="75" spans="1:29" ht="15" customHeight="1">
      <c r="A75" s="4">
        <v>69</v>
      </c>
      <c r="B75" s="9" t="s">
        <v>95</v>
      </c>
      <c r="C75" s="22" t="s">
        <v>149</v>
      </c>
      <c r="D75" s="12">
        <f t="shared" si="4"/>
        <v>672.79706859430439</v>
      </c>
      <c r="E75" s="28" t="s">
        <v>27</v>
      </c>
      <c r="F75" s="28">
        <v>357.5668426079452</v>
      </c>
      <c r="G75" s="28">
        <v>56.131058825850488</v>
      </c>
      <c r="H75" s="28">
        <v>81.921282276168469</v>
      </c>
      <c r="I75" s="28">
        <v>69.795653835177419</v>
      </c>
      <c r="J75" s="3">
        <v>107.38223104916273</v>
      </c>
      <c r="K75" s="28" t="s">
        <v>27</v>
      </c>
      <c r="L75" s="28" t="s">
        <v>27</v>
      </c>
      <c r="M75" s="28" t="s">
        <v>27</v>
      </c>
      <c r="N75" s="28" t="s">
        <v>27</v>
      </c>
      <c r="O75" s="28" t="s">
        <v>27</v>
      </c>
      <c r="P75" s="3" t="s">
        <v>27</v>
      </c>
      <c r="Q75" s="28" t="s">
        <v>27</v>
      </c>
      <c r="R75" s="28">
        <v>38.296000182628632</v>
      </c>
      <c r="S75" s="28">
        <v>13.212999731302261</v>
      </c>
      <c r="T75" s="28">
        <v>57.362999148666859</v>
      </c>
      <c r="U75" s="28">
        <v>81.838001251220703</v>
      </c>
      <c r="V75" s="28">
        <v>473.66300132125616</v>
      </c>
      <c r="W75" s="28" t="s">
        <v>27</v>
      </c>
      <c r="X75" s="28" t="s">
        <v>27</v>
      </c>
      <c r="Y75" s="28" t="s">
        <v>27</v>
      </c>
      <c r="Z75" s="28" t="s">
        <v>27</v>
      </c>
      <c r="AA75" s="28" t="s">
        <v>27</v>
      </c>
      <c r="AB75" s="28" t="s">
        <v>27</v>
      </c>
      <c r="AC75" s="12">
        <f t="shared" si="5"/>
        <v>664.37300163507462</v>
      </c>
    </row>
    <row r="76" spans="1:29" ht="15" customHeight="1">
      <c r="A76" s="4">
        <v>70</v>
      </c>
      <c r="B76" s="9" t="s">
        <v>96</v>
      </c>
      <c r="C76" s="22" t="s">
        <v>149</v>
      </c>
      <c r="D76" s="12">
        <f t="shared" si="4"/>
        <v>394.4209736423046</v>
      </c>
      <c r="E76" s="28">
        <v>117.46537283325195</v>
      </c>
      <c r="F76" s="28" t="s">
        <v>27</v>
      </c>
      <c r="G76" s="28">
        <v>151.64275047221778</v>
      </c>
      <c r="H76" s="28">
        <v>48.238847455948594</v>
      </c>
      <c r="I76" s="28">
        <v>31.767957595527172</v>
      </c>
      <c r="J76" s="3">
        <v>45.306045285359119</v>
      </c>
      <c r="K76" s="28" t="s">
        <v>27</v>
      </c>
      <c r="L76" s="28" t="s">
        <v>27</v>
      </c>
      <c r="M76" s="28" t="s">
        <v>27</v>
      </c>
      <c r="N76" s="28" t="s">
        <v>27</v>
      </c>
      <c r="O76" s="28" t="s">
        <v>27</v>
      </c>
      <c r="P76" s="3" t="s">
        <v>27</v>
      </c>
      <c r="Q76" s="28">
        <v>4.5279998779296875</v>
      </c>
      <c r="R76" s="28" t="s">
        <v>27</v>
      </c>
      <c r="S76" s="28">
        <v>31.912999622523785</v>
      </c>
      <c r="T76" s="28">
        <v>34.639000698924065</v>
      </c>
      <c r="U76" s="28">
        <v>86.697999630123377</v>
      </c>
      <c r="V76" s="28">
        <v>338.78801147267222</v>
      </c>
      <c r="W76" s="28" t="s">
        <v>27</v>
      </c>
      <c r="X76" s="28" t="s">
        <v>27</v>
      </c>
      <c r="Y76" s="28" t="s">
        <v>27</v>
      </c>
      <c r="Z76" s="28" t="s">
        <v>27</v>
      </c>
      <c r="AA76" s="28" t="s">
        <v>27</v>
      </c>
      <c r="AB76" s="28" t="s">
        <v>27</v>
      </c>
      <c r="AC76" s="12">
        <f t="shared" si="5"/>
        <v>496.56601130217314</v>
      </c>
    </row>
    <row r="77" spans="1:29" ht="15" customHeight="1">
      <c r="A77" s="4">
        <v>71</v>
      </c>
      <c r="B77" s="9" t="s">
        <v>97</v>
      </c>
      <c r="C77" s="22" t="s">
        <v>150</v>
      </c>
      <c r="D77" s="12">
        <f t="shared" si="4"/>
        <v>801.27452619557232</v>
      </c>
      <c r="E77" s="28" t="s">
        <v>27</v>
      </c>
      <c r="F77" s="28">
        <v>201.24624675961584</v>
      </c>
      <c r="G77" s="28">
        <v>164.55104305693507</v>
      </c>
      <c r="H77" s="28">
        <v>79.646832136735327</v>
      </c>
      <c r="I77" s="28">
        <v>85.733407336413862</v>
      </c>
      <c r="J77" s="3">
        <v>114.72111286179508</v>
      </c>
      <c r="K77" s="28" t="s">
        <v>27</v>
      </c>
      <c r="L77" s="28" t="s">
        <v>27</v>
      </c>
      <c r="M77" s="28">
        <v>72.443033196479078</v>
      </c>
      <c r="N77" s="28">
        <v>56.005085846722125</v>
      </c>
      <c r="O77" s="28">
        <v>11.717025926701725</v>
      </c>
      <c r="P77" s="3">
        <v>15.210739074174171</v>
      </c>
      <c r="Q77" s="28" t="s">
        <v>27</v>
      </c>
      <c r="R77" s="28">
        <v>25.231000002473593</v>
      </c>
      <c r="S77" s="28">
        <v>37.909000247716904</v>
      </c>
      <c r="T77" s="28">
        <v>54.699000246822834</v>
      </c>
      <c r="U77" s="28">
        <v>140.81800159811974</v>
      </c>
      <c r="V77" s="28">
        <v>624.65400105342269</v>
      </c>
      <c r="W77" s="28" t="s">
        <v>27</v>
      </c>
      <c r="X77" s="28" t="s">
        <v>27</v>
      </c>
      <c r="Y77" s="28">
        <v>10.172000005841255</v>
      </c>
      <c r="Z77" s="28">
        <v>9.7079999670386314</v>
      </c>
      <c r="AA77" s="28">
        <v>7.1289999932050705</v>
      </c>
      <c r="AB77" s="28">
        <v>44.532000735402107</v>
      </c>
      <c r="AC77" s="12">
        <f t="shared" si="5"/>
        <v>954.85200385004282</v>
      </c>
    </row>
    <row r="78" spans="1:29" ht="15" customHeight="1">
      <c r="A78" s="4">
        <v>72</v>
      </c>
      <c r="B78" s="9" t="s">
        <v>98</v>
      </c>
      <c r="C78" s="22" t="s">
        <v>149</v>
      </c>
      <c r="D78" s="12">
        <f t="shared" si="4"/>
        <v>660.69006111110798</v>
      </c>
      <c r="E78" s="28">
        <v>390.73362166023253</v>
      </c>
      <c r="F78" s="28">
        <v>52.336619054317474</v>
      </c>
      <c r="G78" s="28">
        <v>81.237720869440579</v>
      </c>
      <c r="H78" s="28">
        <v>59.854337755113839</v>
      </c>
      <c r="I78" s="28">
        <v>26.445639913529156</v>
      </c>
      <c r="J78" s="3">
        <v>50.082121858474359</v>
      </c>
      <c r="K78" s="28" t="s">
        <v>27</v>
      </c>
      <c r="L78" s="28" t="s">
        <v>27</v>
      </c>
      <c r="M78" s="28" t="s">
        <v>27</v>
      </c>
      <c r="N78" s="28" t="s">
        <v>27</v>
      </c>
      <c r="O78" s="28" t="s">
        <v>27</v>
      </c>
      <c r="P78" s="3" t="s">
        <v>27</v>
      </c>
      <c r="Q78" s="28">
        <v>20.962000131607056</v>
      </c>
      <c r="R78" s="28">
        <v>5.6099998950958252</v>
      </c>
      <c r="S78" s="28">
        <v>16.180000094696879</v>
      </c>
      <c r="T78" s="28">
        <v>41.73499983549118</v>
      </c>
      <c r="U78" s="28">
        <v>57.620999708771706</v>
      </c>
      <c r="V78" s="28">
        <v>325.35200457274914</v>
      </c>
      <c r="W78" s="28" t="s">
        <v>27</v>
      </c>
      <c r="X78" s="28" t="s">
        <v>27</v>
      </c>
      <c r="Y78" s="28" t="s">
        <v>27</v>
      </c>
      <c r="Z78" s="28" t="s">
        <v>27</v>
      </c>
      <c r="AA78" s="28" t="s">
        <v>27</v>
      </c>
      <c r="AB78" s="28" t="s">
        <v>27</v>
      </c>
      <c r="AC78" s="12">
        <f t="shared" si="5"/>
        <v>467.46000423841178</v>
      </c>
    </row>
    <row r="79" spans="1:29" ht="15" customHeight="1">
      <c r="A79" s="4">
        <v>73</v>
      </c>
      <c r="B79" s="9" t="s">
        <v>99</v>
      </c>
      <c r="C79" s="22" t="s">
        <v>150</v>
      </c>
      <c r="D79" s="12">
        <f t="shared" si="4"/>
        <v>2058.5266322944672</v>
      </c>
      <c r="E79" s="28">
        <v>204.89799913167954</v>
      </c>
      <c r="F79" s="28">
        <v>147.56884522619845</v>
      </c>
      <c r="G79" s="28" t="s">
        <v>27</v>
      </c>
      <c r="H79" s="28">
        <v>157.48285711643473</v>
      </c>
      <c r="I79" s="28">
        <v>57.114559496808795</v>
      </c>
      <c r="J79" s="3">
        <v>52.353333967500809</v>
      </c>
      <c r="K79" s="28">
        <v>363.65719173598291</v>
      </c>
      <c r="L79" s="28" t="s">
        <v>27</v>
      </c>
      <c r="M79" s="28">
        <v>456.81287508494592</v>
      </c>
      <c r="N79" s="28">
        <v>321.87651106027698</v>
      </c>
      <c r="O79" s="28">
        <v>112.21033204044006</v>
      </c>
      <c r="P79" s="3">
        <v>184.55212743419881</v>
      </c>
      <c r="Q79" s="28">
        <v>6.9199999570846558</v>
      </c>
      <c r="R79" s="28">
        <v>16.046000029891729</v>
      </c>
      <c r="S79" s="28" t="s">
        <v>27</v>
      </c>
      <c r="T79" s="28">
        <v>61.411000272259116</v>
      </c>
      <c r="U79" s="28">
        <v>62.209999617189169</v>
      </c>
      <c r="V79" s="28">
        <v>220.53600044269115</v>
      </c>
      <c r="W79" s="28">
        <v>10.400000154972076</v>
      </c>
      <c r="X79" s="28" t="s">
        <v>27</v>
      </c>
      <c r="Y79" s="28">
        <v>28.077000005170703</v>
      </c>
      <c r="Z79" s="28">
        <v>48.707999879959971</v>
      </c>
      <c r="AA79" s="28">
        <v>31.127999894088134</v>
      </c>
      <c r="AB79" s="28">
        <v>330.77001386322081</v>
      </c>
      <c r="AC79" s="12">
        <f t="shared" si="5"/>
        <v>816.20601411652751</v>
      </c>
    </row>
    <row r="80" spans="1:29" ht="15" customHeight="1">
      <c r="A80" s="4">
        <v>74</v>
      </c>
      <c r="B80" s="9" t="s">
        <v>100</v>
      </c>
      <c r="C80" s="22" t="s">
        <v>149</v>
      </c>
      <c r="D80" s="12">
        <f t="shared" si="4"/>
        <v>499.23298045092656</v>
      </c>
      <c r="E80" s="28" t="s">
        <v>27</v>
      </c>
      <c r="F80" s="28">
        <v>187.72483651201426</v>
      </c>
      <c r="G80" s="28">
        <v>15.849427659124135</v>
      </c>
      <c r="H80" s="28">
        <v>63.107363033778967</v>
      </c>
      <c r="I80" s="28">
        <v>87.467192936301231</v>
      </c>
      <c r="J80" s="3">
        <v>145.08416030970793</v>
      </c>
      <c r="K80" s="28" t="s">
        <v>27</v>
      </c>
      <c r="L80" s="28" t="s">
        <v>27</v>
      </c>
      <c r="M80" s="28" t="s">
        <v>27</v>
      </c>
      <c r="N80" s="28" t="s">
        <v>27</v>
      </c>
      <c r="O80" s="28" t="s">
        <v>27</v>
      </c>
      <c r="P80" s="3" t="s">
        <v>27</v>
      </c>
      <c r="Q80" s="28" t="s">
        <v>27</v>
      </c>
      <c r="R80" s="28">
        <v>22.251999862492085</v>
      </c>
      <c r="S80" s="28">
        <v>11.919999748468399</v>
      </c>
      <c r="T80" s="28">
        <v>35.538000114262104</v>
      </c>
      <c r="U80" s="28">
        <v>95.979998663067818</v>
      </c>
      <c r="V80" s="28">
        <v>614.00000008940697</v>
      </c>
      <c r="W80" s="28" t="s">
        <v>27</v>
      </c>
      <c r="X80" s="28" t="s">
        <v>27</v>
      </c>
      <c r="Y80" s="28" t="s">
        <v>27</v>
      </c>
      <c r="Z80" s="28" t="s">
        <v>27</v>
      </c>
      <c r="AA80" s="28" t="s">
        <v>27</v>
      </c>
      <c r="AB80" s="28" t="s">
        <v>27</v>
      </c>
      <c r="AC80" s="12">
        <f t="shared" si="5"/>
        <v>779.68999847769737</v>
      </c>
    </row>
    <row r="81" spans="1:29" ht="15" customHeight="1">
      <c r="A81" s="4">
        <v>75</v>
      </c>
      <c r="B81" s="9" t="s">
        <v>101</v>
      </c>
      <c r="C81" s="22" t="s">
        <v>149</v>
      </c>
      <c r="D81" s="12">
        <f t="shared" si="4"/>
        <v>293.15295910020217</v>
      </c>
      <c r="E81" s="28" t="s">
        <v>27</v>
      </c>
      <c r="F81" s="28" t="s">
        <v>27</v>
      </c>
      <c r="G81" s="28">
        <v>65.711737923122939</v>
      </c>
      <c r="H81" s="28">
        <v>148.10429020189122</v>
      </c>
      <c r="I81" s="28">
        <v>33.752255154252055</v>
      </c>
      <c r="J81" s="3">
        <v>45.584675820935963</v>
      </c>
      <c r="K81" s="28" t="s">
        <v>27</v>
      </c>
      <c r="L81" s="28" t="s">
        <v>27</v>
      </c>
      <c r="M81" s="28" t="s">
        <v>27</v>
      </c>
      <c r="N81" s="28" t="s">
        <v>27</v>
      </c>
      <c r="O81" s="28" t="s">
        <v>27</v>
      </c>
      <c r="P81" s="3" t="s">
        <v>27</v>
      </c>
      <c r="Q81" s="28" t="s">
        <v>27</v>
      </c>
      <c r="R81" s="28" t="s">
        <v>27</v>
      </c>
      <c r="S81" s="28">
        <v>11.572999957948923</v>
      </c>
      <c r="T81" s="28">
        <v>68.653999973088503</v>
      </c>
      <c r="U81" s="28">
        <v>69.249000430107117</v>
      </c>
      <c r="V81" s="28">
        <v>285.21500063687563</v>
      </c>
      <c r="W81" s="28" t="s">
        <v>27</v>
      </c>
      <c r="X81" s="28" t="s">
        <v>27</v>
      </c>
      <c r="Y81" s="28" t="s">
        <v>27</v>
      </c>
      <c r="Z81" s="28" t="s">
        <v>27</v>
      </c>
      <c r="AA81" s="28" t="s">
        <v>27</v>
      </c>
      <c r="AB81" s="28" t="s">
        <v>27</v>
      </c>
      <c r="AC81" s="12">
        <f t="shared" si="5"/>
        <v>434.69100099802017</v>
      </c>
    </row>
    <row r="82" spans="1:29" ht="15" customHeight="1">
      <c r="A82" s="4">
        <v>76</v>
      </c>
      <c r="B82" s="9" t="s">
        <v>102</v>
      </c>
      <c r="C82" s="22" t="s">
        <v>150</v>
      </c>
      <c r="D82" s="12">
        <f t="shared" si="4"/>
        <v>2584.944879860147</v>
      </c>
      <c r="E82" s="28">
        <v>647.47052760601048</v>
      </c>
      <c r="F82" s="28">
        <v>132.07134808391334</v>
      </c>
      <c r="G82" s="28">
        <v>128.85451983079315</v>
      </c>
      <c r="H82" s="28">
        <v>267.3114767238647</v>
      </c>
      <c r="I82" s="28">
        <v>127.57274914270174</v>
      </c>
      <c r="J82" s="3">
        <v>140.77708944832682</v>
      </c>
      <c r="K82" s="28">
        <v>514.84834963917729</v>
      </c>
      <c r="L82" s="28" t="s">
        <v>27</v>
      </c>
      <c r="M82" s="28">
        <v>250.82585578316451</v>
      </c>
      <c r="N82" s="28">
        <v>217.38637993206828</v>
      </c>
      <c r="O82" s="28">
        <v>73.668606327198447</v>
      </c>
      <c r="P82" s="3">
        <v>84.157977342928078</v>
      </c>
      <c r="Q82" s="28">
        <v>13.182999968528748</v>
      </c>
      <c r="R82" s="28">
        <v>10.54000012204051</v>
      </c>
      <c r="S82" s="28">
        <v>25.041999841108918</v>
      </c>
      <c r="T82" s="28">
        <v>50.199000209569931</v>
      </c>
      <c r="U82" s="28">
        <v>104.87099946569651</v>
      </c>
      <c r="V82" s="28">
        <v>497.40099993348122</v>
      </c>
      <c r="W82" s="28">
        <v>10.951999962329865</v>
      </c>
      <c r="X82" s="28" t="s">
        <v>27</v>
      </c>
      <c r="Y82" s="28">
        <v>13.794000092893839</v>
      </c>
      <c r="Z82" s="28">
        <v>23.46600005403161</v>
      </c>
      <c r="AA82" s="28">
        <v>15.781999880447984</v>
      </c>
      <c r="AB82" s="28">
        <v>128.34400001168251</v>
      </c>
      <c r="AC82" s="12">
        <f t="shared" si="5"/>
        <v>893.57399954181165</v>
      </c>
    </row>
    <row r="83" spans="1:29" ht="15" customHeight="1">
      <c r="A83" s="4">
        <v>77</v>
      </c>
      <c r="B83" s="9" t="s">
        <v>103</v>
      </c>
      <c r="C83" s="22" t="s">
        <v>149</v>
      </c>
      <c r="D83" s="12">
        <f t="shared" si="4"/>
        <v>393.24047523911707</v>
      </c>
      <c r="E83" s="28" t="s">
        <v>27</v>
      </c>
      <c r="F83" s="28">
        <v>151.04065468326212</v>
      </c>
      <c r="G83" s="28">
        <v>44.778901649788025</v>
      </c>
      <c r="H83" s="28">
        <v>92.922881390273574</v>
      </c>
      <c r="I83" s="28">
        <v>40.175753745377065</v>
      </c>
      <c r="J83" s="3">
        <v>64.322283770416277</v>
      </c>
      <c r="K83" s="28" t="s">
        <v>27</v>
      </c>
      <c r="L83" s="28" t="s">
        <v>27</v>
      </c>
      <c r="M83" s="28" t="s">
        <v>27</v>
      </c>
      <c r="N83" s="28" t="s">
        <v>27</v>
      </c>
      <c r="O83" s="28" t="s">
        <v>27</v>
      </c>
      <c r="P83" s="3" t="s">
        <v>27</v>
      </c>
      <c r="Q83" s="28" t="s">
        <v>27</v>
      </c>
      <c r="R83" s="28">
        <v>25.448999579995871</v>
      </c>
      <c r="S83" s="28">
        <v>12.546000517904758</v>
      </c>
      <c r="T83" s="28">
        <v>64.783001378178596</v>
      </c>
      <c r="U83" s="28">
        <v>79.06799989938736</v>
      </c>
      <c r="V83" s="28">
        <v>392.12300018966198</v>
      </c>
      <c r="W83" s="28" t="s">
        <v>27</v>
      </c>
      <c r="X83" s="28" t="s">
        <v>27</v>
      </c>
      <c r="Y83" s="28" t="s">
        <v>27</v>
      </c>
      <c r="Z83" s="28" t="s">
        <v>27</v>
      </c>
      <c r="AA83" s="28" t="s">
        <v>27</v>
      </c>
      <c r="AB83" s="28" t="s">
        <v>27</v>
      </c>
      <c r="AC83" s="12">
        <f t="shared" si="5"/>
        <v>573.96900156512856</v>
      </c>
    </row>
    <row r="84" spans="1:29" ht="15" customHeight="1">
      <c r="A84" s="4">
        <v>78</v>
      </c>
      <c r="B84" s="9" t="s">
        <v>104</v>
      </c>
      <c r="C84" s="22" t="s">
        <v>150</v>
      </c>
      <c r="D84" s="12">
        <f t="shared" si="4"/>
        <v>460.45740838662141</v>
      </c>
      <c r="E84" s="28" t="s">
        <v>27</v>
      </c>
      <c r="F84" s="28">
        <v>85.839210266590115</v>
      </c>
      <c r="G84" s="28" t="s">
        <v>27</v>
      </c>
      <c r="H84" s="28">
        <v>128.00161741498113</v>
      </c>
      <c r="I84" s="28">
        <v>67.004898587856445</v>
      </c>
      <c r="J84" s="3">
        <v>64.816868236688833</v>
      </c>
      <c r="K84" s="28" t="s">
        <v>27</v>
      </c>
      <c r="L84" s="28" t="s">
        <v>27</v>
      </c>
      <c r="M84" s="28">
        <v>46.610654360733925</v>
      </c>
      <c r="N84" s="28">
        <v>42.509074895825236</v>
      </c>
      <c r="O84" s="28">
        <v>12.408380971416831</v>
      </c>
      <c r="P84" s="3">
        <v>13.266703652528882</v>
      </c>
      <c r="Q84" s="28" t="s">
        <v>27</v>
      </c>
      <c r="R84" s="28">
        <v>11.77400004863739</v>
      </c>
      <c r="S84" s="28" t="s">
        <v>27</v>
      </c>
      <c r="T84" s="28">
        <v>67.258999984711409</v>
      </c>
      <c r="U84" s="28">
        <v>86.057000499218702</v>
      </c>
      <c r="V84" s="28">
        <v>302.64799959212542</v>
      </c>
      <c r="W84" s="28" t="s">
        <v>27</v>
      </c>
      <c r="X84" s="28" t="s">
        <v>27</v>
      </c>
      <c r="Y84" s="28">
        <v>3.7379999551922083</v>
      </c>
      <c r="Z84" s="28">
        <v>8.1170000173151493</v>
      </c>
      <c r="AA84" s="28">
        <v>6.3150000385940075</v>
      </c>
      <c r="AB84" s="28">
        <v>34.740000009536743</v>
      </c>
      <c r="AC84" s="12">
        <f t="shared" si="5"/>
        <v>520.64800014533103</v>
      </c>
    </row>
    <row r="85" spans="1:29" ht="15" customHeight="1">
      <c r="A85" s="4">
        <v>79</v>
      </c>
      <c r="B85" s="9" t="s">
        <v>105</v>
      </c>
      <c r="C85" s="22" t="s">
        <v>149</v>
      </c>
      <c r="D85" s="12">
        <f t="shared" si="4"/>
        <v>1257.7330480011385</v>
      </c>
      <c r="E85" s="28">
        <v>325.59520618152618</v>
      </c>
      <c r="F85" s="28">
        <v>483.21402942484616</v>
      </c>
      <c r="G85" s="28">
        <v>100.79310369306803</v>
      </c>
      <c r="H85" s="28">
        <v>160.03462211880461</v>
      </c>
      <c r="I85" s="28">
        <v>43.207958080768584</v>
      </c>
      <c r="J85" s="3">
        <v>144.88812850212506</v>
      </c>
      <c r="K85" s="28" t="s">
        <v>27</v>
      </c>
      <c r="L85" s="28" t="s">
        <v>27</v>
      </c>
      <c r="M85" s="28" t="s">
        <v>27</v>
      </c>
      <c r="N85" s="28" t="s">
        <v>27</v>
      </c>
      <c r="O85" s="28" t="s">
        <v>27</v>
      </c>
      <c r="P85" s="3" t="s">
        <v>27</v>
      </c>
      <c r="Q85" s="28">
        <v>12.032000303268433</v>
      </c>
      <c r="R85" s="28">
        <v>68.550000317394733</v>
      </c>
      <c r="S85" s="28">
        <v>25.212000399827957</v>
      </c>
      <c r="T85" s="28">
        <v>47.585999788716435</v>
      </c>
      <c r="U85" s="28">
        <v>49.407000541687012</v>
      </c>
      <c r="V85" s="28">
        <v>629.15600023418665</v>
      </c>
      <c r="W85" s="28" t="s">
        <v>27</v>
      </c>
      <c r="X85" s="28" t="s">
        <v>27</v>
      </c>
      <c r="Y85" s="28" t="s">
        <v>27</v>
      </c>
      <c r="Z85" s="28" t="s">
        <v>27</v>
      </c>
      <c r="AA85" s="28" t="s">
        <v>27</v>
      </c>
      <c r="AB85" s="28" t="s">
        <v>27</v>
      </c>
      <c r="AC85" s="12">
        <f t="shared" si="5"/>
        <v>831.94300158508122</v>
      </c>
    </row>
    <row r="86" spans="1:29" ht="15" customHeight="1">
      <c r="A86" s="4">
        <v>80</v>
      </c>
      <c r="B86" s="9" t="s">
        <v>106</v>
      </c>
      <c r="C86" s="22" t="s">
        <v>149</v>
      </c>
      <c r="D86" s="12">
        <f t="shared" si="4"/>
        <v>362.29077531214278</v>
      </c>
      <c r="E86" s="28" t="s">
        <v>27</v>
      </c>
      <c r="F86" s="28">
        <v>126.32820941162109</v>
      </c>
      <c r="G86" s="28">
        <v>58.896812512755396</v>
      </c>
      <c r="H86" s="28">
        <v>71.888221084475518</v>
      </c>
      <c r="I86" s="28">
        <v>63.482318795919419</v>
      </c>
      <c r="J86" s="3">
        <v>41.695213507371342</v>
      </c>
      <c r="K86" s="28" t="s">
        <v>27</v>
      </c>
      <c r="L86" s="28" t="s">
        <v>27</v>
      </c>
      <c r="M86" s="28" t="s">
        <v>27</v>
      </c>
      <c r="N86" s="28" t="s">
        <v>27</v>
      </c>
      <c r="O86" s="28" t="s">
        <v>27</v>
      </c>
      <c r="P86" s="3" t="s">
        <v>27</v>
      </c>
      <c r="Q86" s="28" t="s">
        <v>27</v>
      </c>
      <c r="R86" s="28">
        <v>16.322000205516815</v>
      </c>
      <c r="S86" s="28">
        <v>9.708999902009964</v>
      </c>
      <c r="T86" s="28">
        <v>40.227999225258827</v>
      </c>
      <c r="U86" s="28">
        <v>52.869999408721924</v>
      </c>
      <c r="V86" s="28">
        <v>148.52399995736778</v>
      </c>
      <c r="W86" s="28" t="s">
        <v>27</v>
      </c>
      <c r="X86" s="28" t="s">
        <v>27</v>
      </c>
      <c r="Y86" s="28" t="s">
        <v>27</v>
      </c>
      <c r="Z86" s="28" t="s">
        <v>27</v>
      </c>
      <c r="AA86" s="28" t="s">
        <v>27</v>
      </c>
      <c r="AB86" s="28" t="s">
        <v>27</v>
      </c>
      <c r="AC86" s="12">
        <f t="shared" si="5"/>
        <v>267.65299869887531</v>
      </c>
    </row>
    <row r="87" spans="1:29" ht="15" customHeight="1">
      <c r="A87" s="4">
        <v>81</v>
      </c>
      <c r="B87" s="9" t="s">
        <v>107</v>
      </c>
      <c r="C87" s="22" t="s">
        <v>150</v>
      </c>
      <c r="D87" s="12">
        <f t="shared" si="4"/>
        <v>600.40303347249528</v>
      </c>
      <c r="E87" s="28" t="s">
        <v>27</v>
      </c>
      <c r="F87" s="28">
        <v>163.64314660631121</v>
      </c>
      <c r="G87" s="28">
        <v>58.494553240835664</v>
      </c>
      <c r="H87" s="28">
        <v>48.864637221865358</v>
      </c>
      <c r="I87" s="28">
        <v>24.055544928599151</v>
      </c>
      <c r="J87" s="3">
        <v>33.284945931669554</v>
      </c>
      <c r="K87" s="28" t="s">
        <v>27</v>
      </c>
      <c r="L87" s="28" t="s">
        <v>27</v>
      </c>
      <c r="M87" s="28">
        <v>167.75351180359908</v>
      </c>
      <c r="N87" s="28">
        <v>55.819673946049065</v>
      </c>
      <c r="O87" s="28">
        <v>28.448887285072356</v>
      </c>
      <c r="P87" s="3">
        <v>20.038132508493838</v>
      </c>
      <c r="Q87" s="28" t="s">
        <v>27</v>
      </c>
      <c r="R87" s="28">
        <v>25.878999911248684</v>
      </c>
      <c r="S87" s="28">
        <v>8.4519998803734779</v>
      </c>
      <c r="T87" s="28">
        <v>42.133999478071928</v>
      </c>
      <c r="U87" s="28">
        <v>52.679999735206366</v>
      </c>
      <c r="V87" s="28">
        <v>216.91799989901483</v>
      </c>
      <c r="W87" s="28" t="s">
        <v>27</v>
      </c>
      <c r="X87" s="28" t="s">
        <v>27</v>
      </c>
      <c r="Y87" s="28">
        <v>15.04900004947558</v>
      </c>
      <c r="Z87" s="28">
        <v>11.893999936059117</v>
      </c>
      <c r="AA87" s="28">
        <v>15.18500011973083</v>
      </c>
      <c r="AB87" s="28">
        <v>54.056999988853931</v>
      </c>
      <c r="AC87" s="12">
        <f t="shared" si="5"/>
        <v>442.24799899803475</v>
      </c>
    </row>
    <row r="88" spans="1:29" ht="15" customHeight="1">
      <c r="A88" s="4">
        <v>82</v>
      </c>
      <c r="B88" s="9" t="s">
        <v>108</v>
      </c>
      <c r="C88" s="22" t="s">
        <v>150</v>
      </c>
      <c r="D88" s="12">
        <f t="shared" si="4"/>
        <v>648.00708419584635</v>
      </c>
      <c r="E88" s="28" t="s">
        <v>27</v>
      </c>
      <c r="F88" s="28">
        <v>126.64370294782519</v>
      </c>
      <c r="G88" s="28">
        <v>89.343443036437037</v>
      </c>
      <c r="H88" s="28">
        <v>220.43311416098848</v>
      </c>
      <c r="I88" s="28">
        <v>77.910349090054638</v>
      </c>
      <c r="J88" s="3">
        <v>85.962239745022188</v>
      </c>
      <c r="K88" s="28" t="s">
        <v>27</v>
      </c>
      <c r="L88" s="28" t="s">
        <v>27</v>
      </c>
      <c r="M88" s="28">
        <v>40.234008271843194</v>
      </c>
      <c r="N88" s="28" t="s">
        <v>27</v>
      </c>
      <c r="O88" s="28" t="s">
        <v>27</v>
      </c>
      <c r="P88" s="29">
        <v>7.480226943675544</v>
      </c>
      <c r="Q88" s="28" t="s">
        <v>27</v>
      </c>
      <c r="R88" s="28">
        <v>14.99100000411272</v>
      </c>
      <c r="S88" s="28">
        <v>11.559999950230122</v>
      </c>
      <c r="T88" s="28">
        <v>68.645000228658319</v>
      </c>
      <c r="U88" s="28">
        <v>83.573000580072403</v>
      </c>
      <c r="V88" s="28">
        <v>358.66799508035183</v>
      </c>
      <c r="W88" s="28" t="s">
        <v>27</v>
      </c>
      <c r="X88" s="28" t="s">
        <v>27</v>
      </c>
      <c r="Y88" s="28">
        <v>3.4830000326037407</v>
      </c>
      <c r="Z88" s="28" t="s">
        <v>27</v>
      </c>
      <c r="AA88" s="28" t="s">
        <v>27</v>
      </c>
      <c r="AB88" s="28">
        <v>12.424999997019768</v>
      </c>
      <c r="AC88" s="12">
        <f t="shared" si="5"/>
        <v>553.3449958730489</v>
      </c>
    </row>
    <row r="89" spans="1:29" ht="15" customHeight="1">
      <c r="A89" s="4">
        <v>83</v>
      </c>
      <c r="B89" s="9" t="s">
        <v>109</v>
      </c>
      <c r="C89" s="22" t="s">
        <v>149</v>
      </c>
      <c r="D89" s="12">
        <f t="shared" si="4"/>
        <v>144.75830224981914</v>
      </c>
      <c r="E89" s="28" t="s">
        <v>27</v>
      </c>
      <c r="F89" s="28" t="s">
        <v>27</v>
      </c>
      <c r="G89" s="28">
        <v>62.952891187742352</v>
      </c>
      <c r="H89" s="28">
        <v>35.473336771011354</v>
      </c>
      <c r="I89" s="28">
        <v>16.047061853945255</v>
      </c>
      <c r="J89" s="3">
        <v>30.285012437120184</v>
      </c>
      <c r="K89" s="28" t="s">
        <v>27</v>
      </c>
      <c r="L89" s="28" t="s">
        <v>27</v>
      </c>
      <c r="M89" s="28" t="s">
        <v>27</v>
      </c>
      <c r="N89" s="28" t="s">
        <v>27</v>
      </c>
      <c r="O89" s="28" t="s">
        <v>27</v>
      </c>
      <c r="P89" s="3" t="s">
        <v>27</v>
      </c>
      <c r="Q89" s="28" t="s">
        <v>27</v>
      </c>
      <c r="R89" s="28" t="s">
        <v>27</v>
      </c>
      <c r="S89" s="28">
        <v>19.386000037193298</v>
      </c>
      <c r="T89" s="28">
        <v>44.791000604629517</v>
      </c>
      <c r="U89" s="28">
        <v>39.061999946832657</v>
      </c>
      <c r="V89" s="28">
        <v>210.8490002155304</v>
      </c>
      <c r="W89" s="28" t="s">
        <v>27</v>
      </c>
      <c r="X89" s="28" t="s">
        <v>27</v>
      </c>
      <c r="Y89" s="28" t="s">
        <v>27</v>
      </c>
      <c r="Z89" s="28" t="s">
        <v>27</v>
      </c>
      <c r="AA89" s="28" t="s">
        <v>27</v>
      </c>
      <c r="AB89" s="28" t="s">
        <v>27</v>
      </c>
      <c r="AC89" s="12">
        <f t="shared" si="5"/>
        <v>314.08800080418587</v>
      </c>
    </row>
    <row r="90" spans="1:29" ht="15" customHeight="1">
      <c r="A90" s="4">
        <v>84</v>
      </c>
      <c r="B90" s="9" t="s">
        <v>110</v>
      </c>
      <c r="C90" s="22" t="s">
        <v>150</v>
      </c>
      <c r="D90" s="12">
        <f t="shared" si="4"/>
        <v>562.88951022854872</v>
      </c>
      <c r="E90" s="28" t="s">
        <v>27</v>
      </c>
      <c r="F90" s="28">
        <v>283.86469754332302</v>
      </c>
      <c r="G90" s="28">
        <v>32.007402395501735</v>
      </c>
      <c r="H90" s="28">
        <v>67.421706465452914</v>
      </c>
      <c r="I90" s="28">
        <v>28.990827046155928</v>
      </c>
      <c r="J90" s="3">
        <v>38.810095911043121</v>
      </c>
      <c r="K90" s="28" t="s">
        <v>27</v>
      </c>
      <c r="L90" s="28" t="s">
        <v>27</v>
      </c>
      <c r="M90" s="28">
        <v>57.316467575173824</v>
      </c>
      <c r="N90" s="28">
        <v>20.850271142177284</v>
      </c>
      <c r="O90" s="28">
        <v>16.701876932233571</v>
      </c>
      <c r="P90" s="3">
        <v>16.926165217487373</v>
      </c>
      <c r="Q90" s="28" t="s">
        <v>27</v>
      </c>
      <c r="R90" s="28">
        <v>22.498999610543251</v>
      </c>
      <c r="S90" s="28">
        <v>11.925000198185444</v>
      </c>
      <c r="T90" s="28">
        <v>43.096999667584896</v>
      </c>
      <c r="U90" s="28">
        <v>63.216000556945801</v>
      </c>
      <c r="V90" s="28">
        <v>252.24799817800522</v>
      </c>
      <c r="W90" s="28" t="s">
        <v>27</v>
      </c>
      <c r="X90" s="28" t="s">
        <v>27</v>
      </c>
      <c r="Y90" s="28">
        <v>4.5329999681562185</v>
      </c>
      <c r="Z90" s="28">
        <v>5.2660000249743462</v>
      </c>
      <c r="AA90" s="28">
        <v>7.4139999523758888</v>
      </c>
      <c r="AB90" s="28">
        <v>40.694001734256744</v>
      </c>
      <c r="AC90" s="12">
        <f t="shared" si="5"/>
        <v>450.89199989102781</v>
      </c>
    </row>
    <row r="91" spans="1:29" ht="15" customHeight="1">
      <c r="A91" s="4">
        <v>85</v>
      </c>
      <c r="B91" s="9" t="s">
        <v>111</v>
      </c>
      <c r="C91" s="22" t="s">
        <v>149</v>
      </c>
      <c r="D91" s="12">
        <f t="shared" si="4"/>
        <v>333.4296016916943</v>
      </c>
      <c r="E91" s="28" t="s">
        <v>27</v>
      </c>
      <c r="F91" s="28">
        <v>65.413490362167352</v>
      </c>
      <c r="G91" s="28">
        <v>40.193919714652004</v>
      </c>
      <c r="H91" s="28">
        <v>113.25313414332271</v>
      </c>
      <c r="I91" s="28">
        <v>43.045250829249618</v>
      </c>
      <c r="J91" s="3">
        <v>71.523806642302631</v>
      </c>
      <c r="K91" s="28" t="s">
        <v>27</v>
      </c>
      <c r="L91" s="28" t="s">
        <v>27</v>
      </c>
      <c r="M91" s="28" t="s">
        <v>27</v>
      </c>
      <c r="N91" s="28" t="s">
        <v>27</v>
      </c>
      <c r="O91" s="28" t="s">
        <v>27</v>
      </c>
      <c r="P91" s="3" t="s">
        <v>27</v>
      </c>
      <c r="Q91" s="28" t="s">
        <v>27</v>
      </c>
      <c r="R91" s="28">
        <v>13.802000045776367</v>
      </c>
      <c r="S91" s="28">
        <v>11.718999862670898</v>
      </c>
      <c r="T91" s="28">
        <v>52.861999705433846</v>
      </c>
      <c r="U91" s="28">
        <v>77.410999655723572</v>
      </c>
      <c r="V91" s="28">
        <v>412.139992877841</v>
      </c>
      <c r="W91" s="28" t="s">
        <v>27</v>
      </c>
      <c r="X91" s="28" t="s">
        <v>27</v>
      </c>
      <c r="Y91" s="28" t="s">
        <v>27</v>
      </c>
      <c r="Z91" s="28" t="s">
        <v>27</v>
      </c>
      <c r="AA91" s="28" t="s">
        <v>27</v>
      </c>
      <c r="AB91" s="28" t="s">
        <v>27</v>
      </c>
      <c r="AC91" s="12">
        <f t="shared" si="5"/>
        <v>567.93399214744568</v>
      </c>
    </row>
    <row r="92" spans="1:29" ht="15" customHeight="1">
      <c r="A92" s="4">
        <v>86</v>
      </c>
      <c r="B92" s="9" t="s">
        <v>112</v>
      </c>
      <c r="C92" s="22" t="s">
        <v>149</v>
      </c>
      <c r="D92" s="12">
        <f t="shared" si="4"/>
        <v>290.95446314471508</v>
      </c>
      <c r="E92" s="28" t="s">
        <v>27</v>
      </c>
      <c r="F92" s="28" t="s">
        <v>27</v>
      </c>
      <c r="G92" s="28" t="s">
        <v>27</v>
      </c>
      <c r="H92" s="28">
        <v>159.16402930920572</v>
      </c>
      <c r="I92" s="28">
        <v>52.536723550111056</v>
      </c>
      <c r="J92" s="3">
        <v>79.253710285398327</v>
      </c>
      <c r="K92" s="28" t="s">
        <v>27</v>
      </c>
      <c r="L92" s="28" t="s">
        <v>27</v>
      </c>
      <c r="M92" s="28" t="s">
        <v>27</v>
      </c>
      <c r="N92" s="28" t="s">
        <v>27</v>
      </c>
      <c r="O92" s="28" t="s">
        <v>27</v>
      </c>
      <c r="P92" s="3" t="s">
        <v>27</v>
      </c>
      <c r="Q92" s="28" t="s">
        <v>27</v>
      </c>
      <c r="R92" s="28" t="s">
        <v>27</v>
      </c>
      <c r="S92" s="28" t="s">
        <v>27</v>
      </c>
      <c r="T92" s="28">
        <v>74.889000531286001</v>
      </c>
      <c r="U92" s="28">
        <v>93.833001106977463</v>
      </c>
      <c r="V92" s="28">
        <v>454.72500047180802</v>
      </c>
      <c r="W92" s="28" t="s">
        <v>27</v>
      </c>
      <c r="X92" s="28" t="s">
        <v>27</v>
      </c>
      <c r="Y92" s="28" t="s">
        <v>27</v>
      </c>
      <c r="Z92" s="28" t="s">
        <v>27</v>
      </c>
      <c r="AA92" s="28" t="s">
        <v>27</v>
      </c>
      <c r="AB92" s="28" t="s">
        <v>27</v>
      </c>
      <c r="AC92" s="12">
        <f t="shared" si="5"/>
        <v>623.44700211007148</v>
      </c>
    </row>
    <row r="93" spans="1:29" ht="15" customHeight="1">
      <c r="A93" s="4">
        <v>87</v>
      </c>
      <c r="B93" s="9" t="s">
        <v>113</v>
      </c>
      <c r="C93" s="22" t="s">
        <v>150</v>
      </c>
      <c r="D93" s="12">
        <f t="shared" si="4"/>
        <v>760.7577332947958</v>
      </c>
      <c r="E93" s="28">
        <v>271.58206950783728</v>
      </c>
      <c r="F93" s="28" t="s">
        <v>27</v>
      </c>
      <c r="G93" s="28">
        <v>150.68895589292049</v>
      </c>
      <c r="H93" s="28">
        <v>91.056835386939341</v>
      </c>
      <c r="I93" s="28">
        <v>29.255284372687338</v>
      </c>
      <c r="J93" s="3">
        <v>32.93690568365453</v>
      </c>
      <c r="K93" s="28" t="s">
        <v>27</v>
      </c>
      <c r="L93" s="28" t="s">
        <v>27</v>
      </c>
      <c r="M93" s="28">
        <v>58.686217648804188</v>
      </c>
      <c r="N93" s="28">
        <v>94.68760721891374</v>
      </c>
      <c r="O93" s="28">
        <v>14.504546126790345</v>
      </c>
      <c r="P93" s="3">
        <v>17.35931145624858</v>
      </c>
      <c r="Q93" s="28">
        <v>11.386999845504761</v>
      </c>
      <c r="R93" s="28" t="s">
        <v>27</v>
      </c>
      <c r="S93" s="28">
        <v>24.905000038444996</v>
      </c>
      <c r="T93" s="28">
        <v>30.065999783575535</v>
      </c>
      <c r="U93" s="28">
        <v>43.580000370740891</v>
      </c>
      <c r="V93" s="28">
        <v>168.72199980914593</v>
      </c>
      <c r="W93" s="28" t="s">
        <v>27</v>
      </c>
      <c r="X93" s="28" t="s">
        <v>27</v>
      </c>
      <c r="Y93" s="28">
        <v>3.6409999877214432</v>
      </c>
      <c r="Z93" s="28">
        <v>14.602999775670469</v>
      </c>
      <c r="AA93" s="28">
        <v>8.1750000882893801</v>
      </c>
      <c r="AB93" s="28">
        <v>48.449999988079071</v>
      </c>
      <c r="AC93" s="12">
        <f t="shared" si="5"/>
        <v>353.52899968717247</v>
      </c>
    </row>
    <row r="94" spans="1:29" ht="15" customHeight="1">
      <c r="A94" s="4">
        <v>88</v>
      </c>
      <c r="B94" s="9" t="s">
        <v>114</v>
      </c>
      <c r="C94" s="22" t="s">
        <v>149</v>
      </c>
      <c r="D94" s="12">
        <f t="shared" si="4"/>
        <v>364.31381587103181</v>
      </c>
      <c r="E94" s="28" t="s">
        <v>27</v>
      </c>
      <c r="F94" s="28">
        <v>28.257689361572265</v>
      </c>
      <c r="G94" s="28">
        <v>180.52585247898102</v>
      </c>
      <c r="H94" s="28">
        <v>54.769377471566202</v>
      </c>
      <c r="I94" s="28">
        <v>31.72482172471285</v>
      </c>
      <c r="J94" s="3">
        <v>69.036074834199482</v>
      </c>
      <c r="K94" s="28" t="s">
        <v>27</v>
      </c>
      <c r="L94" s="28" t="s">
        <v>27</v>
      </c>
      <c r="M94" s="28" t="s">
        <v>27</v>
      </c>
      <c r="N94" s="28" t="s">
        <v>27</v>
      </c>
      <c r="O94" s="28" t="s">
        <v>27</v>
      </c>
      <c r="P94" s="3" t="s">
        <v>27</v>
      </c>
      <c r="Q94" s="28" t="s">
        <v>27</v>
      </c>
      <c r="R94" s="28">
        <v>5.4029998779296875</v>
      </c>
      <c r="S94" s="28">
        <v>57.316999077796936</v>
      </c>
      <c r="T94" s="28">
        <v>42.748000293970108</v>
      </c>
      <c r="U94" s="28">
        <v>79.290999233722687</v>
      </c>
      <c r="V94" s="28">
        <v>488.63399982452393</v>
      </c>
      <c r="W94" s="28" t="s">
        <v>27</v>
      </c>
      <c r="X94" s="28" t="s">
        <v>27</v>
      </c>
      <c r="Y94" s="28" t="s">
        <v>27</v>
      </c>
      <c r="Z94" s="28" t="s">
        <v>27</v>
      </c>
      <c r="AA94" s="28" t="s">
        <v>27</v>
      </c>
      <c r="AB94" s="28" t="s">
        <v>27</v>
      </c>
      <c r="AC94" s="12">
        <f t="shared" si="5"/>
        <v>673.39299830794334</v>
      </c>
    </row>
    <row r="95" spans="1:29" ht="15" customHeight="1">
      <c r="A95" s="4">
        <v>89</v>
      </c>
      <c r="B95" s="9" t="s">
        <v>115</v>
      </c>
      <c r="C95" s="22" t="s">
        <v>149</v>
      </c>
      <c r="D95" s="12">
        <f t="shared" si="4"/>
        <v>988.53076343930024</v>
      </c>
      <c r="E95" s="28" t="s">
        <v>27</v>
      </c>
      <c r="F95" s="28">
        <v>205.8884979171753</v>
      </c>
      <c r="G95" s="28">
        <v>139.70456020292639</v>
      </c>
      <c r="H95" s="28">
        <v>327.45926317128169</v>
      </c>
      <c r="I95" s="28">
        <v>148.30002106799185</v>
      </c>
      <c r="J95" s="3">
        <v>167.17842107992504</v>
      </c>
      <c r="K95" s="28" t="s">
        <v>27</v>
      </c>
      <c r="L95" s="28" t="s">
        <v>27</v>
      </c>
      <c r="M95" s="28" t="s">
        <v>27</v>
      </c>
      <c r="N95" s="28" t="s">
        <v>27</v>
      </c>
      <c r="O95" s="28" t="s">
        <v>27</v>
      </c>
      <c r="P95" s="3" t="s">
        <v>27</v>
      </c>
      <c r="Q95" s="28" t="s">
        <v>27</v>
      </c>
      <c r="R95" s="28">
        <v>22.250999450683594</v>
      </c>
      <c r="S95" s="28">
        <v>27.778999716043472</v>
      </c>
      <c r="T95" s="28">
        <v>88.786000248044729</v>
      </c>
      <c r="U95" s="28">
        <v>122.05699858814478</v>
      </c>
      <c r="V95" s="28">
        <v>591.12901204626542</v>
      </c>
      <c r="W95" s="28" t="s">
        <v>27</v>
      </c>
      <c r="X95" s="28" t="s">
        <v>27</v>
      </c>
      <c r="Y95" s="28" t="s">
        <v>27</v>
      </c>
      <c r="Z95" s="28" t="s">
        <v>27</v>
      </c>
      <c r="AA95" s="28" t="s">
        <v>27</v>
      </c>
      <c r="AB95" s="28" t="s">
        <v>27</v>
      </c>
      <c r="AC95" s="12">
        <f t="shared" si="5"/>
        <v>852.00201004918199</v>
      </c>
    </row>
    <row r="96" spans="1:29" ht="15" customHeight="1">
      <c r="A96" s="4">
        <v>90</v>
      </c>
      <c r="B96" s="9" t="s">
        <v>116</v>
      </c>
      <c r="C96" s="22" t="s">
        <v>150</v>
      </c>
      <c r="D96" s="12">
        <f t="shared" si="4"/>
        <v>1205.4921199102496</v>
      </c>
      <c r="E96" s="28" t="s">
        <v>27</v>
      </c>
      <c r="F96" s="28">
        <v>241.37029594898223</v>
      </c>
      <c r="G96" s="28">
        <v>194.4440862751305</v>
      </c>
      <c r="H96" s="28">
        <v>259.78770714465344</v>
      </c>
      <c r="I96" s="28">
        <v>76.509455252945429</v>
      </c>
      <c r="J96" s="3">
        <v>75.611626407583771</v>
      </c>
      <c r="K96" s="28" t="s">
        <v>27</v>
      </c>
      <c r="L96" s="28">
        <v>72.974428173065192</v>
      </c>
      <c r="M96" s="28">
        <v>95.147237476211046</v>
      </c>
      <c r="N96" s="28">
        <v>140.19576085444541</v>
      </c>
      <c r="O96" s="28">
        <v>15.308767752200366</v>
      </c>
      <c r="P96" s="3">
        <v>34.142754625032239</v>
      </c>
      <c r="Q96" s="28" t="s">
        <v>27</v>
      </c>
      <c r="R96" s="28">
        <v>23.995999574661255</v>
      </c>
      <c r="S96" s="28">
        <v>27.675000078976154</v>
      </c>
      <c r="T96" s="28">
        <v>88.854999920353293</v>
      </c>
      <c r="U96" s="28">
        <v>105.24799948185682</v>
      </c>
      <c r="V96" s="28">
        <v>368.52699951082468</v>
      </c>
      <c r="W96" s="28" t="s">
        <v>27</v>
      </c>
      <c r="X96" s="28">
        <v>6.4340000152587891</v>
      </c>
      <c r="Y96" s="28">
        <v>7.676000040024519</v>
      </c>
      <c r="Z96" s="28">
        <v>14.892999976873398</v>
      </c>
      <c r="AA96" s="28">
        <v>6.6079998910427094</v>
      </c>
      <c r="AB96" s="28">
        <v>80.662999987602234</v>
      </c>
      <c r="AC96" s="12">
        <f t="shared" si="5"/>
        <v>730.57499847747386</v>
      </c>
    </row>
    <row r="97" spans="1:29" ht="15" customHeight="1">
      <c r="A97" s="4">
        <v>91</v>
      </c>
      <c r="B97" s="9" t="s">
        <v>117</v>
      </c>
      <c r="C97" s="22" t="s">
        <v>149</v>
      </c>
      <c r="D97" s="12">
        <f t="shared" si="4"/>
        <v>166.9092874606919</v>
      </c>
      <c r="E97" s="28" t="s">
        <v>27</v>
      </c>
      <c r="F97" s="28">
        <v>53.566025107979776</v>
      </c>
      <c r="G97" s="28" t="s">
        <v>27</v>
      </c>
      <c r="H97" s="28">
        <v>61.125150241620837</v>
      </c>
      <c r="I97" s="28">
        <v>21.703361979030539</v>
      </c>
      <c r="J97" s="3">
        <v>30.514750132060744</v>
      </c>
      <c r="K97" s="28" t="s">
        <v>27</v>
      </c>
      <c r="L97" s="28" t="s">
        <v>27</v>
      </c>
      <c r="M97" s="28" t="s">
        <v>27</v>
      </c>
      <c r="N97" s="28" t="s">
        <v>27</v>
      </c>
      <c r="O97" s="28" t="s">
        <v>27</v>
      </c>
      <c r="P97" s="3" t="s">
        <v>27</v>
      </c>
      <c r="Q97" s="28" t="s">
        <v>27</v>
      </c>
      <c r="R97" s="28">
        <v>12.211000025272369</v>
      </c>
      <c r="S97" s="28" t="s">
        <v>27</v>
      </c>
      <c r="T97" s="28">
        <v>28.499000044539571</v>
      </c>
      <c r="U97" s="28">
        <v>53.16000018408522</v>
      </c>
      <c r="V97" s="28">
        <v>213.27499978244305</v>
      </c>
      <c r="W97" s="28" t="s">
        <v>27</v>
      </c>
      <c r="X97" s="28" t="s">
        <v>27</v>
      </c>
      <c r="Y97" s="28" t="s">
        <v>27</v>
      </c>
      <c r="Z97" s="28" t="s">
        <v>27</v>
      </c>
      <c r="AA97" s="28" t="s">
        <v>27</v>
      </c>
      <c r="AB97" s="28" t="s">
        <v>27</v>
      </c>
      <c r="AC97" s="12">
        <f t="shared" si="5"/>
        <v>307.14500003634021</v>
      </c>
    </row>
    <row r="98" spans="1:29" ht="15" customHeight="1">
      <c r="A98" s="4">
        <v>92</v>
      </c>
      <c r="B98" s="9" t="s">
        <v>118</v>
      </c>
      <c r="C98" s="22" t="s">
        <v>149</v>
      </c>
      <c r="D98" s="12">
        <f t="shared" si="4"/>
        <v>894.37051683659274</v>
      </c>
      <c r="E98" s="28" t="s">
        <v>27</v>
      </c>
      <c r="F98" s="28">
        <v>332.27032465553282</v>
      </c>
      <c r="G98" s="28" t="s">
        <v>27</v>
      </c>
      <c r="H98" s="28">
        <v>378.55544164013861</v>
      </c>
      <c r="I98" s="28">
        <v>66.084267651081092</v>
      </c>
      <c r="J98" s="3">
        <v>117.46048288984026</v>
      </c>
      <c r="K98" s="28" t="s">
        <v>27</v>
      </c>
      <c r="L98" s="28" t="s">
        <v>27</v>
      </c>
      <c r="M98" s="28" t="s">
        <v>27</v>
      </c>
      <c r="N98" s="28" t="s">
        <v>27</v>
      </c>
      <c r="O98" s="28" t="s">
        <v>27</v>
      </c>
      <c r="P98" s="3" t="s">
        <v>27</v>
      </c>
      <c r="Q98" s="28" t="s">
        <v>27</v>
      </c>
      <c r="R98" s="28">
        <v>46.096999645233154</v>
      </c>
      <c r="S98" s="28" t="s">
        <v>27</v>
      </c>
      <c r="T98" s="28">
        <v>119.66399989277124</v>
      </c>
      <c r="U98" s="28">
        <v>117.95199930667877</v>
      </c>
      <c r="V98" s="28">
        <v>673.66299988329411</v>
      </c>
      <c r="W98" s="28" t="s">
        <v>27</v>
      </c>
      <c r="X98" s="28" t="s">
        <v>27</v>
      </c>
      <c r="Y98" s="28" t="s">
        <v>27</v>
      </c>
      <c r="Z98" s="28" t="s">
        <v>27</v>
      </c>
      <c r="AA98" s="28" t="s">
        <v>27</v>
      </c>
      <c r="AB98" s="28" t="s">
        <v>27</v>
      </c>
      <c r="AC98" s="12">
        <f t="shared" si="5"/>
        <v>957.37599872797728</v>
      </c>
    </row>
    <row r="99" spans="1:29" ht="15" customHeight="1">
      <c r="A99" s="4">
        <v>93</v>
      </c>
      <c r="B99" s="9" t="s">
        <v>119</v>
      </c>
      <c r="C99" s="22" t="s">
        <v>151</v>
      </c>
      <c r="D99" s="12">
        <f t="shared" si="4"/>
        <v>1263.6726474040443</v>
      </c>
      <c r="E99" s="28">
        <v>624.18166570305823</v>
      </c>
      <c r="F99" s="28" t="s">
        <v>27</v>
      </c>
      <c r="G99" s="28">
        <v>214.80154100391269</v>
      </c>
      <c r="H99" s="28">
        <v>124.22590687450021</v>
      </c>
      <c r="I99" s="28">
        <v>85.825562726438051</v>
      </c>
      <c r="J99" s="3">
        <v>79.287896418806156</v>
      </c>
      <c r="K99" s="28" t="s">
        <v>27</v>
      </c>
      <c r="L99" s="28" t="s">
        <v>27</v>
      </c>
      <c r="M99" s="28" t="s">
        <v>27</v>
      </c>
      <c r="N99" s="28">
        <v>87.276453310668472</v>
      </c>
      <c r="O99" s="28">
        <v>23.231063496232032</v>
      </c>
      <c r="P99" s="3">
        <v>24.842557870428294</v>
      </c>
      <c r="Q99" s="28">
        <v>13.412000119686127</v>
      </c>
      <c r="R99" s="28" t="s">
        <v>27</v>
      </c>
      <c r="S99" s="28">
        <v>25.425000349059701</v>
      </c>
      <c r="T99" s="28">
        <v>37.905000070109963</v>
      </c>
      <c r="U99" s="28">
        <v>70.735000379383564</v>
      </c>
      <c r="V99" s="28">
        <v>280.59599876403809</v>
      </c>
      <c r="W99" s="28" t="s">
        <v>27</v>
      </c>
      <c r="X99" s="28" t="s">
        <v>27</v>
      </c>
      <c r="Y99" s="28" t="s">
        <v>27</v>
      </c>
      <c r="Z99" s="28">
        <v>8.8149999529123306</v>
      </c>
      <c r="AA99" s="28">
        <v>7.7829998433589935</v>
      </c>
      <c r="AB99" s="28">
        <v>50.097000002861023</v>
      </c>
      <c r="AC99" s="12">
        <f t="shared" si="5"/>
        <v>494.76799948140979</v>
      </c>
    </row>
    <row r="100" spans="1:29" ht="15" customHeight="1">
      <c r="A100" s="4">
        <v>94</v>
      </c>
      <c r="B100" s="9" t="s">
        <v>120</v>
      </c>
      <c r="C100" s="22" t="s">
        <v>149</v>
      </c>
      <c r="D100" s="12">
        <f t="shared" si="4"/>
        <v>245.09787679874341</v>
      </c>
      <c r="E100" s="28" t="s">
        <v>27</v>
      </c>
      <c r="F100" s="28" t="s">
        <v>27</v>
      </c>
      <c r="G100" s="28">
        <v>83.628846068531274</v>
      </c>
      <c r="H100" s="28">
        <v>85.867028305971061</v>
      </c>
      <c r="I100" s="28">
        <v>30.438916069149972</v>
      </c>
      <c r="J100" s="3">
        <v>45.163086355091124</v>
      </c>
      <c r="K100" s="28" t="s">
        <v>27</v>
      </c>
      <c r="L100" s="28" t="s">
        <v>27</v>
      </c>
      <c r="M100" s="28" t="s">
        <v>27</v>
      </c>
      <c r="N100" s="28" t="s">
        <v>27</v>
      </c>
      <c r="O100" s="28" t="s">
        <v>27</v>
      </c>
      <c r="P100" s="3" t="s">
        <v>27</v>
      </c>
      <c r="Q100" s="28" t="s">
        <v>27</v>
      </c>
      <c r="R100" s="28" t="s">
        <v>27</v>
      </c>
      <c r="S100" s="28">
        <v>27.110999651253223</v>
      </c>
      <c r="T100" s="28">
        <v>89.202999266795814</v>
      </c>
      <c r="U100" s="28">
        <v>65.738000273704529</v>
      </c>
      <c r="V100" s="28">
        <v>291.7800003066659</v>
      </c>
      <c r="W100" s="28" t="s">
        <v>27</v>
      </c>
      <c r="X100" s="28" t="s">
        <v>27</v>
      </c>
      <c r="Y100" s="28" t="s">
        <v>27</v>
      </c>
      <c r="Z100" s="28" t="s">
        <v>27</v>
      </c>
      <c r="AA100" s="28" t="s">
        <v>27</v>
      </c>
      <c r="AB100" s="28" t="s">
        <v>27</v>
      </c>
      <c r="AC100" s="12">
        <f t="shared" si="5"/>
        <v>473.83199949841946</v>
      </c>
    </row>
    <row r="101" spans="1:29" ht="15" customHeight="1">
      <c r="A101" s="4">
        <v>95</v>
      </c>
      <c r="B101" s="9" t="s">
        <v>121</v>
      </c>
      <c r="C101" s="22" t="s">
        <v>149</v>
      </c>
      <c r="D101" s="12">
        <f t="shared" si="4"/>
        <v>118.92793582409466</v>
      </c>
      <c r="E101" s="28" t="s">
        <v>27</v>
      </c>
      <c r="F101" s="28" t="s">
        <v>27</v>
      </c>
      <c r="G101" s="28">
        <v>19.230130991220474</v>
      </c>
      <c r="H101" s="28">
        <v>53.71918650461361</v>
      </c>
      <c r="I101" s="28">
        <v>15.171762996226549</v>
      </c>
      <c r="J101" s="3">
        <v>30.806855332034036</v>
      </c>
      <c r="K101" s="28" t="s">
        <v>27</v>
      </c>
      <c r="L101" s="28" t="s">
        <v>27</v>
      </c>
      <c r="M101" s="28" t="s">
        <v>27</v>
      </c>
      <c r="N101" s="28" t="s">
        <v>27</v>
      </c>
      <c r="O101" s="28" t="s">
        <v>27</v>
      </c>
      <c r="P101" s="3" t="s">
        <v>27</v>
      </c>
      <c r="Q101" s="28" t="s">
        <v>27</v>
      </c>
      <c r="R101" s="28" t="s">
        <v>27</v>
      </c>
      <c r="S101" s="28">
        <v>14.306999862194061</v>
      </c>
      <c r="T101" s="28">
        <v>41.15200044773519</v>
      </c>
      <c r="U101" s="28">
        <v>45.793999999761581</v>
      </c>
      <c r="V101" s="28">
        <v>245.33299720287323</v>
      </c>
      <c r="W101" s="28" t="s">
        <v>27</v>
      </c>
      <c r="X101" s="28" t="s">
        <v>27</v>
      </c>
      <c r="Y101" s="28" t="s">
        <v>27</v>
      </c>
      <c r="Z101" s="28" t="s">
        <v>27</v>
      </c>
      <c r="AA101" s="28" t="s">
        <v>27</v>
      </c>
      <c r="AB101" s="28" t="s">
        <v>27</v>
      </c>
      <c r="AC101" s="12">
        <f t="shared" si="5"/>
        <v>346.58599751256406</v>
      </c>
    </row>
    <row r="102" spans="1:29" ht="15" customHeight="1">
      <c r="A102" s="4">
        <v>96</v>
      </c>
      <c r="B102" s="9" t="s">
        <v>122</v>
      </c>
      <c r="C102" s="22" t="s">
        <v>149</v>
      </c>
      <c r="D102" s="12">
        <f t="shared" si="4"/>
        <v>341.68044216253315</v>
      </c>
      <c r="E102" s="28" t="s">
        <v>27</v>
      </c>
      <c r="F102" s="28">
        <v>36.881498873233795</v>
      </c>
      <c r="G102" s="28">
        <v>125.15552264785767</v>
      </c>
      <c r="H102" s="28">
        <v>47.820339516937736</v>
      </c>
      <c r="I102" s="28">
        <v>60.597251716390254</v>
      </c>
      <c r="J102" s="3">
        <v>71.225829408113725</v>
      </c>
      <c r="K102" s="28" t="s">
        <v>27</v>
      </c>
      <c r="L102" s="28" t="s">
        <v>27</v>
      </c>
      <c r="M102" s="28" t="s">
        <v>27</v>
      </c>
      <c r="N102" s="28" t="s">
        <v>27</v>
      </c>
      <c r="O102" s="28" t="s">
        <v>27</v>
      </c>
      <c r="P102" s="3" t="s">
        <v>27</v>
      </c>
      <c r="Q102" s="28" t="s">
        <v>27</v>
      </c>
      <c r="R102" s="28">
        <v>4.33899986743927</v>
      </c>
      <c r="S102" s="28">
        <v>19.421999722719193</v>
      </c>
      <c r="T102" s="28">
        <v>43.807000607252121</v>
      </c>
      <c r="U102" s="28">
        <v>78.749999515712261</v>
      </c>
      <c r="V102" s="28">
        <v>335.03100050985813</v>
      </c>
      <c r="W102" s="28" t="s">
        <v>27</v>
      </c>
      <c r="X102" s="28" t="s">
        <v>27</v>
      </c>
      <c r="Y102" s="28" t="s">
        <v>27</v>
      </c>
      <c r="Z102" s="28" t="s">
        <v>27</v>
      </c>
      <c r="AA102" s="28" t="s">
        <v>27</v>
      </c>
      <c r="AB102" s="28" t="s">
        <v>27</v>
      </c>
      <c r="AC102" s="12">
        <f t="shared" si="5"/>
        <v>481.34900022298098</v>
      </c>
    </row>
    <row r="103" spans="1:29" ht="15" customHeight="1">
      <c r="A103" s="4">
        <v>97</v>
      </c>
      <c r="B103" s="9" t="s">
        <v>123</v>
      </c>
      <c r="C103" s="22" t="s">
        <v>150</v>
      </c>
      <c r="D103" s="12">
        <f t="shared" ref="D103:D134" si="6">SUM(E103:J103)+SUM(K103:P103)</f>
        <v>978.88449131786592</v>
      </c>
      <c r="E103" s="28" t="s">
        <v>27</v>
      </c>
      <c r="F103" s="28">
        <v>313.14280113035443</v>
      </c>
      <c r="G103" s="28" t="s">
        <v>27</v>
      </c>
      <c r="H103" s="28">
        <v>205.34132999300957</v>
      </c>
      <c r="I103" s="28">
        <v>91.182526971563703</v>
      </c>
      <c r="J103" s="3">
        <v>106.03372076399666</v>
      </c>
      <c r="K103" s="28" t="s">
        <v>27</v>
      </c>
      <c r="L103" s="28" t="s">
        <v>27</v>
      </c>
      <c r="M103" s="28">
        <v>139.30555748191475</v>
      </c>
      <c r="N103" s="28">
        <v>68.199939054876566</v>
      </c>
      <c r="O103" s="28">
        <v>19.465858333494513</v>
      </c>
      <c r="P103" s="3">
        <v>36.212757588655819</v>
      </c>
      <c r="Q103" s="28" t="s">
        <v>27</v>
      </c>
      <c r="R103" s="28">
        <v>33.670999854803085</v>
      </c>
      <c r="S103" s="28" t="s">
        <v>27</v>
      </c>
      <c r="T103" s="28">
        <v>82.39300012588501</v>
      </c>
      <c r="U103" s="28">
        <v>94.293000306934118</v>
      </c>
      <c r="V103" s="28">
        <v>432.40698490850627</v>
      </c>
      <c r="W103" s="28" t="s">
        <v>27</v>
      </c>
      <c r="X103" s="28" t="s">
        <v>27</v>
      </c>
      <c r="Y103" s="28">
        <v>7.7869998514652252</v>
      </c>
      <c r="Z103" s="28">
        <v>10.604000028222799</v>
      </c>
      <c r="AA103" s="28">
        <v>3.8850000184029341</v>
      </c>
      <c r="AB103" s="28">
        <v>52.834999714046717</v>
      </c>
      <c r="AC103" s="12">
        <f t="shared" ref="AC103:AC126" si="7">SUM(Q103:AB103)</f>
        <v>717.87498480826616</v>
      </c>
    </row>
    <row r="104" spans="1:29" ht="15" customHeight="1">
      <c r="A104" s="4">
        <v>98</v>
      </c>
      <c r="B104" s="9" t="s">
        <v>124</v>
      </c>
      <c r="C104" s="22" t="s">
        <v>150</v>
      </c>
      <c r="D104" s="12">
        <f t="shared" si="6"/>
        <v>2185.0378183517582</v>
      </c>
      <c r="E104" s="28" t="s">
        <v>27</v>
      </c>
      <c r="F104" s="28">
        <v>846.06753368580337</v>
      </c>
      <c r="G104" s="28" t="s">
        <v>27</v>
      </c>
      <c r="H104" s="28">
        <v>418.37199188303947</v>
      </c>
      <c r="I104" s="28">
        <v>258.63403066304323</v>
      </c>
      <c r="J104" s="3">
        <v>270.93778927768966</v>
      </c>
      <c r="K104" s="28" t="s">
        <v>27</v>
      </c>
      <c r="L104" s="28" t="s">
        <v>27</v>
      </c>
      <c r="M104" s="28">
        <v>265.17003856492045</v>
      </c>
      <c r="N104" s="28">
        <v>83.534822723597287</v>
      </c>
      <c r="O104" s="28">
        <v>19.611455880463122</v>
      </c>
      <c r="P104" s="3">
        <v>22.71015567320168</v>
      </c>
      <c r="Q104" s="28" t="s">
        <v>27</v>
      </c>
      <c r="R104" s="28">
        <v>76.710999965667725</v>
      </c>
      <c r="S104" s="28" t="s">
        <v>27</v>
      </c>
      <c r="T104" s="28">
        <v>141.88100177422166</v>
      </c>
      <c r="U104" s="28">
        <v>178.37100062519312</v>
      </c>
      <c r="V104" s="28">
        <v>857.82300055027008</v>
      </c>
      <c r="W104" s="28" t="s">
        <v>27</v>
      </c>
      <c r="X104" s="28" t="s">
        <v>27</v>
      </c>
      <c r="Y104" s="28">
        <v>8.9810001850128174</v>
      </c>
      <c r="Z104" s="28">
        <v>10.818000212311745</v>
      </c>
      <c r="AA104" s="28">
        <v>5.9399999976158142</v>
      </c>
      <c r="AB104" s="28">
        <v>43</v>
      </c>
      <c r="AC104" s="12">
        <f t="shared" si="7"/>
        <v>1323.525003310293</v>
      </c>
    </row>
    <row r="105" spans="1:29" ht="15" customHeight="1">
      <c r="A105" s="4">
        <v>99</v>
      </c>
      <c r="B105" s="9" t="s">
        <v>125</v>
      </c>
      <c r="C105" s="22" t="s">
        <v>149</v>
      </c>
      <c r="D105" s="12">
        <f t="shared" si="6"/>
        <v>512.68277953839208</v>
      </c>
      <c r="E105" s="28" t="s">
        <v>27</v>
      </c>
      <c r="F105" s="28">
        <v>264.08986682891845</v>
      </c>
      <c r="G105" s="28">
        <v>8.4131102516055112</v>
      </c>
      <c r="H105" s="28">
        <v>153.91543008708209</v>
      </c>
      <c r="I105" s="28">
        <v>37.9504282140024</v>
      </c>
      <c r="J105" s="3">
        <v>48.313944156783585</v>
      </c>
      <c r="K105" s="28" t="s">
        <v>27</v>
      </c>
      <c r="L105" s="28" t="s">
        <v>27</v>
      </c>
      <c r="M105" s="28" t="s">
        <v>27</v>
      </c>
      <c r="N105" s="28" t="s">
        <v>27</v>
      </c>
      <c r="O105" s="28" t="s">
        <v>27</v>
      </c>
      <c r="P105" s="3" t="s">
        <v>27</v>
      </c>
      <c r="Q105" s="28" t="s">
        <v>27</v>
      </c>
      <c r="R105" s="28">
        <v>24.086999893188477</v>
      </c>
      <c r="S105" s="28">
        <v>3.5040001049637794</v>
      </c>
      <c r="T105" s="28">
        <v>49.549000270664692</v>
      </c>
      <c r="U105" s="28">
        <v>57.825000267475843</v>
      </c>
      <c r="V105" s="28">
        <v>251.01199977099895</v>
      </c>
      <c r="W105" s="28" t="s">
        <v>27</v>
      </c>
      <c r="X105" s="28" t="s">
        <v>27</v>
      </c>
      <c r="Y105" s="28" t="s">
        <v>27</v>
      </c>
      <c r="Z105" s="28" t="s">
        <v>27</v>
      </c>
      <c r="AA105" s="28" t="s">
        <v>27</v>
      </c>
      <c r="AB105" s="28" t="s">
        <v>27</v>
      </c>
      <c r="AC105" s="12">
        <f t="shared" si="7"/>
        <v>385.97700030729175</v>
      </c>
    </row>
    <row r="106" spans="1:29" ht="15" customHeight="1">
      <c r="A106" s="4">
        <v>100</v>
      </c>
      <c r="B106" s="9" t="s">
        <v>126</v>
      </c>
      <c r="C106" s="22" t="s">
        <v>150</v>
      </c>
      <c r="D106" s="12">
        <f t="shared" si="6"/>
        <v>1866.6098730433985</v>
      </c>
      <c r="E106" s="28" t="s">
        <v>27</v>
      </c>
      <c r="F106" s="28">
        <v>596.10308812132848</v>
      </c>
      <c r="G106" s="28">
        <v>46.476013658523563</v>
      </c>
      <c r="H106" s="28">
        <v>251.86349722538515</v>
      </c>
      <c r="I106" s="28">
        <v>98.861081940531733</v>
      </c>
      <c r="J106" s="3">
        <v>244.1074626575284</v>
      </c>
      <c r="K106" s="28" t="s">
        <v>27</v>
      </c>
      <c r="L106" s="28">
        <v>11.785632508277892</v>
      </c>
      <c r="M106" s="28">
        <v>308.61777441789212</v>
      </c>
      <c r="N106" s="28">
        <v>109.13255360789597</v>
      </c>
      <c r="O106" s="28">
        <v>66.16105738248676</v>
      </c>
      <c r="P106" s="3">
        <v>133.50171152354827</v>
      </c>
      <c r="Q106" s="28" t="s">
        <v>27</v>
      </c>
      <c r="R106" s="28">
        <v>68.533999539911747</v>
      </c>
      <c r="S106" s="28">
        <v>4.1690001487731934</v>
      </c>
      <c r="T106" s="28">
        <v>96.180999763309956</v>
      </c>
      <c r="U106" s="28">
        <v>134.0110005736351</v>
      </c>
      <c r="V106" s="28">
        <v>1178.8900003060699</v>
      </c>
      <c r="W106" s="28" t="s">
        <v>27</v>
      </c>
      <c r="X106" s="28">
        <v>1.1720000505447388</v>
      </c>
      <c r="Y106" s="28">
        <v>13.855999980121851</v>
      </c>
      <c r="Z106" s="28">
        <v>16.580999922007322</v>
      </c>
      <c r="AA106" s="28">
        <v>9.5420000664889812</v>
      </c>
      <c r="AB106" s="28">
        <v>159.00100006908178</v>
      </c>
      <c r="AC106" s="12">
        <f t="shared" si="7"/>
        <v>1681.9370004199445</v>
      </c>
    </row>
    <row r="107" spans="1:29" ht="15" customHeight="1">
      <c r="A107" s="4">
        <v>101</v>
      </c>
      <c r="B107" s="9" t="s">
        <v>127</v>
      </c>
      <c r="C107" s="22" t="s">
        <v>149</v>
      </c>
      <c r="D107" s="12">
        <f t="shared" si="6"/>
        <v>45.716979909454345</v>
      </c>
      <c r="E107" s="28" t="s">
        <v>27</v>
      </c>
      <c r="F107" s="28">
        <v>4.8716299760341641</v>
      </c>
      <c r="G107" s="28" t="s">
        <v>27</v>
      </c>
      <c r="H107" s="28">
        <v>24.958936462640761</v>
      </c>
      <c r="I107" s="28">
        <v>7.3424829268902538</v>
      </c>
      <c r="J107" s="3">
        <v>8.5439305438891662</v>
      </c>
      <c r="K107" s="28" t="s">
        <v>27</v>
      </c>
      <c r="L107" s="28" t="s">
        <v>27</v>
      </c>
      <c r="M107" s="28" t="s">
        <v>27</v>
      </c>
      <c r="N107" s="28" t="s">
        <v>27</v>
      </c>
      <c r="O107" s="28" t="s">
        <v>27</v>
      </c>
      <c r="P107" s="3" t="s">
        <v>27</v>
      </c>
      <c r="Q107" s="28" t="s">
        <v>27</v>
      </c>
      <c r="R107" s="28">
        <v>1.3569999933242798</v>
      </c>
      <c r="S107" s="28" t="s">
        <v>27</v>
      </c>
      <c r="T107" s="28">
        <v>32.219000697135925</v>
      </c>
      <c r="U107" s="28">
        <v>32.473999604582787</v>
      </c>
      <c r="V107" s="28">
        <v>86.384000301361084</v>
      </c>
      <c r="W107" s="28" t="s">
        <v>27</v>
      </c>
      <c r="X107" s="28" t="s">
        <v>27</v>
      </c>
      <c r="Y107" s="28" t="s">
        <v>27</v>
      </c>
      <c r="Z107" s="28" t="s">
        <v>27</v>
      </c>
      <c r="AA107" s="28" t="s">
        <v>27</v>
      </c>
      <c r="AB107" s="28" t="s">
        <v>27</v>
      </c>
      <c r="AC107" s="12">
        <f t="shared" si="7"/>
        <v>152.43400059640408</v>
      </c>
    </row>
    <row r="108" spans="1:29" ht="15" customHeight="1">
      <c r="A108" s="4">
        <v>102</v>
      </c>
      <c r="B108" s="9" t="s">
        <v>128</v>
      </c>
      <c r="C108" s="22" t="s">
        <v>149</v>
      </c>
      <c r="D108" s="12">
        <f t="shared" si="6"/>
        <v>1263.3915291067756</v>
      </c>
      <c r="E108" s="28">
        <v>879.73412599563596</v>
      </c>
      <c r="F108" s="28">
        <v>74.435798700451855</v>
      </c>
      <c r="G108" s="28">
        <v>91.369564910873777</v>
      </c>
      <c r="H108" s="28">
        <v>88.881236639142031</v>
      </c>
      <c r="I108" s="28">
        <v>43.814953958332538</v>
      </c>
      <c r="J108" s="3">
        <v>85.155848902339429</v>
      </c>
      <c r="K108" s="28" t="s">
        <v>27</v>
      </c>
      <c r="L108" s="28" t="s">
        <v>27</v>
      </c>
      <c r="M108" s="28" t="s">
        <v>27</v>
      </c>
      <c r="N108" s="28" t="s">
        <v>27</v>
      </c>
      <c r="O108" s="28" t="s">
        <v>27</v>
      </c>
      <c r="P108" s="3" t="s">
        <v>27</v>
      </c>
      <c r="Q108" s="28">
        <v>22.641000628471375</v>
      </c>
      <c r="R108" s="28">
        <v>10.063999801874161</v>
      </c>
      <c r="S108" s="28">
        <v>14.247999981045723</v>
      </c>
      <c r="T108" s="28">
        <v>51.229000367224216</v>
      </c>
      <c r="U108" s="28">
        <v>75.427999675273895</v>
      </c>
      <c r="V108" s="28">
        <v>477.48299977555871</v>
      </c>
      <c r="W108" s="28" t="s">
        <v>27</v>
      </c>
      <c r="X108" s="28" t="s">
        <v>27</v>
      </c>
      <c r="Y108" s="28" t="s">
        <v>27</v>
      </c>
      <c r="Z108" s="28" t="s">
        <v>27</v>
      </c>
      <c r="AA108" s="28" t="s">
        <v>27</v>
      </c>
      <c r="AB108" s="28" t="s">
        <v>27</v>
      </c>
      <c r="AC108" s="12">
        <f t="shared" si="7"/>
        <v>651.09300022944808</v>
      </c>
    </row>
    <row r="109" spans="1:29" ht="15" customHeight="1">
      <c r="A109" s="4">
        <v>103</v>
      </c>
      <c r="B109" s="9" t="s">
        <v>129</v>
      </c>
      <c r="C109" s="22" t="s">
        <v>150</v>
      </c>
      <c r="D109" s="12">
        <f t="shared" si="6"/>
        <v>910.53584117940159</v>
      </c>
      <c r="E109" s="28">
        <v>300.40665947008131</v>
      </c>
      <c r="F109" s="28" t="s">
        <v>27</v>
      </c>
      <c r="G109" s="28">
        <v>90.756673965394498</v>
      </c>
      <c r="H109" s="28">
        <v>172.89981618230044</v>
      </c>
      <c r="I109" s="28">
        <v>41.494733531072733</v>
      </c>
      <c r="J109" s="3">
        <v>72.457045343537573</v>
      </c>
      <c r="K109" s="28">
        <v>28.165769473314285</v>
      </c>
      <c r="L109" s="28" t="s">
        <v>27</v>
      </c>
      <c r="M109" s="28">
        <v>121.98156178305298</v>
      </c>
      <c r="N109" s="28">
        <v>42.184482216656207</v>
      </c>
      <c r="O109" s="28">
        <v>13.406320938304066</v>
      </c>
      <c r="P109" s="3">
        <v>26.782778275687438</v>
      </c>
      <c r="Q109" s="28">
        <v>18.180000305175781</v>
      </c>
      <c r="R109" s="28" t="s">
        <v>27</v>
      </c>
      <c r="S109" s="28">
        <v>14.066000193357468</v>
      </c>
      <c r="T109" s="28">
        <v>62.525999541860074</v>
      </c>
      <c r="U109" s="28">
        <v>45.571000471711159</v>
      </c>
      <c r="V109" s="28">
        <v>306.7989998459816</v>
      </c>
      <c r="W109" s="28">
        <v>1.5299999713897705</v>
      </c>
      <c r="X109" s="28" t="s">
        <v>27</v>
      </c>
      <c r="Y109" s="28">
        <v>5.431999983265996</v>
      </c>
      <c r="Z109" s="28">
        <v>5.0860000476241112</v>
      </c>
      <c r="AA109" s="28">
        <v>4.3660000115633011</v>
      </c>
      <c r="AB109" s="28">
        <v>53.061999995261431</v>
      </c>
      <c r="AC109" s="12">
        <f t="shared" si="7"/>
        <v>516.61800036719069</v>
      </c>
    </row>
    <row r="110" spans="1:29" ht="15" customHeight="1">
      <c r="A110" s="4">
        <v>104</v>
      </c>
      <c r="B110" s="9" t="s">
        <v>130</v>
      </c>
      <c r="C110" s="22" t="s">
        <v>149</v>
      </c>
      <c r="D110" s="12">
        <f t="shared" si="6"/>
        <v>510.95473721830268</v>
      </c>
      <c r="E110" s="28" t="s">
        <v>27</v>
      </c>
      <c r="F110" s="28">
        <v>205.02475628339872</v>
      </c>
      <c r="G110" s="28" t="s">
        <v>27</v>
      </c>
      <c r="H110" s="28">
        <v>114.88976286999882</v>
      </c>
      <c r="I110" s="28">
        <v>74.16677649697661</v>
      </c>
      <c r="J110" s="3">
        <v>116.87344156792851</v>
      </c>
      <c r="K110" s="28" t="s">
        <v>27</v>
      </c>
      <c r="L110" s="28" t="s">
        <v>27</v>
      </c>
      <c r="M110" s="28" t="s">
        <v>27</v>
      </c>
      <c r="N110" s="28" t="s">
        <v>27</v>
      </c>
      <c r="O110" s="28" t="s">
        <v>27</v>
      </c>
      <c r="P110" s="3" t="s">
        <v>27</v>
      </c>
      <c r="Q110" s="28" t="s">
        <v>27</v>
      </c>
      <c r="R110" s="28">
        <v>41.255999689921737</v>
      </c>
      <c r="S110" s="28" t="s">
        <v>27</v>
      </c>
      <c r="T110" s="28">
        <v>44.936000235378742</v>
      </c>
      <c r="U110" s="28">
        <v>74.275000810623169</v>
      </c>
      <c r="V110" s="28">
        <v>467.15200091153383</v>
      </c>
      <c r="W110" s="28" t="s">
        <v>27</v>
      </c>
      <c r="X110" s="28" t="s">
        <v>27</v>
      </c>
      <c r="Y110" s="28" t="s">
        <v>27</v>
      </c>
      <c r="Z110" s="28" t="s">
        <v>27</v>
      </c>
      <c r="AA110" s="28" t="s">
        <v>27</v>
      </c>
      <c r="AB110" s="28" t="s">
        <v>27</v>
      </c>
      <c r="AC110" s="12">
        <f t="shared" si="7"/>
        <v>627.61900164745748</v>
      </c>
    </row>
    <row r="111" spans="1:29" ht="15" customHeight="1">
      <c r="A111" s="4">
        <v>105</v>
      </c>
      <c r="B111" s="9" t="s">
        <v>131</v>
      </c>
      <c r="C111" s="22" t="s">
        <v>150</v>
      </c>
      <c r="D111" s="12">
        <f t="shared" si="6"/>
        <v>1673.8722519329103</v>
      </c>
      <c r="E111" s="28">
        <v>817.33050874233243</v>
      </c>
      <c r="F111" s="28">
        <v>11.726429988145828</v>
      </c>
      <c r="G111" s="28">
        <v>93.384719875007875</v>
      </c>
      <c r="H111" s="28">
        <v>168.89932719962857</v>
      </c>
      <c r="I111" s="28">
        <v>53.675675129815936</v>
      </c>
      <c r="J111" s="3">
        <v>55.770498959587236</v>
      </c>
      <c r="K111" s="28">
        <v>141.73513253688813</v>
      </c>
      <c r="L111" s="28" t="s">
        <v>27</v>
      </c>
      <c r="M111" s="28">
        <v>129.41061679700016</v>
      </c>
      <c r="N111" s="28">
        <v>129.21156646592357</v>
      </c>
      <c r="O111" s="28">
        <v>31.466412657052278</v>
      </c>
      <c r="P111" s="3">
        <v>41.261363581528457</v>
      </c>
      <c r="Q111" s="28">
        <v>22.706999778747559</v>
      </c>
      <c r="R111" s="28">
        <v>2.3009999990463257</v>
      </c>
      <c r="S111" s="28">
        <v>14.881999954581261</v>
      </c>
      <c r="T111" s="28">
        <v>55.649000025354326</v>
      </c>
      <c r="U111" s="28">
        <v>59.359999870881438</v>
      </c>
      <c r="V111" s="28">
        <v>237.17299628257751</v>
      </c>
      <c r="W111" s="28">
        <v>3.6340000629425049</v>
      </c>
      <c r="X111" s="28" t="s">
        <v>27</v>
      </c>
      <c r="Y111" s="28">
        <v>9.7889998331665993</v>
      </c>
      <c r="Z111" s="28">
        <v>12.418999851681292</v>
      </c>
      <c r="AA111" s="28">
        <v>9.3649999052286148</v>
      </c>
      <c r="AB111" s="28">
        <v>77.274001583456993</v>
      </c>
      <c r="AC111" s="12">
        <f t="shared" si="7"/>
        <v>504.55299714766443</v>
      </c>
    </row>
    <row r="112" spans="1:29" ht="15" customHeight="1">
      <c r="A112" s="4">
        <v>106</v>
      </c>
      <c r="B112" s="9" t="s">
        <v>132</v>
      </c>
      <c r="C112" s="22" t="s">
        <v>150</v>
      </c>
      <c r="D112" s="12">
        <f t="shared" si="6"/>
        <v>1659.8842386211561</v>
      </c>
      <c r="E112" s="28">
        <v>992.21439343261716</v>
      </c>
      <c r="F112" s="28" t="s">
        <v>27</v>
      </c>
      <c r="G112" s="28">
        <v>163.87502921017258</v>
      </c>
      <c r="H112" s="28">
        <v>146.28534584400802</v>
      </c>
      <c r="I112" s="28">
        <v>85.828348144873971</v>
      </c>
      <c r="J112" s="3">
        <v>63.569537271823911</v>
      </c>
      <c r="K112" s="28" t="s">
        <v>27</v>
      </c>
      <c r="L112" s="28" t="s">
        <v>27</v>
      </c>
      <c r="M112" s="28">
        <v>159.70702637705952</v>
      </c>
      <c r="N112" s="28">
        <v>9.2719479918181893</v>
      </c>
      <c r="O112" s="28">
        <v>20.865672934740783</v>
      </c>
      <c r="P112" s="3">
        <v>18.266937414042072</v>
      </c>
      <c r="Q112" s="28">
        <v>22.329000473022461</v>
      </c>
      <c r="R112" s="28" t="s">
        <v>27</v>
      </c>
      <c r="S112" s="28">
        <v>27.687000658363104</v>
      </c>
      <c r="T112" s="28">
        <v>57.544000547379255</v>
      </c>
      <c r="U112" s="28">
        <v>113.92899966984987</v>
      </c>
      <c r="V112" s="28">
        <v>303.00400885939598</v>
      </c>
      <c r="W112" s="28" t="s">
        <v>27</v>
      </c>
      <c r="X112" s="28" t="s">
        <v>27</v>
      </c>
      <c r="Y112" s="28">
        <v>11.94000000692904</v>
      </c>
      <c r="Z112" s="28">
        <v>1.7339999973773956</v>
      </c>
      <c r="AA112" s="28">
        <v>8.8869999647140503</v>
      </c>
      <c r="AB112" s="28">
        <v>42.797000735998154</v>
      </c>
      <c r="AC112" s="12">
        <f t="shared" si="7"/>
        <v>589.85101091302931</v>
      </c>
    </row>
    <row r="113" spans="1:29" ht="15" customHeight="1">
      <c r="A113" s="4">
        <v>107</v>
      </c>
      <c r="B113" s="9" t="s">
        <v>133</v>
      </c>
      <c r="C113" s="22" t="s">
        <v>150</v>
      </c>
      <c r="D113" s="12">
        <f t="shared" si="6"/>
        <v>992.72524500353461</v>
      </c>
      <c r="E113" s="28">
        <v>564.48803012609483</v>
      </c>
      <c r="F113" s="28" t="s">
        <v>27</v>
      </c>
      <c r="G113" s="28">
        <v>44.826342398039998</v>
      </c>
      <c r="H113" s="28">
        <v>132.83259663744272</v>
      </c>
      <c r="I113" s="28">
        <v>39.23238647079468</v>
      </c>
      <c r="J113" s="3">
        <v>52.067875736327693</v>
      </c>
      <c r="K113" s="28" t="s">
        <v>27</v>
      </c>
      <c r="L113" s="28" t="s">
        <v>27</v>
      </c>
      <c r="M113" s="28" t="s">
        <v>27</v>
      </c>
      <c r="N113" s="28">
        <v>83.785601584367456</v>
      </c>
      <c r="O113" s="28">
        <v>46.267152377609165</v>
      </c>
      <c r="P113" s="3">
        <v>29.22525967285809</v>
      </c>
      <c r="Q113" s="28">
        <v>13.711000263690948</v>
      </c>
      <c r="R113" s="28" t="s">
        <v>27</v>
      </c>
      <c r="S113" s="28">
        <v>4.8320000525563955</v>
      </c>
      <c r="T113" s="28">
        <v>46.97800019569695</v>
      </c>
      <c r="U113" s="28">
        <v>69.041000738739967</v>
      </c>
      <c r="V113" s="28">
        <v>295.9930101679638</v>
      </c>
      <c r="W113" s="28" t="s">
        <v>27</v>
      </c>
      <c r="X113" s="28" t="s">
        <v>27</v>
      </c>
      <c r="Y113" s="28" t="s">
        <v>27</v>
      </c>
      <c r="Z113" s="28">
        <v>12.296000090427697</v>
      </c>
      <c r="AA113" s="28">
        <v>12.83800008520484</v>
      </c>
      <c r="AB113" s="28">
        <v>52.388001307845116</v>
      </c>
      <c r="AC113" s="12">
        <f t="shared" si="7"/>
        <v>508.07701290212572</v>
      </c>
    </row>
    <row r="114" spans="1:29" ht="15" customHeight="1">
      <c r="A114" s="4">
        <v>108</v>
      </c>
      <c r="B114" s="9" t="s">
        <v>134</v>
      </c>
      <c r="C114" s="22" t="s">
        <v>149</v>
      </c>
      <c r="D114" s="12">
        <f t="shared" si="6"/>
        <v>308.18297354125258</v>
      </c>
      <c r="E114" s="28" t="s">
        <v>27</v>
      </c>
      <c r="F114" s="28" t="s">
        <v>27</v>
      </c>
      <c r="G114" s="28">
        <v>114.86514949162304</v>
      </c>
      <c r="H114" s="28">
        <v>114.13648533841967</v>
      </c>
      <c r="I114" s="28">
        <v>36.098908209055665</v>
      </c>
      <c r="J114" s="3">
        <v>43.082430502154196</v>
      </c>
      <c r="K114" s="28" t="s">
        <v>27</v>
      </c>
      <c r="L114" s="28" t="s">
        <v>27</v>
      </c>
      <c r="M114" s="28" t="s">
        <v>27</v>
      </c>
      <c r="N114" s="28" t="s">
        <v>27</v>
      </c>
      <c r="O114" s="28" t="s">
        <v>27</v>
      </c>
      <c r="P114" s="3" t="s">
        <v>27</v>
      </c>
      <c r="Q114" s="28" t="s">
        <v>27</v>
      </c>
      <c r="R114" s="28" t="s">
        <v>27</v>
      </c>
      <c r="S114" s="28">
        <v>12.448000134900212</v>
      </c>
      <c r="T114" s="28">
        <v>43.242000535130501</v>
      </c>
      <c r="U114" s="28">
        <v>49.516000583767891</v>
      </c>
      <c r="V114" s="28">
        <v>209.60500430315733</v>
      </c>
      <c r="W114" s="28" t="s">
        <v>27</v>
      </c>
      <c r="X114" s="28" t="s">
        <v>27</v>
      </c>
      <c r="Y114" s="28" t="s">
        <v>27</v>
      </c>
      <c r="Z114" s="28" t="s">
        <v>27</v>
      </c>
      <c r="AA114" s="28" t="s">
        <v>27</v>
      </c>
      <c r="AB114" s="28" t="s">
        <v>27</v>
      </c>
      <c r="AC114" s="12">
        <f t="shared" si="7"/>
        <v>314.81100555695593</v>
      </c>
    </row>
    <row r="115" spans="1:29" ht="15" customHeight="1">
      <c r="A115" s="4">
        <v>109</v>
      </c>
      <c r="B115" s="9" t="s">
        <v>135</v>
      </c>
      <c r="C115" s="22" t="s">
        <v>150</v>
      </c>
      <c r="D115" s="12">
        <f t="shared" si="6"/>
        <v>608.82687328511361</v>
      </c>
      <c r="E115" s="28" t="s">
        <v>27</v>
      </c>
      <c r="F115" s="28">
        <v>119.89463285315037</v>
      </c>
      <c r="G115" s="28" t="s">
        <v>27</v>
      </c>
      <c r="H115" s="28">
        <v>143.70543847429752</v>
      </c>
      <c r="I115" s="28">
        <v>53.543301895469426</v>
      </c>
      <c r="J115" s="3">
        <v>75.315515504139611</v>
      </c>
      <c r="K115" s="28" t="s">
        <v>27</v>
      </c>
      <c r="L115" s="28" t="s">
        <v>27</v>
      </c>
      <c r="M115" s="28">
        <v>60.09846289357543</v>
      </c>
      <c r="N115" s="28">
        <v>86.508933361440896</v>
      </c>
      <c r="O115" s="28">
        <v>28.972504094526172</v>
      </c>
      <c r="P115" s="3">
        <v>40.788084208514192</v>
      </c>
      <c r="Q115" s="28" t="s">
        <v>27</v>
      </c>
      <c r="R115" s="28">
        <v>14.859000086784363</v>
      </c>
      <c r="S115" s="28" t="s">
        <v>27</v>
      </c>
      <c r="T115" s="28">
        <v>51.226000338792801</v>
      </c>
      <c r="U115" s="28">
        <v>71.77899993956089</v>
      </c>
      <c r="V115" s="28">
        <v>361.21299970149994</v>
      </c>
      <c r="W115" s="28" t="s">
        <v>27</v>
      </c>
      <c r="X115" s="28" t="s">
        <v>27</v>
      </c>
      <c r="Y115" s="28">
        <v>4.0949999913573265</v>
      </c>
      <c r="Z115" s="28">
        <v>11.088000014424324</v>
      </c>
      <c r="AA115" s="28">
        <v>8.7700000591576099</v>
      </c>
      <c r="AB115" s="28">
        <v>77.200000002980232</v>
      </c>
      <c r="AC115" s="12">
        <f t="shared" si="7"/>
        <v>600.23000013455749</v>
      </c>
    </row>
    <row r="116" spans="1:29" ht="15" customHeight="1">
      <c r="A116" s="4">
        <v>110</v>
      </c>
      <c r="B116" s="9" t="s">
        <v>136</v>
      </c>
      <c r="C116" s="22" t="s">
        <v>149</v>
      </c>
      <c r="D116" s="12">
        <f t="shared" si="6"/>
        <v>345.00154837554538</v>
      </c>
      <c r="E116" s="28" t="s">
        <v>27</v>
      </c>
      <c r="F116" s="28">
        <v>62.64916770172119</v>
      </c>
      <c r="G116" s="28">
        <v>58.316714150905611</v>
      </c>
      <c r="H116" s="28">
        <v>106.21442636824958</v>
      </c>
      <c r="I116" s="28">
        <v>46.369625333279373</v>
      </c>
      <c r="J116" s="3">
        <v>71.45161482138964</v>
      </c>
      <c r="K116" s="28" t="s">
        <v>27</v>
      </c>
      <c r="L116" s="28" t="s">
        <v>27</v>
      </c>
      <c r="M116" s="28" t="s">
        <v>27</v>
      </c>
      <c r="N116" s="28" t="s">
        <v>27</v>
      </c>
      <c r="O116" s="28" t="s">
        <v>27</v>
      </c>
      <c r="P116" s="3" t="s">
        <v>27</v>
      </c>
      <c r="Q116" s="28" t="s">
        <v>27</v>
      </c>
      <c r="R116" s="28">
        <v>14.421999931335449</v>
      </c>
      <c r="S116" s="28">
        <v>23.064000114798546</v>
      </c>
      <c r="T116" s="28">
        <v>52.502001000568271</v>
      </c>
      <c r="U116" s="28">
        <v>82.503000646829605</v>
      </c>
      <c r="V116" s="28">
        <v>408.98400005698204</v>
      </c>
      <c r="W116" s="28" t="s">
        <v>27</v>
      </c>
      <c r="X116" s="28" t="s">
        <v>27</v>
      </c>
      <c r="Y116" s="28" t="s">
        <v>27</v>
      </c>
      <c r="Z116" s="28" t="s">
        <v>27</v>
      </c>
      <c r="AA116" s="28" t="s">
        <v>27</v>
      </c>
      <c r="AB116" s="28" t="s">
        <v>27</v>
      </c>
      <c r="AC116" s="12">
        <f t="shared" si="7"/>
        <v>581.47500175051391</v>
      </c>
    </row>
    <row r="117" spans="1:29" ht="15" customHeight="1">
      <c r="A117" s="4">
        <v>111</v>
      </c>
      <c r="B117" s="9" t="s">
        <v>137</v>
      </c>
      <c r="C117" s="22" t="s">
        <v>149</v>
      </c>
      <c r="D117" s="12">
        <f t="shared" si="6"/>
        <v>543.3498476912614</v>
      </c>
      <c r="E117" s="28">
        <v>195.82470331192016</v>
      </c>
      <c r="F117" s="28">
        <v>135.07111630803345</v>
      </c>
      <c r="G117" s="28" t="s">
        <v>27</v>
      </c>
      <c r="H117" s="28">
        <v>51.597765103176236</v>
      </c>
      <c r="I117" s="28">
        <v>61.609790271520616</v>
      </c>
      <c r="J117" s="3">
        <v>99.246472696610866</v>
      </c>
      <c r="K117" s="28" t="s">
        <v>27</v>
      </c>
      <c r="L117" s="28" t="s">
        <v>27</v>
      </c>
      <c r="M117" s="28" t="s">
        <v>27</v>
      </c>
      <c r="N117" s="28" t="s">
        <v>27</v>
      </c>
      <c r="O117" s="28" t="s">
        <v>27</v>
      </c>
      <c r="P117" s="3" t="s">
        <v>27</v>
      </c>
      <c r="Q117" s="28">
        <v>12.44100022315979</v>
      </c>
      <c r="R117" s="28">
        <v>28.111999437212944</v>
      </c>
      <c r="S117" s="28" t="s">
        <v>27</v>
      </c>
      <c r="T117" s="28">
        <v>46.887001018971205</v>
      </c>
      <c r="U117" s="28">
        <v>115.79499888420105</v>
      </c>
      <c r="V117" s="28">
        <v>587.87099969759583</v>
      </c>
      <c r="W117" s="28" t="s">
        <v>27</v>
      </c>
      <c r="X117" s="28" t="s">
        <v>27</v>
      </c>
      <c r="Y117" s="28" t="s">
        <v>27</v>
      </c>
      <c r="Z117" s="28" t="s">
        <v>27</v>
      </c>
      <c r="AA117" s="28" t="s">
        <v>27</v>
      </c>
      <c r="AB117" s="28" t="s">
        <v>27</v>
      </c>
      <c r="AC117" s="12">
        <f t="shared" si="7"/>
        <v>791.10599926114082</v>
      </c>
    </row>
    <row r="118" spans="1:29" ht="15" customHeight="1">
      <c r="A118" s="4">
        <v>112</v>
      </c>
      <c r="B118" s="9" t="s">
        <v>138</v>
      </c>
      <c r="C118" s="22" t="s">
        <v>149</v>
      </c>
      <c r="D118" s="12">
        <f t="shared" si="6"/>
        <v>197.50448337135782</v>
      </c>
      <c r="E118" s="28">
        <v>19.060800075531006</v>
      </c>
      <c r="F118" s="28" t="s">
        <v>27</v>
      </c>
      <c r="G118" s="28">
        <v>73.613841146707529</v>
      </c>
      <c r="H118" s="28">
        <v>54.949958533287045</v>
      </c>
      <c r="I118" s="28">
        <v>24.587834123134613</v>
      </c>
      <c r="J118" s="3">
        <v>25.29204949269764</v>
      </c>
      <c r="K118" s="28" t="s">
        <v>27</v>
      </c>
      <c r="L118" s="28" t="s">
        <v>27</v>
      </c>
      <c r="M118" s="28" t="s">
        <v>27</v>
      </c>
      <c r="N118" s="28" t="s">
        <v>27</v>
      </c>
      <c r="O118" s="28" t="s">
        <v>27</v>
      </c>
      <c r="P118" s="3" t="s">
        <v>27</v>
      </c>
      <c r="Q118" s="28">
        <v>0.72200000286102295</v>
      </c>
      <c r="R118" s="28" t="s">
        <v>27</v>
      </c>
      <c r="S118" s="28">
        <v>19.458000048995018</v>
      </c>
      <c r="T118" s="28">
        <v>17.693000257015228</v>
      </c>
      <c r="U118" s="28">
        <v>54.765000343322754</v>
      </c>
      <c r="V118" s="28">
        <v>166.58099342510104</v>
      </c>
      <c r="W118" s="28" t="s">
        <v>27</v>
      </c>
      <c r="X118" s="28" t="s">
        <v>27</v>
      </c>
      <c r="Y118" s="28" t="s">
        <v>27</v>
      </c>
      <c r="Z118" s="28" t="s">
        <v>27</v>
      </c>
      <c r="AA118" s="28" t="s">
        <v>27</v>
      </c>
      <c r="AB118" s="28" t="s">
        <v>27</v>
      </c>
      <c r="AC118" s="12">
        <f t="shared" si="7"/>
        <v>259.21899407729506</v>
      </c>
    </row>
    <row r="119" spans="1:29" ht="15" customHeight="1">
      <c r="A119" s="4">
        <v>113</v>
      </c>
      <c r="B119" s="9" t="s">
        <v>139</v>
      </c>
      <c r="C119" s="22" t="s">
        <v>149</v>
      </c>
      <c r="D119" s="12">
        <f t="shared" si="6"/>
        <v>420.71777104217006</v>
      </c>
      <c r="E119" s="28" t="s">
        <v>27</v>
      </c>
      <c r="F119" s="28">
        <v>126.79918164896965</v>
      </c>
      <c r="G119" s="28">
        <v>93.15884584695101</v>
      </c>
      <c r="H119" s="28">
        <v>79.012518674049531</v>
      </c>
      <c r="I119" s="28">
        <v>50.643350352764131</v>
      </c>
      <c r="J119" s="3">
        <v>71.103874519435749</v>
      </c>
      <c r="K119" s="28" t="s">
        <v>27</v>
      </c>
      <c r="L119" s="28" t="s">
        <v>27</v>
      </c>
      <c r="M119" s="28" t="s">
        <v>27</v>
      </c>
      <c r="N119" s="28" t="s">
        <v>27</v>
      </c>
      <c r="O119" s="28" t="s">
        <v>27</v>
      </c>
      <c r="P119" s="3" t="s">
        <v>27</v>
      </c>
      <c r="Q119" s="28" t="s">
        <v>27</v>
      </c>
      <c r="R119" s="28">
        <v>23.844000022858381</v>
      </c>
      <c r="S119" s="28">
        <v>21.161999892443419</v>
      </c>
      <c r="T119" s="28">
        <v>51.21099997125566</v>
      </c>
      <c r="U119" s="28">
        <v>91.110999584197998</v>
      </c>
      <c r="V119" s="28">
        <v>409.82100541889668</v>
      </c>
      <c r="W119" s="28" t="s">
        <v>27</v>
      </c>
      <c r="X119" s="28" t="s">
        <v>27</v>
      </c>
      <c r="Y119" s="28" t="s">
        <v>27</v>
      </c>
      <c r="Z119" s="28" t="s">
        <v>27</v>
      </c>
      <c r="AA119" s="28" t="s">
        <v>27</v>
      </c>
      <c r="AB119" s="28" t="s">
        <v>27</v>
      </c>
      <c r="AC119" s="12">
        <f t="shared" si="7"/>
        <v>597.14900488965213</v>
      </c>
    </row>
    <row r="120" spans="1:29" ht="15" customHeight="1">
      <c r="A120" s="4">
        <v>114</v>
      </c>
      <c r="B120" s="9" t="s">
        <v>140</v>
      </c>
      <c r="C120" s="22" t="s">
        <v>150</v>
      </c>
      <c r="D120" s="12">
        <f t="shared" si="6"/>
        <v>3528.9294725947698</v>
      </c>
      <c r="E120" s="28">
        <v>915.7296485834122</v>
      </c>
      <c r="F120" s="28">
        <v>286.50755192288756</v>
      </c>
      <c r="G120" s="28">
        <v>37.359825861275198</v>
      </c>
      <c r="H120" s="28">
        <v>305.04345375356075</v>
      </c>
      <c r="I120" s="28">
        <v>171.60673036383093</v>
      </c>
      <c r="J120" s="3">
        <v>189.23016598448763</v>
      </c>
      <c r="K120" s="28">
        <v>340.90027330887318</v>
      </c>
      <c r="L120" s="28">
        <v>67.92438067670912</v>
      </c>
      <c r="M120" s="28">
        <v>359.37643666814876</v>
      </c>
      <c r="N120" s="28">
        <v>422.01720795268568</v>
      </c>
      <c r="O120" s="28">
        <v>223.18885998771339</v>
      </c>
      <c r="P120" s="3">
        <v>210.04493753118521</v>
      </c>
      <c r="Q120" s="28">
        <v>21.706000089645386</v>
      </c>
      <c r="R120" s="28">
        <v>27.762999825179577</v>
      </c>
      <c r="S120" s="28">
        <v>7.2650000751018524</v>
      </c>
      <c r="T120" s="28">
        <v>68.929000386968255</v>
      </c>
      <c r="U120" s="28">
        <v>140.57299952954054</v>
      </c>
      <c r="V120" s="28">
        <v>667.12799024581909</v>
      </c>
      <c r="W120" s="28">
        <v>7.4729999303817749</v>
      </c>
      <c r="X120" s="28">
        <v>5.8480000775307417</v>
      </c>
      <c r="Y120" s="28">
        <v>16.501000175718218</v>
      </c>
      <c r="Z120" s="28">
        <v>26.985000030137599</v>
      </c>
      <c r="AA120" s="28">
        <v>38.240000087767839</v>
      </c>
      <c r="AB120" s="28">
        <v>278.59000107645988</v>
      </c>
      <c r="AC120" s="12">
        <f t="shared" si="7"/>
        <v>1307.0009915302508</v>
      </c>
    </row>
    <row r="121" spans="1:29" ht="15" customHeight="1">
      <c r="A121" s="4">
        <v>115</v>
      </c>
      <c r="B121" s="9" t="s">
        <v>141</v>
      </c>
      <c r="C121" s="22" t="s">
        <v>149</v>
      </c>
      <c r="D121" s="12">
        <f t="shared" si="6"/>
        <v>391.18933550292513</v>
      </c>
      <c r="E121" s="28" t="s">
        <v>27</v>
      </c>
      <c r="F121" s="28">
        <v>148.30888537865877</v>
      </c>
      <c r="G121" s="28">
        <v>110.03077520537376</v>
      </c>
      <c r="H121" s="28">
        <v>41.243474362336102</v>
      </c>
      <c r="I121" s="28">
        <v>44.722903837643564</v>
      </c>
      <c r="J121" s="3">
        <v>46.883296718912987</v>
      </c>
      <c r="K121" s="28" t="s">
        <v>27</v>
      </c>
      <c r="L121" s="28" t="s">
        <v>27</v>
      </c>
      <c r="M121" s="28" t="s">
        <v>27</v>
      </c>
      <c r="N121" s="28" t="s">
        <v>27</v>
      </c>
      <c r="O121" s="28" t="s">
        <v>27</v>
      </c>
      <c r="P121" s="3" t="s">
        <v>27</v>
      </c>
      <c r="Q121" s="28" t="s">
        <v>27</v>
      </c>
      <c r="R121" s="28">
        <v>24.828999981284142</v>
      </c>
      <c r="S121" s="28">
        <v>20.892000272870064</v>
      </c>
      <c r="T121" s="28">
        <v>38.674999661743641</v>
      </c>
      <c r="U121" s="28">
        <v>91.416999854147434</v>
      </c>
      <c r="V121" s="28">
        <v>292.6599999666214</v>
      </c>
      <c r="W121" s="28" t="s">
        <v>27</v>
      </c>
      <c r="X121" s="28" t="s">
        <v>27</v>
      </c>
      <c r="Y121" s="28" t="s">
        <v>27</v>
      </c>
      <c r="Z121" s="28" t="s">
        <v>27</v>
      </c>
      <c r="AA121" s="28" t="s">
        <v>27</v>
      </c>
      <c r="AB121" s="28" t="s">
        <v>27</v>
      </c>
      <c r="AC121" s="12">
        <f t="shared" si="7"/>
        <v>468.47299973666668</v>
      </c>
    </row>
    <row r="122" spans="1:29" ht="15" customHeight="1">
      <c r="A122" s="4">
        <v>116</v>
      </c>
      <c r="B122" s="9" t="s">
        <v>142</v>
      </c>
      <c r="C122" s="22" t="s">
        <v>150</v>
      </c>
      <c r="D122" s="12">
        <f t="shared" si="6"/>
        <v>530.69155189185653</v>
      </c>
      <c r="E122" s="28" t="s">
        <v>27</v>
      </c>
      <c r="F122" s="28" t="s">
        <v>27</v>
      </c>
      <c r="G122" s="28">
        <v>172.21855441129208</v>
      </c>
      <c r="H122" s="28">
        <v>59.825736827492712</v>
      </c>
      <c r="I122" s="28">
        <v>63.764904173731807</v>
      </c>
      <c r="J122" s="3">
        <v>85.712028452780245</v>
      </c>
      <c r="K122" s="28" t="s">
        <v>27</v>
      </c>
      <c r="L122" s="28" t="s">
        <v>27</v>
      </c>
      <c r="M122" s="28">
        <v>57.377109693646432</v>
      </c>
      <c r="N122" s="28">
        <v>70.217315902367233</v>
      </c>
      <c r="O122" s="28">
        <v>8.8961879950053984</v>
      </c>
      <c r="P122" s="3">
        <v>12.679714435540609</v>
      </c>
      <c r="Q122" s="28" t="s">
        <v>27</v>
      </c>
      <c r="R122" s="28" t="s">
        <v>27</v>
      </c>
      <c r="S122" s="28">
        <v>20.109999641776085</v>
      </c>
      <c r="T122" s="28">
        <v>53.82600075006485</v>
      </c>
      <c r="U122" s="28">
        <v>98.098000228404999</v>
      </c>
      <c r="V122" s="28">
        <v>447.99699711799622</v>
      </c>
      <c r="W122" s="28" t="s">
        <v>27</v>
      </c>
      <c r="X122" s="28" t="s">
        <v>27</v>
      </c>
      <c r="Y122" s="28">
        <v>5.1249998807907104</v>
      </c>
      <c r="Z122" s="28">
        <v>6.2180000096559525</v>
      </c>
      <c r="AA122" s="28">
        <v>6.7119999788701534</v>
      </c>
      <c r="AB122" s="28">
        <v>42.462998509407043</v>
      </c>
      <c r="AC122" s="12">
        <f t="shared" si="7"/>
        <v>680.54899611696601</v>
      </c>
    </row>
    <row r="123" spans="1:29" ht="15" customHeight="1">
      <c r="A123" s="4">
        <v>117</v>
      </c>
      <c r="B123" s="9" t="s">
        <v>143</v>
      </c>
      <c r="C123" s="22" t="s">
        <v>149</v>
      </c>
      <c r="D123" s="12">
        <f t="shared" si="6"/>
        <v>533.25473744370879</v>
      </c>
      <c r="E123" s="28" t="s">
        <v>27</v>
      </c>
      <c r="F123" s="28">
        <v>134.3483825969696</v>
      </c>
      <c r="G123" s="28">
        <v>124.94097027432919</v>
      </c>
      <c r="H123" s="28">
        <v>135.35948196282982</v>
      </c>
      <c r="I123" s="28">
        <v>60.257796244323252</v>
      </c>
      <c r="J123" s="3">
        <v>78.348106365256982</v>
      </c>
      <c r="K123" s="28" t="s">
        <v>27</v>
      </c>
      <c r="L123" s="28" t="s">
        <v>27</v>
      </c>
      <c r="M123" s="28" t="s">
        <v>27</v>
      </c>
      <c r="N123" s="28" t="s">
        <v>27</v>
      </c>
      <c r="O123" s="28" t="s">
        <v>27</v>
      </c>
      <c r="P123" s="3" t="s">
        <v>27</v>
      </c>
      <c r="Q123" s="28" t="s">
        <v>27</v>
      </c>
      <c r="R123" s="28">
        <v>10.302000045776367</v>
      </c>
      <c r="S123" s="28">
        <v>34.156999751925468</v>
      </c>
      <c r="T123" s="28">
        <v>60.65599930100143</v>
      </c>
      <c r="U123" s="28">
        <v>95.245000645518303</v>
      </c>
      <c r="V123" s="28">
        <v>416.48901137709618</v>
      </c>
      <c r="W123" s="28" t="s">
        <v>27</v>
      </c>
      <c r="X123" s="28" t="s">
        <v>27</v>
      </c>
      <c r="Y123" s="28" t="s">
        <v>27</v>
      </c>
      <c r="Z123" s="28" t="s">
        <v>27</v>
      </c>
      <c r="AA123" s="28" t="s">
        <v>27</v>
      </c>
      <c r="AB123" s="28" t="s">
        <v>27</v>
      </c>
      <c r="AC123" s="12">
        <f t="shared" si="7"/>
        <v>616.84901112131774</v>
      </c>
    </row>
    <row r="124" spans="1:29" ht="15" customHeight="1">
      <c r="A124" s="4">
        <v>118</v>
      </c>
      <c r="B124" s="9" t="s">
        <v>144</v>
      </c>
      <c r="C124" s="22" t="s">
        <v>150</v>
      </c>
      <c r="D124" s="12">
        <f t="shared" si="6"/>
        <v>1615.6900709401941</v>
      </c>
      <c r="E124" s="28">
        <v>705.68538847446439</v>
      </c>
      <c r="F124" s="28">
        <v>11.348393911600112</v>
      </c>
      <c r="G124" s="28">
        <v>60.809231833219528</v>
      </c>
      <c r="H124" s="28">
        <v>214.08508825879545</v>
      </c>
      <c r="I124" s="28">
        <v>76.082484146952623</v>
      </c>
      <c r="J124" s="3">
        <v>131.0342854331239</v>
      </c>
      <c r="K124" s="28">
        <v>196.59302045357228</v>
      </c>
      <c r="L124" s="28" t="s">
        <v>27</v>
      </c>
      <c r="M124" s="28">
        <v>17.315879916206001</v>
      </c>
      <c r="N124" s="28">
        <v>138.29589512562006</v>
      </c>
      <c r="O124" s="28">
        <v>35.082030173491688</v>
      </c>
      <c r="P124" s="3">
        <v>29.358373213148063</v>
      </c>
      <c r="Q124" s="28">
        <v>22.003999948501587</v>
      </c>
      <c r="R124" s="28">
        <v>1.7139999866485596</v>
      </c>
      <c r="S124" s="28">
        <v>15.425000071525574</v>
      </c>
      <c r="T124" s="28">
        <v>75.471999293193221</v>
      </c>
      <c r="U124" s="28">
        <v>84.669999778270721</v>
      </c>
      <c r="V124" s="28">
        <v>559.43601411581039</v>
      </c>
      <c r="W124" s="28">
        <v>5.9389999210834503</v>
      </c>
      <c r="X124" s="28" t="s">
        <v>27</v>
      </c>
      <c r="Y124" s="28">
        <v>1.2209999933838844</v>
      </c>
      <c r="Z124" s="28">
        <v>16.221000112593174</v>
      </c>
      <c r="AA124" s="28">
        <v>16.123000027611852</v>
      </c>
      <c r="AB124" s="28">
        <v>72.130998507142067</v>
      </c>
      <c r="AC124" s="12">
        <f t="shared" si="7"/>
        <v>870.35601175576448</v>
      </c>
    </row>
    <row r="125" spans="1:29" ht="15" customHeight="1">
      <c r="A125" s="4">
        <v>119</v>
      </c>
      <c r="B125" s="9" t="s">
        <v>145</v>
      </c>
      <c r="C125" s="22" t="s">
        <v>149</v>
      </c>
      <c r="D125" s="12">
        <f t="shared" si="6"/>
        <v>336.18640240873822</v>
      </c>
      <c r="E125" s="28" t="s">
        <v>27</v>
      </c>
      <c r="F125" s="28">
        <v>185.2559464198649</v>
      </c>
      <c r="G125" s="28">
        <v>46.707928392350674</v>
      </c>
      <c r="H125" s="28">
        <v>44.265934528276325</v>
      </c>
      <c r="I125" s="28">
        <v>18.637534071803092</v>
      </c>
      <c r="J125" s="3">
        <v>41.319058996443246</v>
      </c>
      <c r="K125" s="28" t="s">
        <v>27</v>
      </c>
      <c r="L125" s="28" t="s">
        <v>27</v>
      </c>
      <c r="M125" s="28" t="s">
        <v>27</v>
      </c>
      <c r="N125" s="28" t="s">
        <v>27</v>
      </c>
      <c r="O125" s="28" t="s">
        <v>27</v>
      </c>
      <c r="P125" s="3" t="s">
        <v>27</v>
      </c>
      <c r="Q125" s="28" t="s">
        <v>27</v>
      </c>
      <c r="R125" s="28">
        <v>32.656999886035919</v>
      </c>
      <c r="S125" s="28">
        <v>21.583000093698502</v>
      </c>
      <c r="T125" s="28">
        <v>46.104999728500843</v>
      </c>
      <c r="U125" s="28">
        <v>49.266000166535378</v>
      </c>
      <c r="V125" s="28">
        <v>302.87399963848293</v>
      </c>
      <c r="W125" s="28" t="s">
        <v>27</v>
      </c>
      <c r="X125" s="28" t="s">
        <v>27</v>
      </c>
      <c r="Y125" s="28" t="s">
        <v>27</v>
      </c>
      <c r="Z125" s="28" t="s">
        <v>27</v>
      </c>
      <c r="AA125" s="28" t="s">
        <v>27</v>
      </c>
      <c r="AB125" s="28" t="s">
        <v>27</v>
      </c>
      <c r="AC125" s="12">
        <f t="shared" si="7"/>
        <v>452.48499951325357</v>
      </c>
    </row>
    <row r="126" spans="1:29" ht="15" customHeight="1">
      <c r="A126" s="4">
        <v>120</v>
      </c>
      <c r="B126" s="9" t="s">
        <v>146</v>
      </c>
      <c r="C126" s="22" t="s">
        <v>150</v>
      </c>
      <c r="D126" s="12">
        <f t="shared" si="6"/>
        <v>991.90696486095283</v>
      </c>
      <c r="E126" s="28">
        <v>222.10683051967621</v>
      </c>
      <c r="F126" s="28">
        <v>362.36191339588163</v>
      </c>
      <c r="G126" s="28" t="s">
        <v>27</v>
      </c>
      <c r="H126" s="28">
        <v>156.63829534587265</v>
      </c>
      <c r="I126" s="28">
        <v>43.930261293053626</v>
      </c>
      <c r="J126" s="3">
        <v>32.976903786152242</v>
      </c>
      <c r="K126" s="28" t="s">
        <v>27</v>
      </c>
      <c r="L126" s="28" t="s">
        <v>27</v>
      </c>
      <c r="M126" s="28">
        <v>63.347516441822052</v>
      </c>
      <c r="N126" s="28">
        <v>58.602413991034034</v>
      </c>
      <c r="O126" s="28">
        <v>22.253277973774821</v>
      </c>
      <c r="P126" s="3">
        <v>29.689552113685625</v>
      </c>
      <c r="Q126" s="28">
        <v>7.6750001907348633</v>
      </c>
      <c r="R126" s="28">
        <v>19.506000161170959</v>
      </c>
      <c r="S126" s="28" t="s">
        <v>27</v>
      </c>
      <c r="T126" s="28">
        <v>48.13200045004487</v>
      </c>
      <c r="U126" s="28">
        <v>52.300999760627747</v>
      </c>
      <c r="V126" s="28">
        <v>146.85300044715405</v>
      </c>
      <c r="W126" s="28" t="s">
        <v>27</v>
      </c>
      <c r="X126" s="28" t="s">
        <v>27</v>
      </c>
      <c r="Y126" s="28">
        <v>2.7199999839067459</v>
      </c>
      <c r="Z126" s="28">
        <v>6.9689999595284462</v>
      </c>
      <c r="AA126" s="28">
        <v>5.0339999757707119</v>
      </c>
      <c r="AB126" s="28">
        <v>46.843999862670898</v>
      </c>
      <c r="AC126" s="12">
        <f t="shared" si="7"/>
        <v>336.03400079160929</v>
      </c>
    </row>
    <row r="127" spans="1:29" s="39" customFormat="1" ht="15.75">
      <c r="A127" s="30"/>
      <c r="B127" s="31"/>
      <c r="C127" s="32"/>
      <c r="D127" s="33"/>
      <c r="E127" s="34"/>
      <c r="F127" s="34"/>
      <c r="G127" s="34"/>
      <c r="H127" s="34"/>
      <c r="I127" s="34"/>
      <c r="J127" s="35"/>
      <c r="K127" s="36"/>
      <c r="L127" s="36"/>
      <c r="M127" s="36"/>
      <c r="N127" s="36"/>
      <c r="O127" s="36"/>
      <c r="P127" s="35"/>
      <c r="Q127" s="37"/>
      <c r="R127" s="37"/>
      <c r="S127" s="37"/>
      <c r="T127" s="37"/>
      <c r="U127" s="37"/>
      <c r="V127" s="38"/>
      <c r="W127" s="37"/>
      <c r="X127" s="37"/>
      <c r="Y127" s="37"/>
      <c r="Z127" s="37"/>
      <c r="AA127" s="37"/>
      <c r="AB127" s="38"/>
      <c r="AC127" s="33"/>
    </row>
    <row r="128" spans="1:29" ht="15.75">
      <c r="A128" s="4"/>
      <c r="B128" s="2" t="s">
        <v>147</v>
      </c>
      <c r="C128" s="17"/>
      <c r="D128" s="12">
        <f t="shared" ref="D128:J128" si="8">SUM(D7:D126)</f>
        <v>128404.99629379084</v>
      </c>
      <c r="E128" s="12">
        <f t="shared" si="8"/>
        <v>17222.32412349993</v>
      </c>
      <c r="F128" s="12">
        <f t="shared" si="8"/>
        <v>17508.291039629163</v>
      </c>
      <c r="G128" s="12">
        <f t="shared" si="8"/>
        <v>7357.6910381542366</v>
      </c>
      <c r="H128" s="12">
        <f t="shared" si="8"/>
        <v>16163.502400822834</v>
      </c>
      <c r="I128" s="12">
        <f t="shared" si="8"/>
        <v>6844.3205152140481</v>
      </c>
      <c r="J128" s="12">
        <f t="shared" si="8"/>
        <v>9201.8073166352387</v>
      </c>
      <c r="K128" s="12">
        <f t="shared" ref="K128:P128" si="9">SUM(K7:K126)</f>
        <v>16716.708458753823</v>
      </c>
      <c r="L128" s="12">
        <f t="shared" si="9"/>
        <v>2265.7234792903882</v>
      </c>
      <c r="M128" s="12">
        <f t="shared" si="9"/>
        <v>13044.74116079693</v>
      </c>
      <c r="N128" s="12">
        <f t="shared" si="9"/>
        <v>11781.186288277804</v>
      </c>
      <c r="O128" s="12">
        <f t="shared" si="9"/>
        <v>4828.6667350116641</v>
      </c>
      <c r="P128" s="12">
        <f t="shared" si="9"/>
        <v>5470.0337377048081</v>
      </c>
      <c r="Q128" s="12">
        <f t="shared" ref="Q128:AC128" si="10">SUM(Q7:Q126)</f>
        <v>533.44500377774239</v>
      </c>
      <c r="R128" s="12">
        <f t="shared" si="10"/>
        <v>2051.6700002020225</v>
      </c>
      <c r="S128" s="12">
        <f t="shared" si="10"/>
        <v>1633.3369966829196</v>
      </c>
      <c r="T128" s="12">
        <f t="shared" si="10"/>
        <v>6968.3710121880285</v>
      </c>
      <c r="U128" s="12">
        <f t="shared" si="10"/>
        <v>9475.6640052185394</v>
      </c>
      <c r="V128" s="12">
        <f t="shared" si="10"/>
        <v>45820.734028137871</v>
      </c>
      <c r="W128" s="12">
        <f t="shared" si="10"/>
        <v>228.94300074875355</v>
      </c>
      <c r="X128" s="12">
        <f t="shared" si="10"/>
        <v>87.414000345394015</v>
      </c>
      <c r="Y128" s="12">
        <f t="shared" si="10"/>
        <v>661.16499956906773</v>
      </c>
      <c r="Z128" s="12">
        <f t="shared" si="10"/>
        <v>1153.5469983504154</v>
      </c>
      <c r="AA128" s="12">
        <f t="shared" si="10"/>
        <v>1120.1450009793043</v>
      </c>
      <c r="AB128" s="12">
        <f t="shared" si="10"/>
        <v>8638.3040262758732</v>
      </c>
      <c r="AC128" s="12">
        <f t="shared" si="10"/>
        <v>78372.739072475932</v>
      </c>
    </row>
    <row r="129" spans="1:29" ht="15.75">
      <c r="A129" s="4"/>
      <c r="B129" s="40" t="s">
        <v>160</v>
      </c>
      <c r="C129" s="17"/>
      <c r="D129" s="12"/>
      <c r="E129" s="41">
        <f t="shared" ref="E129:J129" si="11">E128/$D$128</f>
        <v>0.13412503111713212</v>
      </c>
      <c r="F129" s="41">
        <f t="shared" si="11"/>
        <v>0.13635210112517868</v>
      </c>
      <c r="G129" s="41">
        <f t="shared" si="11"/>
        <v>5.7300660025096123E-2</v>
      </c>
      <c r="H129" s="41">
        <f t="shared" si="11"/>
        <v>0.1258790768845218</v>
      </c>
      <c r="I129" s="41">
        <f t="shared" si="11"/>
        <v>5.330260280179621E-2</v>
      </c>
      <c r="J129" s="41">
        <f t="shared" si="11"/>
        <v>7.1662377494887256E-2</v>
      </c>
      <c r="K129" s="41">
        <f t="shared" ref="K129:P129" si="12">K128/$D$128</f>
        <v>0.13018736763564842</v>
      </c>
      <c r="L129" s="41">
        <f t="shared" si="12"/>
        <v>1.7645134883275175E-2</v>
      </c>
      <c r="M129" s="41">
        <f t="shared" si="12"/>
        <v>0.10159060423903242</v>
      </c>
      <c r="N129" s="41">
        <f t="shared" si="12"/>
        <v>9.1750217112443438E-2</v>
      </c>
      <c r="O129" s="41">
        <f t="shared" si="12"/>
        <v>3.7604975463444323E-2</v>
      </c>
      <c r="P129" s="41">
        <f t="shared" si="12"/>
        <v>4.2599851217544227E-2</v>
      </c>
      <c r="Q129" s="41">
        <f t="shared" ref="Q129:AB129" si="13">Q128/$AC$128</f>
        <v>6.8065121889440928E-3</v>
      </c>
      <c r="R129" s="41">
        <f t="shared" si="13"/>
        <v>2.617836283997579E-2</v>
      </c>
      <c r="S129" s="41">
        <f t="shared" si="13"/>
        <v>2.0840626677249032E-2</v>
      </c>
      <c r="T129" s="41">
        <f t="shared" si="13"/>
        <v>8.8913199853127012E-2</v>
      </c>
      <c r="U129" s="41">
        <f t="shared" si="13"/>
        <v>0.12090510191886786</v>
      </c>
      <c r="V129" s="41">
        <f t="shared" si="13"/>
        <v>0.58465143071961179</v>
      </c>
      <c r="W129" s="41">
        <f t="shared" si="13"/>
        <v>2.9212070862680499E-3</v>
      </c>
      <c r="X129" s="41">
        <f t="shared" si="13"/>
        <v>1.115362323429287E-3</v>
      </c>
      <c r="Y129" s="41">
        <f t="shared" si="13"/>
        <v>8.436160422537347E-3</v>
      </c>
      <c r="Z129" s="41">
        <f t="shared" si="13"/>
        <v>1.4718727608635216E-2</v>
      </c>
      <c r="AA129" s="41">
        <f t="shared" si="13"/>
        <v>1.4292533529336517E-2</v>
      </c>
      <c r="AB129" s="41">
        <f t="shared" si="13"/>
        <v>0.11022077483201806</v>
      </c>
      <c r="AC129" s="41"/>
    </row>
  </sheetData>
  <mergeCells count="4">
    <mergeCell ref="E4:J4"/>
    <mergeCell ref="K4:P4"/>
    <mergeCell ref="Q4:V4"/>
    <mergeCell ref="W4:AB4"/>
  </mergeCells>
  <pageMargins left="0.5" right="0.5" top="0.6" bottom="0.25" header="0.22" footer="0"/>
  <pageSetup paperSize="5" pageOrder="overThenDown" orientation="landscape" verticalDpi="300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B02A3B-2A04-4D1F-9B1B-C9022DC5A3EB}"/>
</file>

<file path=customXml/itemProps2.xml><?xml version="1.0" encoding="utf-8"?>
<ds:datastoreItem xmlns:ds="http://schemas.openxmlformats.org/officeDocument/2006/customXml" ds:itemID="{DF997872-7203-42AB-BFF5-9F3A9CEDBF2F}"/>
</file>

<file path=customXml/itemProps3.xml><?xml version="1.0" encoding="utf-8"?>
<ds:datastoreItem xmlns:ds="http://schemas.openxmlformats.org/officeDocument/2006/customXml" ds:itemID="{8DEE5966-43A4-4FA5-99F0-7C1F0B5B63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2002</vt:lpstr>
      <vt:lpstr>'2002'!Print_Titles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cp:lastPrinted>2003-06-26T15:32:36Z</cp:lastPrinted>
  <dcterms:created xsi:type="dcterms:W3CDTF">2000-09-06T17:52:56Z</dcterms:created>
  <dcterms:modified xsi:type="dcterms:W3CDTF">2013-08-20T20:13:30Z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