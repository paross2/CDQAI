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4680" windowWidth="15330" windowHeight="4725"/>
  </bookViews>
  <sheets>
    <sheet name="Curr" sheetId="6" r:id="rId1"/>
  </sheets>
  <definedNames>
    <definedName name="_xlnm._FilterDatabase" localSheetId="0" hidden="1">Curr!$A$1:$AF$130</definedName>
    <definedName name="_xlnm.Print_Titles" localSheetId="0">Curr!$A:$B,Curr!$5:$7</definedName>
    <definedName name="Z_42EEE160_96A8_11D3_9088_00C04FACEB10_.wvu.PrintTitles" localSheetId="0" hidden="1">Curr!$A:$B,Curr!$5:$7</definedName>
    <definedName name="Z_9B35B1A4_5380_11D4_9606_00B0D02CABC0_.wvu.FilterData" localSheetId="0" hidden="1">Curr!$A$2:$AF$127</definedName>
    <definedName name="Z_9B35B1A4_5380_11D4_9606_00B0D02CABC0_.wvu.PrintTitles" localSheetId="0" hidden="1">Curr!$A:$B,Curr!$5:$7</definedName>
  </definedNames>
  <calcPr calcId="125725" fullCalcOnLoad="1"/>
</workbook>
</file>

<file path=xl/calcChain.xml><?xml version="1.0" encoding="utf-8"?>
<calcChain xmlns="http://schemas.openxmlformats.org/spreadsheetml/2006/main">
  <c r="T129" i="6"/>
  <c r="T130" s="1"/>
  <c r="U129"/>
  <c r="V129"/>
  <c r="W129"/>
  <c r="X129"/>
  <c r="S129"/>
  <c r="Z129"/>
  <c r="AA129"/>
  <c r="AB129"/>
  <c r="AC129"/>
  <c r="AD129"/>
  <c r="AE129"/>
  <c r="F129"/>
  <c r="G129"/>
  <c r="H129"/>
  <c r="I129"/>
  <c r="E129"/>
  <c r="E130" s="1"/>
  <c r="J129"/>
  <c r="L129"/>
  <c r="M129"/>
  <c r="N129"/>
  <c r="O129"/>
  <c r="P129"/>
  <c r="Q129"/>
  <c r="AF8"/>
  <c r="AF9"/>
  <c r="AF10"/>
  <c r="AF129" s="1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37"/>
  <c r="AF38"/>
  <c r="AF39"/>
  <c r="AF40"/>
  <c r="AF41"/>
  <c r="AF42"/>
  <c r="AF43"/>
  <c r="AF44"/>
  <c r="AF45"/>
  <c r="AF46"/>
  <c r="AF47"/>
  <c r="AF48"/>
  <c r="AF49"/>
  <c r="AF50"/>
  <c r="AF51"/>
  <c r="AF52"/>
  <c r="AF53"/>
  <c r="AF54"/>
  <c r="AF55"/>
  <c r="AF56"/>
  <c r="AF57"/>
  <c r="AF58"/>
  <c r="AF59"/>
  <c r="AF60"/>
  <c r="AF61"/>
  <c r="AF62"/>
  <c r="AF63"/>
  <c r="AF64"/>
  <c r="AF65"/>
  <c r="AF66"/>
  <c r="AF67"/>
  <c r="AF68"/>
  <c r="AF69"/>
  <c r="AF70"/>
  <c r="AF71"/>
  <c r="AF72"/>
  <c r="AF73"/>
  <c r="AF74"/>
  <c r="AF75"/>
  <c r="AF76"/>
  <c r="AF77"/>
  <c r="AF78"/>
  <c r="AF79"/>
  <c r="AF80"/>
  <c r="AF81"/>
  <c r="AF82"/>
  <c r="AF83"/>
  <c r="AF84"/>
  <c r="AF85"/>
  <c r="AF86"/>
  <c r="AF87"/>
  <c r="AF88"/>
  <c r="AF89"/>
  <c r="AF90"/>
  <c r="AF91"/>
  <c r="AF92"/>
  <c r="AF93"/>
  <c r="AF94"/>
  <c r="AF95"/>
  <c r="AF96"/>
  <c r="AF97"/>
  <c r="AF98"/>
  <c r="AF99"/>
  <c r="AF100"/>
  <c r="AF101"/>
  <c r="AF102"/>
  <c r="AF103"/>
  <c r="AF104"/>
  <c r="AF105"/>
  <c r="AF106"/>
  <c r="AF107"/>
  <c r="AF108"/>
  <c r="AF109"/>
  <c r="AF110"/>
  <c r="AF111"/>
  <c r="AF112"/>
  <c r="AF113"/>
  <c r="AF114"/>
  <c r="AF115"/>
  <c r="AF116"/>
  <c r="AF117"/>
  <c r="AF118"/>
  <c r="AF119"/>
  <c r="AF120"/>
  <c r="AF121"/>
  <c r="AF122"/>
  <c r="AF123"/>
  <c r="AF124"/>
  <c r="AF125"/>
  <c r="AF126"/>
  <c r="AF127"/>
  <c r="D8"/>
  <c r="D9"/>
  <c r="D129" s="1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G130" l="1"/>
  <c r="P130"/>
  <c r="O130"/>
  <c r="F130"/>
  <c r="J130"/>
  <c r="I130"/>
  <c r="H130"/>
  <c r="Q130"/>
  <c r="AA130"/>
  <c r="Z130"/>
  <c r="AE130"/>
  <c r="S130"/>
  <c r="AD130"/>
  <c r="AC130"/>
  <c r="AB130"/>
  <c r="U130"/>
  <c r="L130"/>
  <c r="V130"/>
  <c r="M130"/>
  <c r="W130"/>
  <c r="N130"/>
  <c r="X130"/>
</calcChain>
</file>

<file path=xl/sharedStrings.xml><?xml version="1.0" encoding="utf-8"?>
<sst xmlns="http://schemas.openxmlformats.org/spreadsheetml/2006/main" count="1556" uniqueCount="162">
  <si>
    <t>Rural DVMT (x1,000)</t>
  </si>
  <si>
    <t>Urban DVMT (x1,000)</t>
  </si>
  <si>
    <t>Rural Miles</t>
  </si>
  <si>
    <t>Urban Miles</t>
  </si>
  <si>
    <t>County</t>
  </si>
  <si>
    <t>INTER.</t>
  </si>
  <si>
    <t>PR.ART</t>
  </si>
  <si>
    <t>MN.ART</t>
  </si>
  <si>
    <t>MJ.COL</t>
  </si>
  <si>
    <t>MN.COL</t>
  </si>
  <si>
    <t>LOCAL</t>
  </si>
  <si>
    <t>EXPR.</t>
  </si>
  <si>
    <t>COLL.</t>
  </si>
  <si>
    <t>TOTAL</t>
  </si>
  <si>
    <t>1</t>
  </si>
  <si>
    <t>2</t>
  </si>
  <si>
    <t>6</t>
  </si>
  <si>
    <t>7</t>
  </si>
  <si>
    <t>8</t>
  </si>
  <si>
    <t>11</t>
  </si>
  <si>
    <t>12</t>
  </si>
  <si>
    <t>14</t>
  </si>
  <si>
    <t>16</t>
  </si>
  <si>
    <t>17</t>
  </si>
  <si>
    <t>9</t>
  </si>
  <si>
    <t>19</t>
  </si>
  <si>
    <t>ADAIR</t>
  </si>
  <si>
    <t/>
  </si>
  <si>
    <t>ALLEN</t>
  </si>
  <si>
    <t>ANDERSON</t>
  </si>
  <si>
    <t>BALLARD</t>
  </si>
  <si>
    <t>BARREN</t>
  </si>
  <si>
    <t>BATH</t>
  </si>
  <si>
    <t>BELL</t>
  </si>
  <si>
    <t>BOONE</t>
  </si>
  <si>
    <t>BOURBON</t>
  </si>
  <si>
    <t>BOYD</t>
  </si>
  <si>
    <t>BOYLE</t>
  </si>
  <si>
    <t>BRACKEN</t>
  </si>
  <si>
    <t>BREATHITT</t>
  </si>
  <si>
    <t>BRECKINRIDGE</t>
  </si>
  <si>
    <t>BULLITT</t>
  </si>
  <si>
    <t>BUTLER</t>
  </si>
  <si>
    <t>CALDWELL</t>
  </si>
  <si>
    <t>CALLOWAY</t>
  </si>
  <si>
    <t>CAMPBELL</t>
  </si>
  <si>
    <t>CARLISLE</t>
  </si>
  <si>
    <t>CARROLL</t>
  </si>
  <si>
    <t>CARTER</t>
  </si>
  <si>
    <t>CASEY</t>
  </si>
  <si>
    <t>CHRISTIAN</t>
  </si>
  <si>
    <t>CLARK</t>
  </si>
  <si>
    <t>CLAY</t>
  </si>
  <si>
    <t>CLINTON</t>
  </si>
  <si>
    <t>CRITTENDEN</t>
  </si>
  <si>
    <t>CUMBERLAND</t>
  </si>
  <si>
    <t>DAVIESS</t>
  </si>
  <si>
    <t>EDMONSON</t>
  </si>
  <si>
    <t>ELLIOTT</t>
  </si>
  <si>
    <t>ESTILL</t>
  </si>
  <si>
    <t>FAYETTE</t>
  </si>
  <si>
    <t>FLEMING</t>
  </si>
  <si>
    <t>FLOYD</t>
  </si>
  <si>
    <t>FRANKLIN</t>
  </si>
  <si>
    <t>FULTON</t>
  </si>
  <si>
    <t>GALLATIN</t>
  </si>
  <si>
    <t>GARRARD</t>
  </si>
  <si>
    <t>GRANT</t>
  </si>
  <si>
    <t>GRAVES</t>
  </si>
  <si>
    <t>GRAYSON</t>
  </si>
  <si>
    <t>GREEN</t>
  </si>
  <si>
    <t>GREENUP</t>
  </si>
  <si>
    <t>HANCOCK</t>
  </si>
  <si>
    <t>HARDIN</t>
  </si>
  <si>
    <t>HARLAN</t>
  </si>
  <si>
    <t>HARRISON</t>
  </si>
  <si>
    <t>HART</t>
  </si>
  <si>
    <t>HENDERSON</t>
  </si>
  <si>
    <t>HENRY</t>
  </si>
  <si>
    <t>HICKMAN</t>
  </si>
  <si>
    <t>HOPKINS</t>
  </si>
  <si>
    <t>JACKSON</t>
  </si>
  <si>
    <t>JEFFERSON</t>
  </si>
  <si>
    <t>JESSAMINE</t>
  </si>
  <si>
    <t>JOHNSON</t>
  </si>
  <si>
    <t>KENTON</t>
  </si>
  <si>
    <t>KNOTT</t>
  </si>
  <si>
    <t>KNOX</t>
  </si>
  <si>
    <t>LARUE</t>
  </si>
  <si>
    <t>LAUREL</t>
  </si>
  <si>
    <t>LAWRENCE</t>
  </si>
  <si>
    <t>LEE</t>
  </si>
  <si>
    <t>LESLIE</t>
  </si>
  <si>
    <t>LETCHER</t>
  </si>
  <si>
    <t>LEWIS</t>
  </si>
  <si>
    <t>LINCOLN</t>
  </si>
  <si>
    <t>LIVINGSTON</t>
  </si>
  <si>
    <t>LOGAN</t>
  </si>
  <si>
    <t>LYON</t>
  </si>
  <si>
    <t>MCCRACKEN</t>
  </si>
  <si>
    <t>MCCREARY</t>
  </si>
  <si>
    <t>MCLEAN</t>
  </si>
  <si>
    <t>MADISON</t>
  </si>
  <si>
    <t>MAGOFFIN</t>
  </si>
  <si>
    <t>MARION</t>
  </si>
  <si>
    <t>MARSHALL</t>
  </si>
  <si>
    <t>MARTIN</t>
  </si>
  <si>
    <t>MASON</t>
  </si>
  <si>
    <t>MEADE</t>
  </si>
  <si>
    <t>MENIFEE</t>
  </si>
  <si>
    <t>MERCER</t>
  </si>
  <si>
    <t>METCALFE</t>
  </si>
  <si>
    <t>MONROE</t>
  </si>
  <si>
    <t>MONTGOMERY</t>
  </si>
  <si>
    <t>MORGAN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</si>
  <si>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</si>
  <si>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</si>
  <si>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</si>
  <si>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</si>
  <si>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</si>
  <si>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</si>
  <si>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</si>
  <si>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</si>
  <si>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PERRY</t>
  </si>
  <si>
    <t>PIKE</t>
  </si>
  <si>
    <t>POWELL</t>
  </si>
  <si>
    <t>PULASKI</t>
  </si>
  <si>
    <t>ROBERTSON</t>
  </si>
  <si>
    <t>ROCKCASTLE</t>
  </si>
  <si>
    <t>ROWAN</t>
  </si>
  <si>
    <t>RUSSELL</t>
  </si>
  <si>
    <t>SCOTT</t>
  </si>
  <si>
    <t>SHELBY</t>
  </si>
  <si>
    <t>SIMPSON</t>
  </si>
  <si>
    <t>SPENCER</t>
  </si>
  <si>
    <t>TAYLOR</t>
  </si>
  <si>
    <t>TODD</t>
  </si>
  <si>
    <t>TRIGG</t>
  </si>
  <si>
    <t>TRIMBLE</t>
  </si>
  <si>
    <t>UNION</t>
  </si>
  <si>
    <t>WARREN</t>
  </si>
  <si>
    <t>WASHINGTON</t>
  </si>
  <si>
    <t>WAYNE</t>
  </si>
  <si>
    <t>WEBSTER</t>
  </si>
  <si>
    <t>WHITLEY</t>
  </si>
  <si>
    <t>WOLFE</t>
  </si>
  <si>
    <t>WOODFORD</t>
  </si>
  <si>
    <t>Statewide Total</t>
  </si>
  <si>
    <t>with Local DVMT's  adjusted using (Minor) Collector Avg. ADT:  Loc. DVMT = Loc. Miles * Loc. ADT where Local ADT  = 3.3439*(Coll ADT)^0.6248</t>
  </si>
  <si>
    <t>09</t>
  </si>
  <si>
    <t>R</t>
  </si>
  <si>
    <t>R/U</t>
  </si>
  <si>
    <t>R/Uz</t>
  </si>
  <si>
    <t>Rur/</t>
  </si>
  <si>
    <t>Urb</t>
  </si>
  <si>
    <t>DVMT</t>
  </si>
  <si>
    <t>Miles</t>
  </si>
  <si>
    <t>Total</t>
  </si>
  <si>
    <t>R/U/Uz</t>
  </si>
  <si>
    <t>Uz</t>
  </si>
  <si>
    <t>Percent of Total</t>
  </si>
  <si>
    <t>2005 DVMT (in thousands) and Mileage by County and Functional Class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</si>
</sst>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9" formatCode="[$-409]mmmm\ d\,\ yyyy;@"/>
  </numFmts>
  <fonts count="19">
    <font>
      <sz val="10"/>
      <name val="Arial"/>
    </font>
    <font>
      <sz val="10"/>
      <color indexed="8"/>
      <name val="MS Sans Serif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</font>
    <font>
      <sz val="12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color indexed="48"/>
      <name val="Arial"/>
      <family val="2"/>
    </font>
    <font>
      <b/>
      <sz val="12"/>
      <color indexed="12"/>
      <name val="Arial"/>
      <family val="2"/>
    </font>
    <font>
      <sz val="12"/>
      <color indexed="12"/>
      <name val="Arial"/>
      <family val="2"/>
    </font>
    <font>
      <sz val="8"/>
      <color indexed="12"/>
      <name val="Arial"/>
      <family val="2"/>
    </font>
    <font>
      <sz val="10"/>
      <color indexed="12"/>
      <name val="Arial"/>
      <family val="2"/>
    </font>
    <font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8"/>
      <color indexed="10"/>
      <name val="Arial"/>
      <family val="2"/>
    </font>
    <font>
      <b/>
      <sz val="12"/>
      <color indexed="10"/>
      <name val="Arial"/>
      <family val="2"/>
    </font>
    <font>
      <sz val="12"/>
      <color indexed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0" fontId="4" fillId="0" borderId="0"/>
    <xf numFmtId="0" fontId="1" fillId="0" borderId="0"/>
  </cellStyleXfs>
  <cellXfs count="60">
    <xf numFmtId="0" fontId="0" fillId="0" borderId="0" xfId="0"/>
    <xf numFmtId="0" fontId="3" fillId="0" borderId="0" xfId="0" applyFont="1"/>
    <xf numFmtId="3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49" fontId="2" fillId="0" borderId="0" xfId="0" applyNumberFormat="1" applyFont="1"/>
    <xf numFmtId="3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/>
    </xf>
    <xf numFmtId="1" fontId="8" fillId="0" borderId="0" xfId="0" applyNumberFormat="1" applyFont="1"/>
    <xf numFmtId="164" fontId="7" fillId="0" borderId="0" xfId="0" applyNumberFormat="1" applyFont="1"/>
    <xf numFmtId="3" fontId="3" fillId="0" borderId="0" xfId="0" applyNumberFormat="1" applyFont="1"/>
    <xf numFmtId="3" fontId="6" fillId="0" borderId="0" xfId="0" applyNumberFormat="1" applyFont="1"/>
    <xf numFmtId="0" fontId="9" fillId="0" borderId="0" xfId="0" applyFont="1"/>
    <xf numFmtId="0" fontId="10" fillId="0" borderId="0" xfId="0" applyFont="1"/>
    <xf numFmtId="15" fontId="10" fillId="0" borderId="0" xfId="0" quotePrefix="1" applyNumberFormat="1" applyFont="1"/>
    <xf numFmtId="0" fontId="11" fillId="0" borderId="0" xfId="0" applyFont="1"/>
    <xf numFmtId="49" fontId="11" fillId="0" borderId="0" xfId="0" applyNumberFormat="1" applyFont="1" applyAlignment="1">
      <alignment horizontal="left"/>
    </xf>
    <xf numFmtId="49" fontId="10" fillId="0" borderId="0" xfId="0" applyNumberFormat="1" applyFont="1"/>
    <xf numFmtId="49" fontId="11" fillId="0" borderId="0" xfId="0" applyNumberFormat="1" applyFont="1"/>
    <xf numFmtId="0" fontId="12" fillId="0" borderId="0" xfId="0" applyFont="1"/>
    <xf numFmtId="15" fontId="13" fillId="0" borderId="0" xfId="0" applyNumberFormat="1" applyFont="1"/>
    <xf numFmtId="3" fontId="2" fillId="0" borderId="0" xfId="0" applyNumberFormat="1" applyFont="1" applyAlignment="1">
      <alignment horizontal="center"/>
    </xf>
    <xf numFmtId="3" fontId="5" fillId="0" borderId="1" xfId="2" applyNumberFormat="1" applyFont="1" applyFill="1" applyBorder="1" applyAlignment="1">
      <alignment horizontal="right" wrapText="1"/>
    </xf>
    <xf numFmtId="0" fontId="2" fillId="0" borderId="0" xfId="0" applyFont="1" applyBorder="1"/>
    <xf numFmtId="49" fontId="2" fillId="0" borderId="0" xfId="0" applyNumberFormat="1" applyFont="1" applyBorder="1"/>
    <xf numFmtId="49" fontId="10" fillId="0" borderId="0" xfId="0" applyNumberFormat="1" applyFont="1" applyBorder="1"/>
    <xf numFmtId="3" fontId="4" fillId="0" borderId="0" xfId="1" applyNumberFormat="1" applyFont="1" applyFill="1" applyBorder="1" applyAlignment="1">
      <alignment horizontal="right" wrapText="1"/>
    </xf>
    <xf numFmtId="164" fontId="7" fillId="0" borderId="0" xfId="0" applyNumberFormat="1" applyFont="1" applyBorder="1"/>
    <xf numFmtId="3" fontId="2" fillId="0" borderId="0" xfId="0" applyNumberFormat="1" applyFont="1" applyBorder="1"/>
    <xf numFmtId="3" fontId="5" fillId="0" borderId="0" xfId="4" applyNumberFormat="1" applyFont="1" applyFill="1" applyBorder="1" applyAlignment="1">
      <alignment horizontal="right" wrapText="1"/>
    </xf>
    <xf numFmtId="3" fontId="4" fillId="0" borderId="0" xfId="4" applyNumberFormat="1" applyFont="1" applyFill="1" applyBorder="1" applyAlignment="1">
      <alignment horizontal="right" wrapText="1"/>
    </xf>
    <xf numFmtId="0" fontId="0" fillId="0" borderId="0" xfId="0" applyBorder="1"/>
    <xf numFmtId="0" fontId="16" fillId="0" borderId="0" xfId="0" applyFont="1"/>
    <xf numFmtId="3" fontId="5" fillId="0" borderId="2" xfId="2" applyNumberFormat="1" applyFont="1" applyFill="1" applyBorder="1" applyAlignment="1">
      <alignment horizontal="center"/>
    </xf>
    <xf numFmtId="169" fontId="2" fillId="0" borderId="0" xfId="0" applyNumberFormat="1" applyFont="1"/>
    <xf numFmtId="3" fontId="17" fillId="2" borderId="2" xfId="3" applyNumberFormat="1" applyFont="1" applyFill="1" applyBorder="1" applyAlignment="1">
      <alignment horizontal="center"/>
    </xf>
    <xf numFmtId="3" fontId="17" fillId="0" borderId="1" xfId="3" applyNumberFormat="1" applyFont="1" applyFill="1" applyBorder="1" applyAlignment="1">
      <alignment horizontal="right" wrapText="1"/>
    </xf>
    <xf numFmtId="3" fontId="17" fillId="0" borderId="0" xfId="3" applyNumberFormat="1" applyFont="1"/>
    <xf numFmtId="0" fontId="3" fillId="3" borderId="0" xfId="0" applyFont="1" applyFill="1" applyAlignment="1">
      <alignment horizontal="right"/>
    </xf>
    <xf numFmtId="3" fontId="3" fillId="3" borderId="0" xfId="0" applyNumberFormat="1" applyFont="1" applyFill="1"/>
    <xf numFmtId="3" fontId="3" fillId="3" borderId="0" xfId="0" applyNumberFormat="1" applyFont="1" applyFill="1" applyBorder="1"/>
    <xf numFmtId="3" fontId="2" fillId="3" borderId="0" xfId="0" applyNumberFormat="1" applyFont="1" applyFill="1" applyAlignment="1">
      <alignment horizontal="right"/>
    </xf>
    <xf numFmtId="3" fontId="2" fillId="3" borderId="0" xfId="0" applyNumberFormat="1" applyFont="1" applyFill="1" applyAlignment="1">
      <alignment horizontal="center"/>
    </xf>
    <xf numFmtId="3" fontId="2" fillId="3" borderId="0" xfId="0" applyNumberFormat="1" applyFont="1" applyFill="1"/>
    <xf numFmtId="3" fontId="0" fillId="3" borderId="0" xfId="0" applyNumberFormat="1" applyFill="1" applyBorder="1"/>
    <xf numFmtId="1" fontId="3" fillId="3" borderId="0" xfId="0" quotePrefix="1" applyNumberFormat="1" applyFont="1" applyFill="1" applyAlignment="1">
      <alignment horizontal="right"/>
    </xf>
    <xf numFmtId="3" fontId="3" fillId="3" borderId="0" xfId="0" applyNumberFormat="1" applyFont="1" applyFill="1" applyAlignment="1">
      <alignment horizontal="right"/>
    </xf>
    <xf numFmtId="3" fontId="14" fillId="3" borderId="0" xfId="0" applyNumberFormat="1" applyFont="1" applyFill="1"/>
    <xf numFmtId="0" fontId="3" fillId="3" borderId="0" xfId="0" applyFont="1" applyFill="1"/>
    <xf numFmtId="0" fontId="10" fillId="3" borderId="0" xfId="0" applyFont="1" applyFill="1"/>
    <xf numFmtId="3" fontId="15" fillId="3" borderId="0" xfId="0" applyNumberFormat="1" applyFont="1" applyFill="1"/>
    <xf numFmtId="0" fontId="7" fillId="3" borderId="0" xfId="0" applyFont="1" applyFill="1" applyAlignment="1">
      <alignment horizontal="right"/>
    </xf>
    <xf numFmtId="165" fontId="7" fillId="3" borderId="0" xfId="0" applyNumberFormat="1" applyFont="1" applyFill="1"/>
    <xf numFmtId="3" fontId="7" fillId="3" borderId="0" xfId="0" applyNumberFormat="1" applyFont="1" applyFill="1"/>
    <xf numFmtId="3" fontId="2" fillId="0" borderId="0" xfId="0" applyNumberFormat="1" applyFont="1" applyAlignment="1">
      <alignment horizontal="center"/>
    </xf>
  </cellXfs>
  <cellStyles count="5">
    <cellStyle name="Normal" xfId="0" builtinId="0"/>
    <cellStyle name="Normal_2000_1" xfId="1"/>
    <cellStyle name="Normal_Curr" xfId="2"/>
    <cellStyle name="Normal_Curr_1" xfId="3"/>
    <cellStyle name="Normal_VMT1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30"/>
  <sheetViews>
    <sheetView tabSelected="1" zoomScaleNormal="100" workbookViewId="0">
      <pane xSplit="2" ySplit="7" topLeftCell="C61" activePane="bottomRight" state="frozen"/>
      <selection pane="topRight" activeCell="C1" sqref="C1"/>
      <selection pane="bottomLeft" activeCell="A8" sqref="A8"/>
      <selection pane="bottomRight" activeCell="A131" sqref="A131:IV142"/>
    </sheetView>
  </sheetViews>
  <sheetFormatPr defaultRowHeight="15"/>
  <cols>
    <col min="1" max="1" width="5.140625" customWidth="1"/>
    <col min="2" max="2" width="18.28515625" customWidth="1"/>
    <col min="3" max="3" width="5.7109375" style="24" customWidth="1"/>
    <col min="4" max="4" width="11.5703125" style="16" customWidth="1"/>
    <col min="5" max="10" width="9.7109375" style="9" customWidth="1"/>
    <col min="11" max="11" width="5.7109375" style="11" customWidth="1"/>
    <col min="12" max="17" width="9.7109375" style="9" customWidth="1"/>
    <col min="18" max="18" width="5.7109375" style="14" customWidth="1"/>
    <col min="19" max="24" width="9.7109375" style="2" customWidth="1"/>
    <col min="25" max="25" width="4.140625" style="2" customWidth="1"/>
    <col min="26" max="31" width="9.7109375" style="2" customWidth="1"/>
    <col min="32" max="32" width="13.7109375" style="10" customWidth="1"/>
  </cols>
  <sheetData>
    <row r="1" spans="1:32" ht="15.75">
      <c r="A1" s="25"/>
      <c r="B1" s="37"/>
      <c r="C1" s="17"/>
      <c r="D1" s="15"/>
      <c r="E1" s="2"/>
      <c r="F1" s="2"/>
      <c r="G1" s="2"/>
      <c r="H1" s="2"/>
      <c r="I1" s="2"/>
      <c r="J1" s="2"/>
      <c r="L1" s="2"/>
      <c r="M1" s="2"/>
      <c r="N1" s="2"/>
      <c r="O1" s="2"/>
      <c r="P1" s="2"/>
      <c r="Q1" s="2"/>
      <c r="AF1" s="1"/>
    </row>
    <row r="2" spans="1:32" ht="15.75">
      <c r="A2" s="1" t="s">
        <v>161</v>
      </c>
      <c r="B2" s="3"/>
      <c r="C2" s="18"/>
      <c r="D2" s="15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AF2" s="1"/>
    </row>
    <row r="3" spans="1:32" ht="15.75">
      <c r="A3" s="11" t="s">
        <v>148</v>
      </c>
      <c r="B3" s="3"/>
      <c r="C3" s="18"/>
      <c r="D3" s="15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AF3" s="1"/>
    </row>
    <row r="4" spans="1:32" ht="15.75">
      <c r="A4" s="3"/>
      <c r="B4" s="39">
        <v>38874</v>
      </c>
      <c r="C4" s="19"/>
      <c r="D4" s="15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AF4" s="1"/>
    </row>
    <row r="5" spans="1:32" ht="15.75">
      <c r="A5" s="3"/>
      <c r="B5" s="3"/>
      <c r="C5" s="20" t="s">
        <v>153</v>
      </c>
      <c r="D5" s="50">
        <v>2005</v>
      </c>
      <c r="E5" s="59" t="s">
        <v>0</v>
      </c>
      <c r="F5" s="59"/>
      <c r="G5" s="59"/>
      <c r="H5" s="59"/>
      <c r="I5" s="59"/>
      <c r="J5" s="59"/>
      <c r="K5" s="12"/>
      <c r="L5" s="59" t="s">
        <v>1</v>
      </c>
      <c r="M5" s="59"/>
      <c r="N5" s="59"/>
      <c r="O5" s="59"/>
      <c r="P5" s="59"/>
      <c r="Q5" s="59"/>
      <c r="R5" s="12"/>
      <c r="S5" s="59" t="s">
        <v>2</v>
      </c>
      <c r="T5" s="59"/>
      <c r="U5" s="59"/>
      <c r="V5" s="59"/>
      <c r="W5" s="59"/>
      <c r="X5" s="59"/>
      <c r="Y5" s="26"/>
      <c r="Z5" s="59" t="s">
        <v>3</v>
      </c>
      <c r="AA5" s="59"/>
      <c r="AB5" s="59"/>
      <c r="AC5" s="59"/>
      <c r="AD5" s="59"/>
      <c r="AE5" s="59"/>
      <c r="AF5" s="1"/>
    </row>
    <row r="6" spans="1:32" s="7" customFormat="1" ht="15.75">
      <c r="A6" s="4"/>
      <c r="B6" s="5" t="s">
        <v>4</v>
      </c>
      <c r="C6" s="21" t="s">
        <v>154</v>
      </c>
      <c r="D6" s="43" t="s">
        <v>157</v>
      </c>
      <c r="E6" s="6" t="s">
        <v>5</v>
      </c>
      <c r="F6" s="6" t="s">
        <v>6</v>
      </c>
      <c r="G6" s="6" t="s">
        <v>7</v>
      </c>
      <c r="H6" s="6" t="s">
        <v>8</v>
      </c>
      <c r="I6" s="6" t="s">
        <v>9</v>
      </c>
      <c r="J6" s="46" t="s">
        <v>10</v>
      </c>
      <c r="K6" s="12"/>
      <c r="L6" s="6" t="s">
        <v>5</v>
      </c>
      <c r="M6" s="6" t="s">
        <v>11</v>
      </c>
      <c r="N6" s="6" t="s">
        <v>6</v>
      </c>
      <c r="O6" s="6" t="s">
        <v>7</v>
      </c>
      <c r="P6" s="6" t="s">
        <v>12</v>
      </c>
      <c r="Q6" s="46" t="s">
        <v>10</v>
      </c>
      <c r="R6" s="12"/>
      <c r="S6" s="6" t="s">
        <v>5</v>
      </c>
      <c r="T6" s="6" t="s">
        <v>6</v>
      </c>
      <c r="U6" s="6" t="s">
        <v>7</v>
      </c>
      <c r="V6" s="6" t="s">
        <v>8</v>
      </c>
      <c r="W6" s="6" t="s">
        <v>9</v>
      </c>
      <c r="X6" s="6" t="s">
        <v>10</v>
      </c>
      <c r="Y6" s="6"/>
      <c r="Z6" s="6" t="s">
        <v>5</v>
      </c>
      <c r="AA6" s="6" t="s">
        <v>11</v>
      </c>
      <c r="AB6" s="6" t="s">
        <v>6</v>
      </c>
      <c r="AC6" s="6" t="s">
        <v>7</v>
      </c>
      <c r="AD6" s="6" t="s">
        <v>12</v>
      </c>
      <c r="AE6" s="6" t="s">
        <v>10</v>
      </c>
      <c r="AF6" s="43" t="s">
        <v>13</v>
      </c>
    </row>
    <row r="7" spans="1:32" ht="15" customHeight="1">
      <c r="A7" s="3"/>
      <c r="B7" s="8"/>
      <c r="C7" s="22"/>
      <c r="D7" s="51" t="s">
        <v>155</v>
      </c>
      <c r="E7" s="40" t="s">
        <v>14</v>
      </c>
      <c r="F7" s="40" t="s">
        <v>15</v>
      </c>
      <c r="G7" s="40" t="s">
        <v>16</v>
      </c>
      <c r="H7" s="40" t="s">
        <v>17</v>
      </c>
      <c r="I7" s="40" t="s">
        <v>18</v>
      </c>
      <c r="J7" s="47" t="s">
        <v>149</v>
      </c>
      <c r="K7" s="12"/>
      <c r="L7" s="40" t="s">
        <v>19</v>
      </c>
      <c r="M7" s="40" t="s">
        <v>20</v>
      </c>
      <c r="N7" s="40" t="s">
        <v>21</v>
      </c>
      <c r="O7" s="40" t="s">
        <v>22</v>
      </c>
      <c r="P7" s="40" t="s">
        <v>23</v>
      </c>
      <c r="Q7" s="47" t="s">
        <v>25</v>
      </c>
      <c r="R7" s="12"/>
      <c r="S7" s="40" t="s">
        <v>14</v>
      </c>
      <c r="T7" s="40" t="s">
        <v>15</v>
      </c>
      <c r="U7" s="40" t="s">
        <v>16</v>
      </c>
      <c r="V7" s="40" t="s">
        <v>17</v>
      </c>
      <c r="W7" s="40" t="s">
        <v>18</v>
      </c>
      <c r="X7" s="40" t="s">
        <v>24</v>
      </c>
      <c r="Y7" s="38"/>
      <c r="Z7" s="40" t="s">
        <v>19</v>
      </c>
      <c r="AA7" s="40" t="s">
        <v>20</v>
      </c>
      <c r="AB7" s="40" t="s">
        <v>21</v>
      </c>
      <c r="AC7" s="40" t="s">
        <v>22</v>
      </c>
      <c r="AD7" s="40" t="s">
        <v>23</v>
      </c>
      <c r="AE7" s="40" t="s">
        <v>25</v>
      </c>
      <c r="AF7" s="43" t="s">
        <v>156</v>
      </c>
    </row>
    <row r="8" spans="1:32" ht="15" customHeight="1">
      <c r="A8" s="3">
        <v>1</v>
      </c>
      <c r="B8" s="8" t="s">
        <v>26</v>
      </c>
      <c r="C8" s="23" t="s">
        <v>150</v>
      </c>
      <c r="D8" s="44">
        <f t="shared" ref="D8:D39" si="0">SUM(E8:J8)+SUM(L8:Q8)</f>
        <v>560.82226890353422</v>
      </c>
      <c r="E8" s="27" t="s">
        <v>27</v>
      </c>
      <c r="F8" s="41">
        <v>188.65761398561298</v>
      </c>
      <c r="G8" s="41">
        <v>25.47888432788849</v>
      </c>
      <c r="H8" s="41">
        <v>152.07788535499947</v>
      </c>
      <c r="I8" s="41">
        <v>72.878142827175552</v>
      </c>
      <c r="J8" s="48">
        <v>121.72974240785777</v>
      </c>
      <c r="K8" s="13"/>
      <c r="L8" s="27" t="s">
        <v>27</v>
      </c>
      <c r="M8" s="27" t="s">
        <v>27</v>
      </c>
      <c r="N8" s="27" t="s">
        <v>27</v>
      </c>
      <c r="O8" s="27" t="s">
        <v>27</v>
      </c>
      <c r="P8" s="27" t="s">
        <v>27</v>
      </c>
      <c r="Q8" s="48" t="s">
        <v>27</v>
      </c>
      <c r="R8" s="13"/>
      <c r="S8" s="27" t="s">
        <v>27</v>
      </c>
      <c r="T8" s="41">
        <v>30.571999844163656</v>
      </c>
      <c r="U8" s="41">
        <v>9.0399999916553497</v>
      </c>
      <c r="V8" s="41">
        <v>73.521999375894666</v>
      </c>
      <c r="W8" s="41">
        <v>114.40300045162439</v>
      </c>
      <c r="X8" s="41">
        <v>644.32402824610472</v>
      </c>
      <c r="Y8" s="27"/>
      <c r="Z8" s="27" t="s">
        <v>27</v>
      </c>
      <c r="AA8" s="27" t="s">
        <v>27</v>
      </c>
      <c r="AB8" s="27" t="s">
        <v>27</v>
      </c>
      <c r="AC8" s="27" t="s">
        <v>27</v>
      </c>
      <c r="AD8" s="27" t="s">
        <v>27</v>
      </c>
      <c r="AE8" s="27" t="s">
        <v>27</v>
      </c>
      <c r="AF8" s="44">
        <f t="shared" ref="AF8:AF39" si="1">SUM(S8:AE8)</f>
        <v>871.86102790944278</v>
      </c>
    </row>
    <row r="9" spans="1:32" ht="15" customHeight="1">
      <c r="A9" s="3">
        <v>2</v>
      </c>
      <c r="B9" s="8" t="s">
        <v>28</v>
      </c>
      <c r="C9" s="23" t="s">
        <v>150</v>
      </c>
      <c r="D9" s="44">
        <f t="shared" si="0"/>
        <v>455.47024672613071</v>
      </c>
      <c r="E9" s="27" t="s">
        <v>27</v>
      </c>
      <c r="F9" s="41">
        <v>99.871618046224114</v>
      </c>
      <c r="G9" s="41">
        <v>52.862784746736288</v>
      </c>
      <c r="H9" s="41">
        <v>123.95569840791448</v>
      </c>
      <c r="I9" s="41">
        <v>67.938257875278595</v>
      </c>
      <c r="J9" s="48">
        <v>110.8418876499772</v>
      </c>
      <c r="K9" s="13"/>
      <c r="L9" s="27" t="s">
        <v>27</v>
      </c>
      <c r="M9" s="27" t="s">
        <v>27</v>
      </c>
      <c r="N9" s="27" t="s">
        <v>27</v>
      </c>
      <c r="O9" s="27" t="s">
        <v>27</v>
      </c>
      <c r="P9" s="27" t="s">
        <v>27</v>
      </c>
      <c r="Q9" s="48" t="s">
        <v>27</v>
      </c>
      <c r="R9" s="13"/>
      <c r="S9" s="27" t="s">
        <v>27</v>
      </c>
      <c r="T9" s="41">
        <v>17.485000163316727</v>
      </c>
      <c r="U9" s="41">
        <v>10.578999936580658</v>
      </c>
      <c r="V9" s="41">
        <v>53.606000362895429</v>
      </c>
      <c r="W9" s="41">
        <v>88.17699958011508</v>
      </c>
      <c r="X9" s="41">
        <v>520.95900930464268</v>
      </c>
      <c r="Y9" s="27"/>
      <c r="Z9" s="27" t="s">
        <v>27</v>
      </c>
      <c r="AA9" s="27" t="s">
        <v>27</v>
      </c>
      <c r="AB9" s="27" t="s">
        <v>27</v>
      </c>
      <c r="AC9" s="27" t="s">
        <v>27</v>
      </c>
      <c r="AD9" s="27" t="s">
        <v>27</v>
      </c>
      <c r="AE9" s="27" t="s">
        <v>27</v>
      </c>
      <c r="AF9" s="44">
        <f t="shared" si="1"/>
        <v>690.80600934755057</v>
      </c>
    </row>
    <row r="10" spans="1:32" ht="15" customHeight="1">
      <c r="A10" s="3">
        <v>3</v>
      </c>
      <c r="B10" s="8" t="s">
        <v>29</v>
      </c>
      <c r="C10" s="23" t="s">
        <v>151</v>
      </c>
      <c r="D10" s="44">
        <f t="shared" si="0"/>
        <v>612.3200730266617</v>
      </c>
      <c r="E10" s="27" t="s">
        <v>27</v>
      </c>
      <c r="F10" s="41">
        <v>281.40431032145023</v>
      </c>
      <c r="G10" s="41">
        <v>26.352634709000586</v>
      </c>
      <c r="H10" s="41">
        <v>56.800834389209747</v>
      </c>
      <c r="I10" s="41">
        <v>24.194622906297447</v>
      </c>
      <c r="J10" s="48">
        <v>46.40161274900349</v>
      </c>
      <c r="K10" s="13"/>
      <c r="L10" s="27" t="s">
        <v>27</v>
      </c>
      <c r="M10" s="27" t="s">
        <v>27</v>
      </c>
      <c r="N10" s="41">
        <v>67.943999528884888</v>
      </c>
      <c r="O10" s="27" t="s">
        <v>27</v>
      </c>
      <c r="P10" s="41">
        <v>63.227917962282895</v>
      </c>
      <c r="Q10" s="48">
        <v>45.994140460532329</v>
      </c>
      <c r="R10" s="13"/>
      <c r="S10" s="27" t="s">
        <v>27</v>
      </c>
      <c r="T10" s="41">
        <v>21.00599979609251</v>
      </c>
      <c r="U10" s="41">
        <v>4.5870001316070557</v>
      </c>
      <c r="V10" s="41">
        <v>37.531999737024307</v>
      </c>
      <c r="W10" s="41">
        <v>35.126999944448471</v>
      </c>
      <c r="X10" s="41">
        <v>233.9099984401837</v>
      </c>
      <c r="Y10" s="27"/>
      <c r="Z10" s="27" t="s">
        <v>27</v>
      </c>
      <c r="AA10" s="27" t="s">
        <v>27</v>
      </c>
      <c r="AB10" s="41">
        <v>3.5759999752044678</v>
      </c>
      <c r="AC10" s="27" t="s">
        <v>27</v>
      </c>
      <c r="AD10" s="41">
        <v>8.8789998441934586</v>
      </c>
      <c r="AE10" s="41">
        <v>53.873999059200287</v>
      </c>
      <c r="AF10" s="44">
        <f t="shared" si="1"/>
        <v>398.49099692795426</v>
      </c>
    </row>
    <row r="11" spans="1:32" ht="15" customHeight="1">
      <c r="A11" s="3">
        <v>4</v>
      </c>
      <c r="B11" s="8" t="s">
        <v>30</v>
      </c>
      <c r="C11" s="23" t="s">
        <v>150</v>
      </c>
      <c r="D11" s="44">
        <f t="shared" si="0"/>
        <v>270.90051104565867</v>
      </c>
      <c r="E11" s="27" t="s">
        <v>27</v>
      </c>
      <c r="F11" s="41">
        <v>139.55534268803893</v>
      </c>
      <c r="G11" s="41">
        <v>14.726869852349163</v>
      </c>
      <c r="H11" s="41">
        <v>50.14689984816313</v>
      </c>
      <c r="I11" s="41">
        <v>25.92887198155746</v>
      </c>
      <c r="J11" s="48">
        <v>40.54252667555</v>
      </c>
      <c r="K11" s="13"/>
      <c r="L11" s="27" t="s">
        <v>27</v>
      </c>
      <c r="M11" s="27" t="s">
        <v>27</v>
      </c>
      <c r="N11" s="27" t="s">
        <v>27</v>
      </c>
      <c r="O11" s="27" t="s">
        <v>27</v>
      </c>
      <c r="P11" s="27" t="s">
        <v>27</v>
      </c>
      <c r="Q11" s="48" t="s">
        <v>27</v>
      </c>
      <c r="R11" s="13"/>
      <c r="S11" s="27" t="s">
        <v>27</v>
      </c>
      <c r="T11" s="41">
        <v>25.233999863266945</v>
      </c>
      <c r="U11" s="41">
        <v>8.6889998875558376</v>
      </c>
      <c r="V11" s="41">
        <v>25.191999984905124</v>
      </c>
      <c r="W11" s="41">
        <v>65.533000405877829</v>
      </c>
      <c r="X11" s="41">
        <v>288.96800699830055</v>
      </c>
      <c r="Y11" s="27"/>
      <c r="Z11" s="27" t="s">
        <v>27</v>
      </c>
      <c r="AA11" s="27" t="s">
        <v>27</v>
      </c>
      <c r="AB11" s="27" t="s">
        <v>27</v>
      </c>
      <c r="AC11" s="27" t="s">
        <v>27</v>
      </c>
      <c r="AD11" s="27" t="s">
        <v>27</v>
      </c>
      <c r="AE11" s="27" t="s">
        <v>27</v>
      </c>
      <c r="AF11" s="44">
        <f t="shared" si="1"/>
        <v>413.61600713990629</v>
      </c>
    </row>
    <row r="12" spans="1:32" ht="15" customHeight="1">
      <c r="A12" s="3">
        <v>5</v>
      </c>
      <c r="B12" s="8" t="s">
        <v>31</v>
      </c>
      <c r="C12" s="23" t="s">
        <v>151</v>
      </c>
      <c r="D12" s="44">
        <f t="shared" si="0"/>
        <v>1476.9750014508556</v>
      </c>
      <c r="E12" s="41">
        <v>267.11588596856592</v>
      </c>
      <c r="F12" s="41">
        <v>151.23240584731101</v>
      </c>
      <c r="G12" s="41">
        <v>213.53236598002539</v>
      </c>
      <c r="H12" s="41">
        <v>202.89018751198054</v>
      </c>
      <c r="I12" s="41">
        <v>116.129026219666</v>
      </c>
      <c r="J12" s="48">
        <v>159.37965214959215</v>
      </c>
      <c r="K12" s="13"/>
      <c r="L12" s="27" t="s">
        <v>27</v>
      </c>
      <c r="M12" s="41">
        <v>25.711964306831359</v>
      </c>
      <c r="N12" s="41">
        <v>132.37838902373613</v>
      </c>
      <c r="O12" s="41">
        <v>81.003887667182838</v>
      </c>
      <c r="P12" s="41">
        <v>58.004814260736104</v>
      </c>
      <c r="Q12" s="48">
        <v>69.596422515228213</v>
      </c>
      <c r="R12" s="13"/>
      <c r="S12" s="41">
        <v>8.4379999041557312</v>
      </c>
      <c r="T12" s="41">
        <v>19.81000030040741</v>
      </c>
      <c r="U12" s="41">
        <v>30.126000318676233</v>
      </c>
      <c r="V12" s="41">
        <v>81.272000074386597</v>
      </c>
      <c r="W12" s="41">
        <v>127.36699979007244</v>
      </c>
      <c r="X12" s="41">
        <v>674.28601789474487</v>
      </c>
      <c r="Y12" s="27"/>
      <c r="Z12" s="27" t="s">
        <v>27</v>
      </c>
      <c r="AA12" s="41">
        <v>2.5469999313354492</v>
      </c>
      <c r="AB12" s="41">
        <v>8.0549999848008156</v>
      </c>
      <c r="AC12" s="41">
        <v>15.518999699503183</v>
      </c>
      <c r="AD12" s="41">
        <v>9.7619998827576637</v>
      </c>
      <c r="AE12" s="41">
        <v>91.281999230384827</v>
      </c>
      <c r="AF12" s="44">
        <f t="shared" si="1"/>
        <v>1068.4640170112252</v>
      </c>
    </row>
    <row r="13" spans="1:32" ht="15" customHeight="1">
      <c r="A13" s="3">
        <v>6</v>
      </c>
      <c r="B13" s="8" t="s">
        <v>32</v>
      </c>
      <c r="C13" s="23" t="s">
        <v>150</v>
      </c>
      <c r="D13" s="44">
        <f t="shared" si="0"/>
        <v>518.85660152784567</v>
      </c>
      <c r="E13" s="41">
        <v>263.16252423381803</v>
      </c>
      <c r="F13" s="27" t="s">
        <v>27</v>
      </c>
      <c r="G13" s="41">
        <v>35.00122083854675</v>
      </c>
      <c r="H13" s="41">
        <v>122.90853234118224</v>
      </c>
      <c r="I13" s="41">
        <v>38.615213733650741</v>
      </c>
      <c r="J13" s="48">
        <v>59.169110380647822</v>
      </c>
      <c r="K13" s="13"/>
      <c r="L13" s="27" t="s">
        <v>27</v>
      </c>
      <c r="M13" s="27" t="s">
        <v>27</v>
      </c>
      <c r="N13" s="27" t="s">
        <v>27</v>
      </c>
      <c r="O13" s="27" t="s">
        <v>27</v>
      </c>
      <c r="P13" s="27" t="s">
        <v>27</v>
      </c>
      <c r="Q13" s="48" t="s">
        <v>27</v>
      </c>
      <c r="R13" s="13"/>
      <c r="S13" s="41">
        <v>13.308000087738037</v>
      </c>
      <c r="T13" s="27" t="s">
        <v>27</v>
      </c>
      <c r="U13" s="41">
        <v>12.541999936103821</v>
      </c>
      <c r="V13" s="41">
        <v>51.969999887049198</v>
      </c>
      <c r="W13" s="41">
        <v>61.857000086456537</v>
      </c>
      <c r="X13" s="41">
        <v>317.1719987988472</v>
      </c>
      <c r="Y13" s="27"/>
      <c r="Z13" s="27" t="s">
        <v>27</v>
      </c>
      <c r="AA13" s="27" t="s">
        <v>27</v>
      </c>
      <c r="AB13" s="27" t="s">
        <v>27</v>
      </c>
      <c r="AC13" s="27" t="s">
        <v>27</v>
      </c>
      <c r="AD13" s="27" t="s">
        <v>27</v>
      </c>
      <c r="AE13" s="27" t="s">
        <v>27</v>
      </c>
      <c r="AF13" s="44">
        <f t="shared" si="1"/>
        <v>456.84899879619479</v>
      </c>
    </row>
    <row r="14" spans="1:32" ht="15" customHeight="1">
      <c r="A14" s="3">
        <v>7</v>
      </c>
      <c r="B14" s="8" t="s">
        <v>33</v>
      </c>
      <c r="C14" s="23" t="s">
        <v>151</v>
      </c>
      <c r="D14" s="44">
        <f t="shared" si="0"/>
        <v>767.71056544603061</v>
      </c>
      <c r="E14" s="27" t="s">
        <v>27</v>
      </c>
      <c r="F14" s="41">
        <v>389.02494744133952</v>
      </c>
      <c r="G14" s="27" t="s">
        <v>27</v>
      </c>
      <c r="H14" s="41">
        <v>129.48610554084928</v>
      </c>
      <c r="I14" s="41">
        <v>23.000836148798466</v>
      </c>
      <c r="J14" s="48">
        <v>48.497988852873434</v>
      </c>
      <c r="K14" s="13"/>
      <c r="L14" s="27" t="s">
        <v>27</v>
      </c>
      <c r="M14" s="27" t="s">
        <v>27</v>
      </c>
      <c r="N14" s="41">
        <v>42.031003477573393</v>
      </c>
      <c r="O14" s="41">
        <v>65.845743193425236</v>
      </c>
      <c r="P14" s="41">
        <v>35.637003893520685</v>
      </c>
      <c r="Q14" s="48">
        <v>34.186936897650611</v>
      </c>
      <c r="R14" s="13"/>
      <c r="S14" s="27" t="s">
        <v>27</v>
      </c>
      <c r="T14" s="41">
        <v>32.530000105500221</v>
      </c>
      <c r="U14" s="27" t="s">
        <v>27</v>
      </c>
      <c r="V14" s="41">
        <v>97.838999684900045</v>
      </c>
      <c r="W14" s="41">
        <v>44.256000109016895</v>
      </c>
      <c r="X14" s="41">
        <v>291.51199990510941</v>
      </c>
      <c r="Y14" s="27"/>
      <c r="Z14" s="27" t="s">
        <v>27</v>
      </c>
      <c r="AA14" s="27" t="s">
        <v>27</v>
      </c>
      <c r="AB14" s="41">
        <v>2.000999927520752</v>
      </c>
      <c r="AC14" s="41">
        <v>7.7429998749867082</v>
      </c>
      <c r="AD14" s="41">
        <v>11.372999986633658</v>
      </c>
      <c r="AE14" s="41">
        <v>66.8790003657341</v>
      </c>
      <c r="AF14" s="44">
        <f t="shared" si="1"/>
        <v>554.13299995940179</v>
      </c>
    </row>
    <row r="15" spans="1:32" ht="15" customHeight="1">
      <c r="A15" s="3">
        <v>8</v>
      </c>
      <c r="B15" s="8" t="s">
        <v>34</v>
      </c>
      <c r="C15" s="23" t="s">
        <v>152</v>
      </c>
      <c r="D15" s="44">
        <f t="shared" si="0"/>
        <v>3903.7158870549565</v>
      </c>
      <c r="E15" s="41">
        <v>710.98002363085743</v>
      </c>
      <c r="F15" s="27" t="s">
        <v>27</v>
      </c>
      <c r="G15" s="27" t="s">
        <v>27</v>
      </c>
      <c r="H15" s="41">
        <v>151.70538746373728</v>
      </c>
      <c r="I15" s="41">
        <v>74.281875869736069</v>
      </c>
      <c r="J15" s="48">
        <v>60.749192369152354</v>
      </c>
      <c r="K15" s="13"/>
      <c r="L15" s="41">
        <v>1572.8751698710919</v>
      </c>
      <c r="M15" s="27" t="s">
        <v>27</v>
      </c>
      <c r="N15" s="41">
        <v>387.70595401351153</v>
      </c>
      <c r="O15" s="41">
        <v>633.06073488584161</v>
      </c>
      <c r="P15" s="41">
        <v>114.54805384194852</v>
      </c>
      <c r="Q15" s="48">
        <v>197.80949510908036</v>
      </c>
      <c r="R15" s="13"/>
      <c r="S15" s="41">
        <v>17.338000118732452</v>
      </c>
      <c r="T15" s="27" t="s">
        <v>27</v>
      </c>
      <c r="U15" s="27" t="s">
        <v>27</v>
      </c>
      <c r="V15" s="41">
        <v>59.036000605672598</v>
      </c>
      <c r="W15" s="41">
        <v>46.952999867498875</v>
      </c>
      <c r="X15" s="41">
        <v>182.14400121569633</v>
      </c>
      <c r="Y15" s="27"/>
      <c r="Z15" s="41">
        <v>16.644999980926514</v>
      </c>
      <c r="AA15" s="27" t="s">
        <v>27</v>
      </c>
      <c r="AB15" s="41">
        <v>13.979000063613057</v>
      </c>
      <c r="AC15" s="41">
        <v>48.542999910190701</v>
      </c>
      <c r="AD15" s="41">
        <v>22.046000182628632</v>
      </c>
      <c r="AE15" s="41">
        <v>282.13098950684071</v>
      </c>
      <c r="AF15" s="44">
        <f t="shared" si="1"/>
        <v>688.81499145179987</v>
      </c>
    </row>
    <row r="16" spans="1:32" ht="15" customHeight="1">
      <c r="A16" s="3">
        <v>9</v>
      </c>
      <c r="B16" s="8" t="s">
        <v>35</v>
      </c>
      <c r="C16" s="23" t="s">
        <v>151</v>
      </c>
      <c r="D16" s="44">
        <f t="shared" si="0"/>
        <v>605.31420163234236</v>
      </c>
      <c r="E16" s="27" t="s">
        <v>27</v>
      </c>
      <c r="F16" s="41">
        <v>198.24485182014854</v>
      </c>
      <c r="G16" s="41">
        <v>83.665665611684318</v>
      </c>
      <c r="H16" s="41">
        <v>34.518641684979201</v>
      </c>
      <c r="I16" s="41">
        <v>56.265776413798335</v>
      </c>
      <c r="J16" s="48">
        <v>39.105776926997514</v>
      </c>
      <c r="K16" s="13"/>
      <c r="L16" s="27" t="s">
        <v>27</v>
      </c>
      <c r="M16" s="27" t="s">
        <v>27</v>
      </c>
      <c r="N16" s="41">
        <v>85.179948594167826</v>
      </c>
      <c r="O16" s="41">
        <v>42.314575631577519</v>
      </c>
      <c r="P16" s="41">
        <v>38.224945661261678</v>
      </c>
      <c r="Q16" s="48">
        <v>27.794019287727341</v>
      </c>
      <c r="R16" s="13"/>
      <c r="S16" s="27" t="s">
        <v>27</v>
      </c>
      <c r="T16" s="41">
        <v>20.353000104427338</v>
      </c>
      <c r="U16" s="41">
        <v>29.186000145971775</v>
      </c>
      <c r="V16" s="41">
        <v>25.367999792098999</v>
      </c>
      <c r="W16" s="41">
        <v>67.840999573469162</v>
      </c>
      <c r="X16" s="41">
        <v>175.52999441884458</v>
      </c>
      <c r="Y16" s="27"/>
      <c r="Z16" s="27" t="s">
        <v>27</v>
      </c>
      <c r="AA16" s="27" t="s">
        <v>27</v>
      </c>
      <c r="AB16" s="41">
        <v>5.8959998972713947</v>
      </c>
      <c r="AC16" s="41">
        <v>5.7860000608488917</v>
      </c>
      <c r="AD16" s="41">
        <v>8.9809999503195286</v>
      </c>
      <c r="AE16" s="41">
        <v>44.903998374938965</v>
      </c>
      <c r="AF16" s="44">
        <f t="shared" si="1"/>
        <v>383.84499231819063</v>
      </c>
    </row>
    <row r="17" spans="1:32" ht="15" customHeight="1">
      <c r="A17" s="3">
        <v>10</v>
      </c>
      <c r="B17" s="8" t="s">
        <v>36</v>
      </c>
      <c r="C17" s="23" t="s">
        <v>152</v>
      </c>
      <c r="D17" s="44">
        <f t="shared" si="0"/>
        <v>1429.1976768849113</v>
      </c>
      <c r="E17" s="41">
        <v>220.20274955987929</v>
      </c>
      <c r="F17" s="41">
        <v>124.15805049571395</v>
      </c>
      <c r="G17" s="27" t="s">
        <v>27</v>
      </c>
      <c r="H17" s="41">
        <v>112.92187670168281</v>
      </c>
      <c r="I17" s="41">
        <v>31.313310980863868</v>
      </c>
      <c r="J17" s="48">
        <v>48.553481582664276</v>
      </c>
      <c r="K17" s="13"/>
      <c r="L17" s="27" t="s">
        <v>27</v>
      </c>
      <c r="M17" s="27" t="s">
        <v>27</v>
      </c>
      <c r="N17" s="41">
        <v>490.58764623562621</v>
      </c>
      <c r="O17" s="41">
        <v>138.86938364951314</v>
      </c>
      <c r="P17" s="41">
        <v>110.26908604677766</v>
      </c>
      <c r="Q17" s="48">
        <v>152.32209163219008</v>
      </c>
      <c r="R17" s="13"/>
      <c r="S17" s="41">
        <v>10.694999992847443</v>
      </c>
      <c r="T17" s="41">
        <v>12.390999652445316</v>
      </c>
      <c r="U17" s="27" t="s">
        <v>27</v>
      </c>
      <c r="V17" s="41">
        <v>30.657000087201595</v>
      </c>
      <c r="W17" s="41">
        <v>34.277000151574612</v>
      </c>
      <c r="X17" s="41">
        <v>205.16599248163402</v>
      </c>
      <c r="Y17" s="27"/>
      <c r="Z17" s="27" t="s">
        <v>27</v>
      </c>
      <c r="AA17" s="27" t="s">
        <v>27</v>
      </c>
      <c r="AB17" s="41">
        <v>22.958000211045146</v>
      </c>
      <c r="AC17" s="41">
        <v>21.968000095337629</v>
      </c>
      <c r="AD17" s="41">
        <v>25.040000032633543</v>
      </c>
      <c r="AE17" s="41">
        <v>240.9079993981868</v>
      </c>
      <c r="AF17" s="44">
        <f t="shared" si="1"/>
        <v>604.05999210290611</v>
      </c>
    </row>
    <row r="18" spans="1:32" ht="15" customHeight="1">
      <c r="A18" s="3">
        <v>11</v>
      </c>
      <c r="B18" s="8" t="s">
        <v>37</v>
      </c>
      <c r="C18" s="23" t="s">
        <v>151</v>
      </c>
      <c r="D18" s="44">
        <f t="shared" si="0"/>
        <v>743.12379808708056</v>
      </c>
      <c r="E18" s="27" t="s">
        <v>27</v>
      </c>
      <c r="F18" s="41">
        <v>133.0404341212213</v>
      </c>
      <c r="G18" s="41">
        <v>108.8108036839366</v>
      </c>
      <c r="H18" s="41">
        <v>31.659219699591397</v>
      </c>
      <c r="I18" s="41">
        <v>37.670951387852433</v>
      </c>
      <c r="J18" s="48">
        <v>50.076241751791393</v>
      </c>
      <c r="K18" s="13"/>
      <c r="L18" s="27" t="s">
        <v>27</v>
      </c>
      <c r="M18" s="27" t="s">
        <v>27</v>
      </c>
      <c r="N18" s="41">
        <v>250.61676209802926</v>
      </c>
      <c r="O18" s="41">
        <v>35.001958343718201</v>
      </c>
      <c r="P18" s="41">
        <v>43.652385930500927</v>
      </c>
      <c r="Q18" s="48">
        <v>52.595041070439017</v>
      </c>
      <c r="R18" s="13"/>
      <c r="S18" s="27" t="s">
        <v>27</v>
      </c>
      <c r="T18" s="41">
        <v>11.272999838925898</v>
      </c>
      <c r="U18" s="41">
        <v>26.234999924898148</v>
      </c>
      <c r="V18" s="41">
        <v>13.703999951481819</v>
      </c>
      <c r="W18" s="41">
        <v>37.538000419735909</v>
      </c>
      <c r="X18" s="41">
        <v>199.53500425815582</v>
      </c>
      <c r="Y18" s="27"/>
      <c r="Z18" s="27" t="s">
        <v>27</v>
      </c>
      <c r="AA18" s="27" t="s">
        <v>27</v>
      </c>
      <c r="AB18" s="41">
        <v>17.18899979814887</v>
      </c>
      <c r="AC18" s="41">
        <v>6.7550000976771116</v>
      </c>
      <c r="AD18" s="41">
        <v>10.140999995172024</v>
      </c>
      <c r="AE18" s="41">
        <v>84.375002838671207</v>
      </c>
      <c r="AF18" s="44">
        <f t="shared" si="1"/>
        <v>406.74500712286681</v>
      </c>
    </row>
    <row r="19" spans="1:32" ht="15" customHeight="1">
      <c r="A19" s="3">
        <v>12</v>
      </c>
      <c r="B19" s="8" t="s">
        <v>38</v>
      </c>
      <c r="C19" s="23" t="s">
        <v>150</v>
      </c>
      <c r="D19" s="44">
        <f t="shared" si="0"/>
        <v>286.22387880292092</v>
      </c>
      <c r="E19" s="27" t="s">
        <v>27</v>
      </c>
      <c r="F19" s="41">
        <v>148.98707363319397</v>
      </c>
      <c r="G19" s="27" t="s">
        <v>27</v>
      </c>
      <c r="H19" s="41">
        <v>82.033391874179244</v>
      </c>
      <c r="I19" s="41">
        <v>20.556238006830217</v>
      </c>
      <c r="J19" s="48">
        <v>34.647175288717499</v>
      </c>
      <c r="K19" s="13"/>
      <c r="L19" s="27" t="s">
        <v>27</v>
      </c>
      <c r="M19" s="27" t="s">
        <v>27</v>
      </c>
      <c r="N19" s="27" t="s">
        <v>27</v>
      </c>
      <c r="O19" s="27" t="s">
        <v>27</v>
      </c>
      <c r="P19" s="27" t="s">
        <v>27</v>
      </c>
      <c r="Q19" s="48" t="s">
        <v>27</v>
      </c>
      <c r="R19" s="13"/>
      <c r="S19" s="27" t="s">
        <v>27</v>
      </c>
      <c r="T19" s="41">
        <v>19.857000350952148</v>
      </c>
      <c r="U19" s="27" t="s">
        <v>27</v>
      </c>
      <c r="V19" s="41">
        <v>61.440000645816326</v>
      </c>
      <c r="W19" s="41">
        <v>47.714000105857849</v>
      </c>
      <c r="X19" s="41">
        <v>234.15599435567856</v>
      </c>
      <c r="Y19" s="27"/>
      <c r="Z19" s="27" t="s">
        <v>27</v>
      </c>
      <c r="AA19" s="27" t="s">
        <v>27</v>
      </c>
      <c r="AB19" s="27" t="s">
        <v>27</v>
      </c>
      <c r="AC19" s="27" t="s">
        <v>27</v>
      </c>
      <c r="AD19" s="27" t="s">
        <v>27</v>
      </c>
      <c r="AE19" s="27" t="s">
        <v>27</v>
      </c>
      <c r="AF19" s="44">
        <f t="shared" si="1"/>
        <v>363.16699545830488</v>
      </c>
    </row>
    <row r="20" spans="1:32" ht="15" customHeight="1">
      <c r="A20" s="3">
        <v>13</v>
      </c>
      <c r="B20" s="8" t="s">
        <v>39</v>
      </c>
      <c r="C20" s="23" t="s">
        <v>150</v>
      </c>
      <c r="D20" s="44">
        <f t="shared" si="0"/>
        <v>453.69810841656556</v>
      </c>
      <c r="E20" s="27" t="s">
        <v>27</v>
      </c>
      <c r="F20" s="41">
        <v>212.38161736655235</v>
      </c>
      <c r="G20" s="27" t="s">
        <v>27</v>
      </c>
      <c r="H20" s="41">
        <v>118.74083598780074</v>
      </c>
      <c r="I20" s="41">
        <v>66.273732217490675</v>
      </c>
      <c r="J20" s="48">
        <v>56.301922844721823</v>
      </c>
      <c r="K20" s="13"/>
      <c r="L20" s="27" t="s">
        <v>27</v>
      </c>
      <c r="M20" s="27" t="s">
        <v>27</v>
      </c>
      <c r="N20" s="27" t="s">
        <v>27</v>
      </c>
      <c r="O20" s="27" t="s">
        <v>27</v>
      </c>
      <c r="P20" s="27" t="s">
        <v>27</v>
      </c>
      <c r="Q20" s="48" t="s">
        <v>27</v>
      </c>
      <c r="R20" s="13"/>
      <c r="S20" s="27" t="s">
        <v>27</v>
      </c>
      <c r="T20" s="41">
        <v>27.505000233650208</v>
      </c>
      <c r="U20" s="27" t="s">
        <v>27</v>
      </c>
      <c r="V20" s="41">
        <v>76.195000019855797</v>
      </c>
      <c r="W20" s="41">
        <v>125.94900044798851</v>
      </c>
      <c r="X20" s="41">
        <v>335.81298542022705</v>
      </c>
      <c r="Y20" s="27"/>
      <c r="Z20" s="27" t="s">
        <v>27</v>
      </c>
      <c r="AA20" s="27" t="s">
        <v>27</v>
      </c>
      <c r="AB20" s="27" t="s">
        <v>27</v>
      </c>
      <c r="AC20" s="27" t="s">
        <v>27</v>
      </c>
      <c r="AD20" s="27" t="s">
        <v>27</v>
      </c>
      <c r="AE20" s="27" t="s">
        <v>27</v>
      </c>
      <c r="AF20" s="44">
        <f t="shared" si="1"/>
        <v>565.46198612172157</v>
      </c>
    </row>
    <row r="21" spans="1:32" ht="15" customHeight="1">
      <c r="A21" s="3">
        <v>14</v>
      </c>
      <c r="B21" s="8" t="s">
        <v>40</v>
      </c>
      <c r="C21" s="23" t="s">
        <v>150</v>
      </c>
      <c r="D21" s="44">
        <f t="shared" si="0"/>
        <v>463.38953978374417</v>
      </c>
      <c r="E21" s="27" t="s">
        <v>27</v>
      </c>
      <c r="F21" s="41">
        <v>159.82401335058734</v>
      </c>
      <c r="G21" s="41">
        <v>48.186841747283935</v>
      </c>
      <c r="H21" s="41">
        <v>92.473475297302002</v>
      </c>
      <c r="I21" s="41">
        <v>60.181176668047904</v>
      </c>
      <c r="J21" s="48">
        <v>102.72403272052298</v>
      </c>
      <c r="K21" s="13"/>
      <c r="L21" s="27" t="s">
        <v>27</v>
      </c>
      <c r="M21" s="27" t="s">
        <v>27</v>
      </c>
      <c r="N21" s="27" t="s">
        <v>27</v>
      </c>
      <c r="O21" s="27" t="s">
        <v>27</v>
      </c>
      <c r="P21" s="27" t="s">
        <v>27</v>
      </c>
      <c r="Q21" s="48" t="s">
        <v>27</v>
      </c>
      <c r="R21" s="13"/>
      <c r="S21" s="27" t="s">
        <v>27</v>
      </c>
      <c r="T21" s="41">
        <v>31.811000289395452</v>
      </c>
      <c r="U21" s="41">
        <v>17.596999943256378</v>
      </c>
      <c r="V21" s="41">
        <v>65.528000187128782</v>
      </c>
      <c r="W21" s="41">
        <v>126.80199943482876</v>
      </c>
      <c r="X21" s="41">
        <v>653.49901581555605</v>
      </c>
      <c r="Y21" s="27"/>
      <c r="Z21" s="27" t="s">
        <v>27</v>
      </c>
      <c r="AA21" s="27" t="s">
        <v>27</v>
      </c>
      <c r="AB21" s="27" t="s">
        <v>27</v>
      </c>
      <c r="AC21" s="27" t="s">
        <v>27</v>
      </c>
      <c r="AD21" s="27" t="s">
        <v>27</v>
      </c>
      <c r="AE21" s="27" t="s">
        <v>27</v>
      </c>
      <c r="AF21" s="44">
        <f t="shared" si="1"/>
        <v>895.23701567016542</v>
      </c>
    </row>
    <row r="22" spans="1:32" ht="15" customHeight="1">
      <c r="A22" s="3">
        <v>15</v>
      </c>
      <c r="B22" s="8" t="s">
        <v>41</v>
      </c>
      <c r="C22" s="23" t="s">
        <v>158</v>
      </c>
      <c r="D22" s="44">
        <f t="shared" si="0"/>
        <v>2296.9422280602794</v>
      </c>
      <c r="E22" s="41">
        <v>676.50606725120542</v>
      </c>
      <c r="F22" s="41">
        <v>8.0430998653173447</v>
      </c>
      <c r="G22" s="41">
        <v>153.83386845495923</v>
      </c>
      <c r="H22" s="41">
        <v>61.668579296112064</v>
      </c>
      <c r="I22" s="41">
        <v>40.43399462002516</v>
      </c>
      <c r="J22" s="48">
        <v>68.293171523916158</v>
      </c>
      <c r="K22" s="13"/>
      <c r="L22" s="41">
        <v>649.28369447588921</v>
      </c>
      <c r="M22" s="27" t="s">
        <v>27</v>
      </c>
      <c r="N22" s="41">
        <v>341.10551569416373</v>
      </c>
      <c r="O22" s="41">
        <v>103.76216859993339</v>
      </c>
      <c r="P22" s="41">
        <v>51.11174464726448</v>
      </c>
      <c r="Q22" s="48">
        <v>142.90032363149288</v>
      </c>
      <c r="R22" s="13"/>
      <c r="S22" s="41">
        <v>12.27400016784668</v>
      </c>
      <c r="T22" s="41">
        <v>0.29899999499320984</v>
      </c>
      <c r="U22" s="41">
        <v>24.109999891370535</v>
      </c>
      <c r="V22" s="41">
        <v>19.843999862670898</v>
      </c>
      <c r="W22" s="41">
        <v>47.55600069463253</v>
      </c>
      <c r="X22" s="41">
        <v>301.81900362670422</v>
      </c>
      <c r="Y22" s="27"/>
      <c r="Z22" s="41">
        <v>7.598000168800354</v>
      </c>
      <c r="AA22" s="27" t="s">
        <v>27</v>
      </c>
      <c r="AB22" s="41">
        <v>26.609000196680427</v>
      </c>
      <c r="AC22" s="41">
        <v>13.909000068902969</v>
      </c>
      <c r="AD22" s="41">
        <v>13.226000130176544</v>
      </c>
      <c r="AE22" s="41">
        <v>245.2249955162406</v>
      </c>
      <c r="AF22" s="44">
        <f t="shared" si="1"/>
        <v>712.46900031901896</v>
      </c>
    </row>
    <row r="23" spans="1:32" ht="15" customHeight="1">
      <c r="A23" s="3">
        <v>16</v>
      </c>
      <c r="B23" s="8" t="s">
        <v>42</v>
      </c>
      <c r="C23" s="23" t="s">
        <v>150</v>
      </c>
      <c r="D23" s="44">
        <f t="shared" si="0"/>
        <v>444.12108061066851</v>
      </c>
      <c r="E23" s="27" t="s">
        <v>27</v>
      </c>
      <c r="F23" s="41">
        <v>138.59434440156818</v>
      </c>
      <c r="G23" s="27" t="s">
        <v>27</v>
      </c>
      <c r="H23" s="41">
        <v>196.29430834293365</v>
      </c>
      <c r="I23" s="41">
        <v>39.647442972809074</v>
      </c>
      <c r="J23" s="48">
        <v>69.584984893357642</v>
      </c>
      <c r="K23" s="13"/>
      <c r="L23" s="27" t="s">
        <v>27</v>
      </c>
      <c r="M23" s="27" t="s">
        <v>27</v>
      </c>
      <c r="N23" s="27" t="s">
        <v>27</v>
      </c>
      <c r="O23" s="27" t="s">
        <v>27</v>
      </c>
      <c r="P23" s="27" t="s">
        <v>27</v>
      </c>
      <c r="Q23" s="48" t="s">
        <v>27</v>
      </c>
      <c r="R23" s="13"/>
      <c r="S23" s="27" t="s">
        <v>27</v>
      </c>
      <c r="T23" s="41">
        <v>17.786000415682793</v>
      </c>
      <c r="U23" s="27" t="s">
        <v>27</v>
      </c>
      <c r="V23" s="41">
        <v>90.914999723434448</v>
      </c>
      <c r="W23" s="41">
        <v>92.148000106215477</v>
      </c>
      <c r="X23" s="41">
        <v>470.66099515557289</v>
      </c>
      <c r="Y23" s="27"/>
      <c r="Z23" s="27" t="s">
        <v>27</v>
      </c>
      <c r="AA23" s="27" t="s">
        <v>27</v>
      </c>
      <c r="AB23" s="27" t="s">
        <v>27</v>
      </c>
      <c r="AC23" s="27" t="s">
        <v>27</v>
      </c>
      <c r="AD23" s="27" t="s">
        <v>27</v>
      </c>
      <c r="AE23" s="27" t="s">
        <v>27</v>
      </c>
      <c r="AF23" s="44">
        <f t="shared" si="1"/>
        <v>671.50999540090561</v>
      </c>
    </row>
    <row r="24" spans="1:32" ht="15" customHeight="1">
      <c r="A24" s="3">
        <v>17</v>
      </c>
      <c r="B24" s="8" t="s">
        <v>43</v>
      </c>
      <c r="C24" s="23" t="s">
        <v>151</v>
      </c>
      <c r="D24" s="44">
        <f t="shared" si="0"/>
        <v>525.59464398060436</v>
      </c>
      <c r="E24" s="41">
        <v>38.45969896316528</v>
      </c>
      <c r="F24" s="41">
        <v>158.77809131279588</v>
      </c>
      <c r="G24" s="27" t="s">
        <v>27</v>
      </c>
      <c r="H24" s="41">
        <v>121.15443694978953</v>
      </c>
      <c r="I24" s="41">
        <v>23.350185991168022</v>
      </c>
      <c r="J24" s="48">
        <v>48.238597806867425</v>
      </c>
      <c r="K24" s="13"/>
      <c r="L24" s="27" t="s">
        <v>27</v>
      </c>
      <c r="M24" s="27" t="s">
        <v>27</v>
      </c>
      <c r="N24" s="41">
        <v>18.974400115013122</v>
      </c>
      <c r="O24" s="41">
        <v>91.909707816690201</v>
      </c>
      <c r="P24" s="41">
        <v>4.245409979566932</v>
      </c>
      <c r="Q24" s="48">
        <v>20.484115045547917</v>
      </c>
      <c r="R24" s="13"/>
      <c r="S24" s="41">
        <v>2.5469999313354492</v>
      </c>
      <c r="T24" s="41">
        <v>19.36700014770031</v>
      </c>
      <c r="U24" s="27" t="s">
        <v>27</v>
      </c>
      <c r="V24" s="41">
        <v>75.201000735163689</v>
      </c>
      <c r="W24" s="41">
        <v>66.792000353336334</v>
      </c>
      <c r="X24" s="41">
        <v>371.46801367029548</v>
      </c>
      <c r="Y24" s="27"/>
      <c r="Z24" s="27" t="s">
        <v>27</v>
      </c>
      <c r="AA24" s="27" t="s">
        <v>27</v>
      </c>
      <c r="AB24" s="41">
        <v>1.4160000085830688</v>
      </c>
      <c r="AC24" s="41">
        <v>14.865999929606915</v>
      </c>
      <c r="AD24" s="41">
        <v>1.9769999869167805</v>
      </c>
      <c r="AE24" s="41">
        <v>50.744000345468521</v>
      </c>
      <c r="AF24" s="44">
        <f t="shared" si="1"/>
        <v>604.37801510840654</v>
      </c>
    </row>
    <row r="25" spans="1:32" ht="15" customHeight="1">
      <c r="A25" s="3">
        <v>18</v>
      </c>
      <c r="B25" s="8" t="s">
        <v>44</v>
      </c>
      <c r="C25" s="23" t="s">
        <v>151</v>
      </c>
      <c r="D25" s="44">
        <f t="shared" si="0"/>
        <v>826.80929145175833</v>
      </c>
      <c r="E25" s="27" t="s">
        <v>27</v>
      </c>
      <c r="F25" s="41">
        <v>188.3628963624239</v>
      </c>
      <c r="G25" s="27" t="s">
        <v>27</v>
      </c>
      <c r="H25" s="41">
        <v>131.28365981650353</v>
      </c>
      <c r="I25" s="41">
        <v>55.508775479145349</v>
      </c>
      <c r="J25" s="48">
        <v>147.53703883929558</v>
      </c>
      <c r="K25" s="13"/>
      <c r="L25" s="27" t="s">
        <v>27</v>
      </c>
      <c r="M25" s="27" t="s">
        <v>27</v>
      </c>
      <c r="N25" s="41">
        <v>115.3684942830801</v>
      </c>
      <c r="O25" s="41">
        <v>86.187907370395962</v>
      </c>
      <c r="P25" s="41">
        <v>42.333187978982927</v>
      </c>
      <c r="Q25" s="48">
        <v>60.227331321931104</v>
      </c>
      <c r="R25" s="13"/>
      <c r="S25" s="27" t="s">
        <v>27</v>
      </c>
      <c r="T25" s="41">
        <v>31.738999992609024</v>
      </c>
      <c r="U25" s="27" t="s">
        <v>27</v>
      </c>
      <c r="V25" s="41">
        <v>35.744999885559082</v>
      </c>
      <c r="W25" s="41">
        <v>82.012000355869532</v>
      </c>
      <c r="X25" s="41">
        <v>751.90197736024857</v>
      </c>
      <c r="Y25" s="27"/>
      <c r="Z25" s="27" t="s">
        <v>27</v>
      </c>
      <c r="AA25" s="27" t="s">
        <v>27</v>
      </c>
      <c r="AB25" s="41">
        <v>8.2650000303983688</v>
      </c>
      <c r="AC25" s="41">
        <v>9.7149999104440212</v>
      </c>
      <c r="AD25" s="41">
        <v>10.107999987900257</v>
      </c>
      <c r="AE25" s="41">
        <v>98.288996905088425</v>
      </c>
      <c r="AF25" s="44">
        <f t="shared" si="1"/>
        <v>1027.7749744281173</v>
      </c>
    </row>
    <row r="26" spans="1:32" ht="15" customHeight="1">
      <c r="A26" s="3">
        <v>19</v>
      </c>
      <c r="B26" s="8" t="s">
        <v>45</v>
      </c>
      <c r="C26" s="23" t="s">
        <v>152</v>
      </c>
      <c r="D26" s="44">
        <f t="shared" si="0"/>
        <v>2215.2352160951259</v>
      </c>
      <c r="E26" s="27" t="s">
        <v>27</v>
      </c>
      <c r="F26" s="41">
        <v>184.99312360987068</v>
      </c>
      <c r="G26" s="41">
        <v>9.9141639261841767</v>
      </c>
      <c r="H26" s="41">
        <v>41.217078833371403</v>
      </c>
      <c r="I26" s="41">
        <v>29.564395693540572</v>
      </c>
      <c r="J26" s="48">
        <v>45.002970306868114</v>
      </c>
      <c r="K26" s="13"/>
      <c r="L26" s="41">
        <v>851.478079439044</v>
      </c>
      <c r="M26" s="41">
        <v>29.734800589084625</v>
      </c>
      <c r="N26" s="41">
        <v>632.93963730087137</v>
      </c>
      <c r="O26" s="41">
        <v>144.95522394390403</v>
      </c>
      <c r="P26" s="41">
        <v>113.23994734941796</v>
      </c>
      <c r="Q26" s="48">
        <v>132.19579510296879</v>
      </c>
      <c r="R26" s="13"/>
      <c r="S26" s="27" t="s">
        <v>27</v>
      </c>
      <c r="T26" s="41">
        <v>15.936999879777431</v>
      </c>
      <c r="U26" s="41">
        <v>4.5279999673366547</v>
      </c>
      <c r="V26" s="41">
        <v>26.423999927937984</v>
      </c>
      <c r="W26" s="41">
        <v>30.095000416040421</v>
      </c>
      <c r="X26" s="41">
        <v>181.72500729560852</v>
      </c>
      <c r="Y26" s="27"/>
      <c r="Z26" s="41">
        <v>9.5339998006820679</v>
      </c>
      <c r="AA26" s="41">
        <v>0.69800001382827759</v>
      </c>
      <c r="AB26" s="41">
        <v>32.673000207170844</v>
      </c>
      <c r="AC26" s="41">
        <v>20.680000070482492</v>
      </c>
      <c r="AD26" s="41">
        <v>31.794000161811709</v>
      </c>
      <c r="AE26" s="41">
        <v>238.72100641578436</v>
      </c>
      <c r="AF26" s="44">
        <f t="shared" si="1"/>
        <v>592.80901415646076</v>
      </c>
    </row>
    <row r="27" spans="1:32" ht="15" customHeight="1">
      <c r="A27" s="3">
        <v>20</v>
      </c>
      <c r="B27" s="8" t="s">
        <v>46</v>
      </c>
      <c r="C27" s="23" t="s">
        <v>150</v>
      </c>
      <c r="D27" s="44">
        <f t="shared" si="0"/>
        <v>158.36460188027721</v>
      </c>
      <c r="E27" s="27" t="s">
        <v>27</v>
      </c>
      <c r="F27" s="41">
        <v>33.773768963813779</v>
      </c>
      <c r="G27" s="41">
        <v>21.168222507357598</v>
      </c>
      <c r="H27" s="41">
        <v>63.941147376507523</v>
      </c>
      <c r="I27" s="41">
        <v>15.727876721918584</v>
      </c>
      <c r="J27" s="48">
        <v>23.753586310679697</v>
      </c>
      <c r="K27" s="13"/>
      <c r="L27" s="27" t="s">
        <v>27</v>
      </c>
      <c r="M27" s="27" t="s">
        <v>27</v>
      </c>
      <c r="N27" s="27" t="s">
        <v>27</v>
      </c>
      <c r="O27" s="27" t="s">
        <v>27</v>
      </c>
      <c r="P27" s="27" t="s">
        <v>27</v>
      </c>
      <c r="Q27" s="48" t="s">
        <v>27</v>
      </c>
      <c r="R27" s="13"/>
      <c r="S27" s="27" t="s">
        <v>27</v>
      </c>
      <c r="T27" s="41">
        <v>12.654999613761902</v>
      </c>
      <c r="U27" s="41">
        <v>19.18999969959259</v>
      </c>
      <c r="V27" s="41">
        <v>38.91299955919385</v>
      </c>
      <c r="W27" s="41">
        <v>56.029999315738678</v>
      </c>
      <c r="X27" s="41">
        <v>209.8020042181015</v>
      </c>
      <c r="Y27" s="27"/>
      <c r="Z27" s="27" t="s">
        <v>27</v>
      </c>
      <c r="AA27" s="27" t="s">
        <v>27</v>
      </c>
      <c r="AB27" s="27" t="s">
        <v>27</v>
      </c>
      <c r="AC27" s="27" t="s">
        <v>27</v>
      </c>
      <c r="AD27" s="27" t="s">
        <v>27</v>
      </c>
      <c r="AE27" s="27" t="s">
        <v>27</v>
      </c>
      <c r="AF27" s="44">
        <f t="shared" si="1"/>
        <v>336.59000240638852</v>
      </c>
    </row>
    <row r="28" spans="1:32" ht="15" customHeight="1">
      <c r="A28" s="3">
        <v>21</v>
      </c>
      <c r="B28" s="8" t="s">
        <v>47</v>
      </c>
      <c r="C28" s="23" t="s">
        <v>150</v>
      </c>
      <c r="D28" s="44">
        <f t="shared" si="0"/>
        <v>670.98454940743989</v>
      </c>
      <c r="E28" s="41">
        <v>383.59912500000002</v>
      </c>
      <c r="F28" s="27" t="s">
        <v>27</v>
      </c>
      <c r="G28" s="27" t="s">
        <v>27</v>
      </c>
      <c r="H28" s="41">
        <v>241.79577441041172</v>
      </c>
      <c r="I28" s="41">
        <v>16.937401110678913</v>
      </c>
      <c r="J28" s="48">
        <v>28.652248886349152</v>
      </c>
      <c r="K28" s="13"/>
      <c r="L28" s="27" t="s">
        <v>27</v>
      </c>
      <c r="M28" s="27" t="s">
        <v>27</v>
      </c>
      <c r="N28" s="27" t="s">
        <v>27</v>
      </c>
      <c r="O28" s="27" t="s">
        <v>27</v>
      </c>
      <c r="P28" s="27" t="s">
        <v>27</v>
      </c>
      <c r="Q28" s="48" t="s">
        <v>27</v>
      </c>
      <c r="R28" s="13"/>
      <c r="S28" s="41">
        <v>14.625</v>
      </c>
      <c r="T28" s="27" t="s">
        <v>27</v>
      </c>
      <c r="U28" s="27" t="s">
        <v>27</v>
      </c>
      <c r="V28" s="41">
        <v>62.64300000667572</v>
      </c>
      <c r="W28" s="41">
        <v>26.533000126481056</v>
      </c>
      <c r="X28" s="41">
        <v>151.46200003661215</v>
      </c>
      <c r="Y28" s="27"/>
      <c r="Z28" s="27" t="s">
        <v>27</v>
      </c>
      <c r="AA28" s="27" t="s">
        <v>27</v>
      </c>
      <c r="AB28" s="27" t="s">
        <v>27</v>
      </c>
      <c r="AC28" s="27" t="s">
        <v>27</v>
      </c>
      <c r="AD28" s="27" t="s">
        <v>27</v>
      </c>
      <c r="AE28" s="27" t="s">
        <v>27</v>
      </c>
      <c r="AF28" s="44">
        <f t="shared" si="1"/>
        <v>255.26300016976893</v>
      </c>
    </row>
    <row r="29" spans="1:32" ht="15" customHeight="1">
      <c r="A29" s="3">
        <v>22</v>
      </c>
      <c r="B29" s="8" t="s">
        <v>48</v>
      </c>
      <c r="C29" s="23" t="s">
        <v>150</v>
      </c>
      <c r="D29" s="44">
        <f t="shared" si="0"/>
        <v>1142.3454776489045</v>
      </c>
      <c r="E29" s="41">
        <v>513.00882569503779</v>
      </c>
      <c r="F29" s="41">
        <v>99.024037052370602</v>
      </c>
      <c r="G29" s="41">
        <v>66.89550216659903</v>
      </c>
      <c r="H29" s="41">
        <v>241.90293949211389</v>
      </c>
      <c r="I29" s="41">
        <v>70.596307827755808</v>
      </c>
      <c r="J29" s="48">
        <v>150.91786541502736</v>
      </c>
      <c r="K29" s="13"/>
      <c r="L29" s="27" t="s">
        <v>27</v>
      </c>
      <c r="M29" s="27" t="s">
        <v>27</v>
      </c>
      <c r="N29" s="27" t="s">
        <v>27</v>
      </c>
      <c r="O29" s="27" t="s">
        <v>27</v>
      </c>
      <c r="P29" s="27" t="s">
        <v>27</v>
      </c>
      <c r="Q29" s="48" t="s">
        <v>27</v>
      </c>
      <c r="R29" s="13"/>
      <c r="S29" s="41">
        <v>32.147000432014465</v>
      </c>
      <c r="T29" s="41">
        <v>19.104000421240926</v>
      </c>
      <c r="U29" s="41">
        <v>11.72100006788969</v>
      </c>
      <c r="V29" s="41">
        <v>71.390000222250819</v>
      </c>
      <c r="W29" s="41">
        <v>94.969999849796295</v>
      </c>
      <c r="X29" s="41">
        <v>725.3780212700367</v>
      </c>
      <c r="Y29" s="27"/>
      <c r="Z29" s="27" t="s">
        <v>27</v>
      </c>
      <c r="AA29" s="27" t="s">
        <v>27</v>
      </c>
      <c r="AB29" s="27" t="s">
        <v>27</v>
      </c>
      <c r="AC29" s="27" t="s">
        <v>27</v>
      </c>
      <c r="AD29" s="27" t="s">
        <v>27</v>
      </c>
      <c r="AE29" s="27" t="s">
        <v>27</v>
      </c>
      <c r="AF29" s="44">
        <f t="shared" si="1"/>
        <v>954.71002226322889</v>
      </c>
    </row>
    <row r="30" spans="1:32" ht="15" customHeight="1">
      <c r="A30" s="3">
        <v>23</v>
      </c>
      <c r="B30" s="8" t="s">
        <v>49</v>
      </c>
      <c r="C30" s="23" t="s">
        <v>150</v>
      </c>
      <c r="D30" s="44">
        <f t="shared" si="0"/>
        <v>413.30836017063427</v>
      </c>
      <c r="E30" s="27" t="s">
        <v>27</v>
      </c>
      <c r="F30" s="41">
        <v>114.79210751336812</v>
      </c>
      <c r="G30" s="27" t="s">
        <v>27</v>
      </c>
      <c r="H30" s="41">
        <v>131.20417603595556</v>
      </c>
      <c r="I30" s="41">
        <v>57.412753990530966</v>
      </c>
      <c r="J30" s="48">
        <v>109.89932263077962</v>
      </c>
      <c r="K30" s="13"/>
      <c r="L30" s="27" t="s">
        <v>27</v>
      </c>
      <c r="M30" s="27" t="s">
        <v>27</v>
      </c>
      <c r="N30" s="27" t="s">
        <v>27</v>
      </c>
      <c r="O30" s="27" t="s">
        <v>27</v>
      </c>
      <c r="P30" s="27" t="s">
        <v>27</v>
      </c>
      <c r="Q30" s="48" t="s">
        <v>27</v>
      </c>
      <c r="R30" s="13"/>
      <c r="S30" s="27" t="s">
        <v>27</v>
      </c>
      <c r="T30" s="41">
        <v>23.715000301599503</v>
      </c>
      <c r="U30" s="27" t="s">
        <v>27</v>
      </c>
      <c r="V30" s="41">
        <v>72.472000762820244</v>
      </c>
      <c r="W30" s="41">
        <v>87.648999333381653</v>
      </c>
      <c r="X30" s="41">
        <v>571.66499631106853</v>
      </c>
      <c r="Y30" s="27"/>
      <c r="Z30" s="27" t="s">
        <v>27</v>
      </c>
      <c r="AA30" s="27" t="s">
        <v>27</v>
      </c>
      <c r="AB30" s="27" t="s">
        <v>27</v>
      </c>
      <c r="AC30" s="27" t="s">
        <v>27</v>
      </c>
      <c r="AD30" s="27" t="s">
        <v>27</v>
      </c>
      <c r="AE30" s="27" t="s">
        <v>27</v>
      </c>
      <c r="AF30" s="44">
        <f t="shared" si="1"/>
        <v>755.50099670886993</v>
      </c>
    </row>
    <row r="31" spans="1:32" ht="15" customHeight="1">
      <c r="A31" s="3">
        <v>24</v>
      </c>
      <c r="B31" s="8" t="s">
        <v>50</v>
      </c>
      <c r="C31" s="23" t="s">
        <v>158</v>
      </c>
      <c r="D31" s="44">
        <f t="shared" si="0"/>
        <v>2265.8054027611474</v>
      </c>
      <c r="E31" s="41">
        <v>424.63550850486757</v>
      </c>
      <c r="F31" s="41">
        <v>273.36124351966379</v>
      </c>
      <c r="G31" s="41">
        <v>15.106349848508835</v>
      </c>
      <c r="H31" s="41">
        <v>187.10192698922754</v>
      </c>
      <c r="I31" s="41">
        <v>77.715405665576455</v>
      </c>
      <c r="J31" s="48">
        <v>106.61799479935159</v>
      </c>
      <c r="K31" s="13"/>
      <c r="L31" s="41">
        <v>104.97597820925712</v>
      </c>
      <c r="M31" s="41">
        <v>65.386937371730809</v>
      </c>
      <c r="N31" s="41">
        <v>530.85449522130193</v>
      </c>
      <c r="O31" s="41">
        <v>227.40922546158731</v>
      </c>
      <c r="P31" s="41">
        <v>63.718464400336146</v>
      </c>
      <c r="Q31" s="48">
        <v>188.92187276973846</v>
      </c>
      <c r="R31" s="13"/>
      <c r="S31" s="41">
        <v>20.320999622344971</v>
      </c>
      <c r="T31" s="41">
        <v>35.761000722646713</v>
      </c>
      <c r="U31" s="41">
        <v>5.7719999551773071</v>
      </c>
      <c r="V31" s="41">
        <v>98.473000347614288</v>
      </c>
      <c r="W31" s="41">
        <v>137.52900117635727</v>
      </c>
      <c r="X31" s="41">
        <v>608.21500918269157</v>
      </c>
      <c r="Y31" s="27"/>
      <c r="Z31" s="41">
        <v>3.2219998836517334</v>
      </c>
      <c r="AA31" s="41">
        <v>4.6970000267028809</v>
      </c>
      <c r="AB31" s="41">
        <v>36.971999833360314</v>
      </c>
      <c r="AC31" s="41">
        <v>34.519000098109245</v>
      </c>
      <c r="AD31" s="41">
        <v>12.6720000654459</v>
      </c>
      <c r="AE31" s="41">
        <v>275.03100816905499</v>
      </c>
      <c r="AF31" s="44">
        <f t="shared" si="1"/>
        <v>1273.1840190831572</v>
      </c>
    </row>
    <row r="32" spans="1:32" ht="15" customHeight="1">
      <c r="A32" s="3">
        <v>25</v>
      </c>
      <c r="B32" s="8" t="s">
        <v>51</v>
      </c>
      <c r="C32" s="23" t="s">
        <v>151</v>
      </c>
      <c r="D32" s="44">
        <f t="shared" si="0"/>
        <v>1263.6137593371541</v>
      </c>
      <c r="E32" s="41">
        <v>426.98477691173554</v>
      </c>
      <c r="F32" s="41">
        <v>195.18282024860383</v>
      </c>
      <c r="G32" s="41">
        <v>51.217300369739533</v>
      </c>
      <c r="H32" s="41">
        <v>95.4947440301776</v>
      </c>
      <c r="I32" s="41">
        <v>52.07698697990179</v>
      </c>
      <c r="J32" s="48">
        <v>44.203622396813039</v>
      </c>
      <c r="K32" s="13"/>
      <c r="L32" s="41">
        <v>88.528003692626953</v>
      </c>
      <c r="M32" s="27" t="s">
        <v>27</v>
      </c>
      <c r="N32" s="41">
        <v>59.829278100609777</v>
      </c>
      <c r="O32" s="41">
        <v>166.73267092761026</v>
      </c>
      <c r="P32" s="41">
        <v>24.490195300355552</v>
      </c>
      <c r="Q32" s="48">
        <v>58.873360378980379</v>
      </c>
      <c r="R32" s="13"/>
      <c r="S32" s="41">
        <v>12.76800012588501</v>
      </c>
      <c r="T32" s="41">
        <v>17.802999973297119</v>
      </c>
      <c r="U32" s="41">
        <v>8.7339999675750732</v>
      </c>
      <c r="V32" s="41">
        <v>40.321999579668045</v>
      </c>
      <c r="W32" s="41">
        <v>59.999999508261681</v>
      </c>
      <c r="X32" s="41">
        <v>192.85599847137928</v>
      </c>
      <c r="Y32" s="27"/>
      <c r="Z32" s="41">
        <v>2.0120000839233398</v>
      </c>
      <c r="AA32" s="27" t="s">
        <v>27</v>
      </c>
      <c r="AB32" s="41">
        <v>3.3529998958110809</v>
      </c>
      <c r="AC32" s="41">
        <v>15.793000008910894</v>
      </c>
      <c r="AD32" s="41">
        <v>6.2160000614821911</v>
      </c>
      <c r="AE32" s="41">
        <v>99.81800052523613</v>
      </c>
      <c r="AF32" s="44">
        <f t="shared" si="1"/>
        <v>459.67499820142984</v>
      </c>
    </row>
    <row r="33" spans="1:32" ht="15" customHeight="1">
      <c r="A33" s="3">
        <v>26</v>
      </c>
      <c r="B33" s="8" t="s">
        <v>52</v>
      </c>
      <c r="C33" s="23" t="s">
        <v>150</v>
      </c>
      <c r="D33" s="44">
        <f t="shared" si="0"/>
        <v>666.63564508271429</v>
      </c>
      <c r="E33" s="27" t="s">
        <v>27</v>
      </c>
      <c r="F33" s="41">
        <v>190.02077798569204</v>
      </c>
      <c r="G33" s="41">
        <v>117.10726022339612</v>
      </c>
      <c r="H33" s="41">
        <v>179.0069142910242</v>
      </c>
      <c r="I33" s="41">
        <v>69.512451111286879</v>
      </c>
      <c r="J33" s="48">
        <v>110.98824147131508</v>
      </c>
      <c r="K33" s="13"/>
      <c r="L33" s="27" t="s">
        <v>27</v>
      </c>
      <c r="M33" s="27" t="s">
        <v>27</v>
      </c>
      <c r="N33" s="27" t="s">
        <v>27</v>
      </c>
      <c r="O33" s="27" t="s">
        <v>27</v>
      </c>
      <c r="P33" s="27" t="s">
        <v>27</v>
      </c>
      <c r="Q33" s="48" t="s">
        <v>27</v>
      </c>
      <c r="R33" s="13"/>
      <c r="S33" s="27" t="s">
        <v>27</v>
      </c>
      <c r="T33" s="41">
        <v>25.336000263690948</v>
      </c>
      <c r="U33" s="41">
        <v>16.162000067532063</v>
      </c>
      <c r="V33" s="41">
        <v>87.604000516235828</v>
      </c>
      <c r="W33" s="41">
        <v>89.268999822437763</v>
      </c>
      <c r="X33" s="41">
        <v>518.20399035513401</v>
      </c>
      <c r="Y33" s="27"/>
      <c r="Z33" s="27" t="s">
        <v>27</v>
      </c>
      <c r="AA33" s="27" t="s">
        <v>27</v>
      </c>
      <c r="AB33" s="27" t="s">
        <v>27</v>
      </c>
      <c r="AC33" s="27" t="s">
        <v>27</v>
      </c>
      <c r="AD33" s="27" t="s">
        <v>27</v>
      </c>
      <c r="AE33" s="27" t="s">
        <v>27</v>
      </c>
      <c r="AF33" s="44">
        <f t="shared" si="1"/>
        <v>736.57499102503061</v>
      </c>
    </row>
    <row r="34" spans="1:32" ht="15" customHeight="1">
      <c r="A34" s="3">
        <v>27</v>
      </c>
      <c r="B34" s="8" t="s">
        <v>53</v>
      </c>
      <c r="C34" s="23" t="s">
        <v>150</v>
      </c>
      <c r="D34" s="44">
        <f t="shared" si="0"/>
        <v>288.45330361762865</v>
      </c>
      <c r="E34" s="27" t="s">
        <v>27</v>
      </c>
      <c r="F34" s="41">
        <v>92.96245618026704</v>
      </c>
      <c r="G34" s="41">
        <v>55.65720416343212</v>
      </c>
      <c r="H34" s="41">
        <v>27.837870871305466</v>
      </c>
      <c r="I34" s="41">
        <v>57.865335375472903</v>
      </c>
      <c r="J34" s="48">
        <v>54.130437027151089</v>
      </c>
      <c r="K34" s="13"/>
      <c r="L34" s="27" t="s">
        <v>27</v>
      </c>
      <c r="M34" s="27" t="s">
        <v>27</v>
      </c>
      <c r="N34" s="27" t="s">
        <v>27</v>
      </c>
      <c r="O34" s="27" t="s">
        <v>27</v>
      </c>
      <c r="P34" s="27" t="s">
        <v>27</v>
      </c>
      <c r="Q34" s="48" t="s">
        <v>27</v>
      </c>
      <c r="R34" s="13"/>
      <c r="S34" s="27" t="s">
        <v>27</v>
      </c>
      <c r="T34" s="41">
        <v>21.308000013232231</v>
      </c>
      <c r="U34" s="41">
        <v>12.816000044345856</v>
      </c>
      <c r="V34" s="41">
        <v>6.4369997382164001</v>
      </c>
      <c r="W34" s="41">
        <v>78.999999225139618</v>
      </c>
      <c r="X34" s="41">
        <v>262.582992374897</v>
      </c>
      <c r="Y34" s="27"/>
      <c r="Z34" s="27" t="s">
        <v>27</v>
      </c>
      <c r="AA34" s="27" t="s">
        <v>27</v>
      </c>
      <c r="AB34" s="27" t="s">
        <v>27</v>
      </c>
      <c r="AC34" s="27" t="s">
        <v>27</v>
      </c>
      <c r="AD34" s="27" t="s">
        <v>27</v>
      </c>
      <c r="AE34" s="27" t="s">
        <v>27</v>
      </c>
      <c r="AF34" s="44">
        <f t="shared" si="1"/>
        <v>382.14399139583111</v>
      </c>
    </row>
    <row r="35" spans="1:32" ht="15" customHeight="1">
      <c r="A35" s="3">
        <v>28</v>
      </c>
      <c r="B35" s="8" t="s">
        <v>54</v>
      </c>
      <c r="C35" s="23" t="s">
        <v>150</v>
      </c>
      <c r="D35" s="44">
        <f t="shared" si="0"/>
        <v>223.20360111104742</v>
      </c>
      <c r="E35" s="27" t="s">
        <v>27</v>
      </c>
      <c r="F35" s="41">
        <v>117.05672263717652</v>
      </c>
      <c r="G35" s="27" t="s">
        <v>27</v>
      </c>
      <c r="H35" s="41">
        <v>28.651453932344914</v>
      </c>
      <c r="I35" s="41">
        <v>27.153166484296321</v>
      </c>
      <c r="J35" s="48">
        <v>50.342258057229657</v>
      </c>
      <c r="K35" s="13"/>
      <c r="L35" s="27" t="s">
        <v>27</v>
      </c>
      <c r="M35" s="27" t="s">
        <v>27</v>
      </c>
      <c r="N35" s="27" t="s">
        <v>27</v>
      </c>
      <c r="O35" s="27" t="s">
        <v>27</v>
      </c>
      <c r="P35" s="27" t="s">
        <v>27</v>
      </c>
      <c r="Q35" s="48" t="s">
        <v>27</v>
      </c>
      <c r="R35" s="13"/>
      <c r="S35" s="27" t="s">
        <v>27</v>
      </c>
      <c r="T35" s="41">
        <v>30.511999607086182</v>
      </c>
      <c r="U35" s="27" t="s">
        <v>27</v>
      </c>
      <c r="V35" s="41">
        <v>34.813999868929386</v>
      </c>
      <c r="W35" s="41">
        <v>84.440001193434</v>
      </c>
      <c r="X35" s="41">
        <v>408.44699704647064</v>
      </c>
      <c r="Y35" s="27"/>
      <c r="Z35" s="27" t="s">
        <v>27</v>
      </c>
      <c r="AA35" s="27" t="s">
        <v>27</v>
      </c>
      <c r="AB35" s="27" t="s">
        <v>27</v>
      </c>
      <c r="AC35" s="27" t="s">
        <v>27</v>
      </c>
      <c r="AD35" s="27" t="s">
        <v>27</v>
      </c>
      <c r="AE35" s="27" t="s">
        <v>27</v>
      </c>
      <c r="AF35" s="44">
        <f t="shared" si="1"/>
        <v>558.21299771592021</v>
      </c>
    </row>
    <row r="36" spans="1:32" ht="15" customHeight="1">
      <c r="A36" s="3">
        <v>29</v>
      </c>
      <c r="B36" s="8" t="s">
        <v>55</v>
      </c>
      <c r="C36" s="23" t="s">
        <v>150</v>
      </c>
      <c r="D36" s="44">
        <f t="shared" si="0"/>
        <v>220.70405577354023</v>
      </c>
      <c r="E36" s="27" t="s">
        <v>27</v>
      </c>
      <c r="F36" s="27" t="s">
        <v>27</v>
      </c>
      <c r="G36" s="41">
        <v>128.34033897112309</v>
      </c>
      <c r="H36" s="41">
        <v>18.024483360052109</v>
      </c>
      <c r="I36" s="41">
        <v>27.184609179735183</v>
      </c>
      <c r="J36" s="48">
        <v>47.154624262629852</v>
      </c>
      <c r="K36" s="13"/>
      <c r="L36" s="27" t="s">
        <v>27</v>
      </c>
      <c r="M36" s="27" t="s">
        <v>27</v>
      </c>
      <c r="N36" s="27" t="s">
        <v>27</v>
      </c>
      <c r="O36" s="27" t="s">
        <v>27</v>
      </c>
      <c r="P36" s="27" t="s">
        <v>27</v>
      </c>
      <c r="Q36" s="48" t="s">
        <v>27</v>
      </c>
      <c r="R36" s="13"/>
      <c r="S36" s="27" t="s">
        <v>27</v>
      </c>
      <c r="T36" s="27" t="s">
        <v>27</v>
      </c>
      <c r="U36" s="41">
        <v>36.235999666154385</v>
      </c>
      <c r="V36" s="41">
        <v>12.437000036239624</v>
      </c>
      <c r="W36" s="41">
        <v>72.55400013923645</v>
      </c>
      <c r="X36" s="41">
        <v>347.73400062322617</v>
      </c>
      <c r="Y36" s="27"/>
      <c r="Z36" s="27" t="s">
        <v>27</v>
      </c>
      <c r="AA36" s="27" t="s">
        <v>27</v>
      </c>
      <c r="AB36" s="27" t="s">
        <v>27</v>
      </c>
      <c r="AC36" s="27" t="s">
        <v>27</v>
      </c>
      <c r="AD36" s="27" t="s">
        <v>27</v>
      </c>
      <c r="AE36" s="27" t="s">
        <v>27</v>
      </c>
      <c r="AF36" s="44">
        <f t="shared" si="1"/>
        <v>468.96100046485662</v>
      </c>
    </row>
    <row r="37" spans="1:32" ht="15" customHeight="1">
      <c r="A37" s="3">
        <v>30</v>
      </c>
      <c r="B37" s="8" t="s">
        <v>56</v>
      </c>
      <c r="C37" s="23" t="s">
        <v>152</v>
      </c>
      <c r="D37" s="44">
        <f t="shared" si="0"/>
        <v>2057.2555951538179</v>
      </c>
      <c r="E37" s="27" t="s">
        <v>27</v>
      </c>
      <c r="F37" s="41">
        <v>283.97955257380011</v>
      </c>
      <c r="G37" s="41">
        <v>100.7703314544335</v>
      </c>
      <c r="H37" s="41">
        <v>167.70623735489696</v>
      </c>
      <c r="I37" s="41">
        <v>60.539033397488296</v>
      </c>
      <c r="J37" s="48">
        <v>118.2480131889542</v>
      </c>
      <c r="K37" s="13"/>
      <c r="L37" s="27" t="s">
        <v>27</v>
      </c>
      <c r="M37" s="41">
        <v>233.06924484729768</v>
      </c>
      <c r="N37" s="41">
        <v>463.49735750088098</v>
      </c>
      <c r="O37" s="41">
        <v>236.72907776549087</v>
      </c>
      <c r="P37" s="41">
        <v>207.64070393890142</v>
      </c>
      <c r="Q37" s="48">
        <v>185.07604313167366</v>
      </c>
      <c r="R37" s="13"/>
      <c r="S37" s="27" t="s">
        <v>27</v>
      </c>
      <c r="T37" s="41">
        <v>39.793000519275665</v>
      </c>
      <c r="U37" s="41">
        <v>16.612999979406595</v>
      </c>
      <c r="V37" s="41">
        <v>50.547000212594867</v>
      </c>
      <c r="W37" s="41">
        <v>76.588000472635031</v>
      </c>
      <c r="X37" s="41">
        <v>546.95100742578506</v>
      </c>
      <c r="Y37" s="27"/>
      <c r="Z37" s="27" t="s">
        <v>27</v>
      </c>
      <c r="AA37" s="41">
        <v>10.212000131607056</v>
      </c>
      <c r="AB37" s="41">
        <v>31.523999929428101</v>
      </c>
      <c r="AC37" s="41">
        <v>28.19100003875792</v>
      </c>
      <c r="AD37" s="41">
        <v>46.211000040173531</v>
      </c>
      <c r="AE37" s="41">
        <v>289.05000721663237</v>
      </c>
      <c r="AF37" s="44">
        <f t="shared" si="1"/>
        <v>1135.6800159662962</v>
      </c>
    </row>
    <row r="38" spans="1:32" ht="15" customHeight="1">
      <c r="A38" s="3">
        <v>31</v>
      </c>
      <c r="B38" s="8" t="s">
        <v>57</v>
      </c>
      <c r="C38" s="23" t="s">
        <v>150</v>
      </c>
      <c r="D38" s="44">
        <f t="shared" si="0"/>
        <v>333.44528087628066</v>
      </c>
      <c r="E38" s="41">
        <v>80.416800642013555</v>
      </c>
      <c r="F38" s="27" t="s">
        <v>27</v>
      </c>
      <c r="G38" s="41">
        <v>92.961125750757759</v>
      </c>
      <c r="H38" s="41">
        <v>76.903612727455794</v>
      </c>
      <c r="I38" s="41">
        <v>28.363364300251007</v>
      </c>
      <c r="J38" s="48">
        <v>54.800377455802533</v>
      </c>
      <c r="K38" s="13"/>
      <c r="L38" s="27" t="s">
        <v>27</v>
      </c>
      <c r="M38" s="27" t="s">
        <v>27</v>
      </c>
      <c r="N38" s="27" t="s">
        <v>27</v>
      </c>
      <c r="O38" s="27" t="s">
        <v>27</v>
      </c>
      <c r="P38" s="27" t="s">
        <v>27</v>
      </c>
      <c r="Q38" s="48" t="s">
        <v>27</v>
      </c>
      <c r="R38" s="13"/>
      <c r="S38" s="41">
        <v>2.628000020980835</v>
      </c>
      <c r="T38" s="27" t="s">
        <v>27</v>
      </c>
      <c r="U38" s="41">
        <v>20.029999990016222</v>
      </c>
      <c r="V38" s="41">
        <v>60.787000514566898</v>
      </c>
      <c r="W38" s="41">
        <v>53.277000427246094</v>
      </c>
      <c r="X38" s="41">
        <v>324.48100325465202</v>
      </c>
      <c r="Y38" s="27"/>
      <c r="Z38" s="27" t="s">
        <v>27</v>
      </c>
      <c r="AA38" s="27" t="s">
        <v>27</v>
      </c>
      <c r="AB38" s="27" t="s">
        <v>27</v>
      </c>
      <c r="AC38" s="27" t="s">
        <v>27</v>
      </c>
      <c r="AD38" s="27" t="s">
        <v>27</v>
      </c>
      <c r="AE38" s="27" t="s">
        <v>27</v>
      </c>
      <c r="AF38" s="44">
        <f t="shared" si="1"/>
        <v>461.20300420746207</v>
      </c>
    </row>
    <row r="39" spans="1:32" ht="15" customHeight="1">
      <c r="A39" s="3">
        <v>32</v>
      </c>
      <c r="B39" s="8" t="s">
        <v>58</v>
      </c>
      <c r="C39" s="23" t="s">
        <v>150</v>
      </c>
      <c r="D39" s="44">
        <f t="shared" si="0"/>
        <v>142.02803448681874</v>
      </c>
      <c r="E39" s="27" t="s">
        <v>27</v>
      </c>
      <c r="F39" s="27" t="s">
        <v>27</v>
      </c>
      <c r="G39" s="41">
        <v>47.404382648438215</v>
      </c>
      <c r="H39" s="41">
        <v>20.67859508085251</v>
      </c>
      <c r="I39" s="41">
        <v>25.576350803375245</v>
      </c>
      <c r="J39" s="48">
        <v>48.368705954152759</v>
      </c>
      <c r="K39" s="13"/>
      <c r="L39" s="27" t="s">
        <v>27</v>
      </c>
      <c r="M39" s="27" t="s">
        <v>27</v>
      </c>
      <c r="N39" s="27" t="s">
        <v>27</v>
      </c>
      <c r="O39" s="27" t="s">
        <v>27</v>
      </c>
      <c r="P39" s="27" t="s">
        <v>27</v>
      </c>
      <c r="Q39" s="48" t="s">
        <v>27</v>
      </c>
      <c r="R39" s="13"/>
      <c r="S39" s="27" t="s">
        <v>27</v>
      </c>
      <c r="T39" s="27" t="s">
        <v>27</v>
      </c>
      <c r="U39" s="41">
        <v>18.519000172615051</v>
      </c>
      <c r="V39" s="41">
        <v>24.89300012588501</v>
      </c>
      <c r="W39" s="41">
        <v>65.870999455451965</v>
      </c>
      <c r="X39" s="41">
        <v>348.82998692523688</v>
      </c>
      <c r="Y39" s="27"/>
      <c r="Z39" s="27" t="s">
        <v>27</v>
      </c>
      <c r="AA39" s="27" t="s">
        <v>27</v>
      </c>
      <c r="AB39" s="27" t="s">
        <v>27</v>
      </c>
      <c r="AC39" s="27" t="s">
        <v>27</v>
      </c>
      <c r="AD39" s="27" t="s">
        <v>27</v>
      </c>
      <c r="AE39" s="27" t="s">
        <v>27</v>
      </c>
      <c r="AF39" s="44">
        <f t="shared" si="1"/>
        <v>458.11298667918891</v>
      </c>
    </row>
    <row r="40" spans="1:32" ht="15" customHeight="1">
      <c r="A40" s="3">
        <v>33</v>
      </c>
      <c r="B40" s="8" t="s">
        <v>59</v>
      </c>
      <c r="C40" s="23" t="s">
        <v>150</v>
      </c>
      <c r="D40" s="44">
        <f t="shared" ref="D40:D71" si="2">SUM(E40:J40)+SUM(L40:Q40)</f>
        <v>347.61540683731403</v>
      </c>
      <c r="E40" s="27" t="s">
        <v>27</v>
      </c>
      <c r="F40" s="27" t="s">
        <v>27</v>
      </c>
      <c r="G40" s="41">
        <v>107.67843468795716</v>
      </c>
      <c r="H40" s="41">
        <v>109.59111082661897</v>
      </c>
      <c r="I40" s="41">
        <v>57.894654642522333</v>
      </c>
      <c r="J40" s="48">
        <v>72.451206680215563</v>
      </c>
      <c r="K40" s="13"/>
      <c r="L40" s="27" t="s">
        <v>27</v>
      </c>
      <c r="M40" s="27" t="s">
        <v>27</v>
      </c>
      <c r="N40" s="27" t="s">
        <v>27</v>
      </c>
      <c r="O40" s="27" t="s">
        <v>27</v>
      </c>
      <c r="P40" s="27" t="s">
        <v>27</v>
      </c>
      <c r="Q40" s="48" t="s">
        <v>27</v>
      </c>
      <c r="R40" s="13"/>
      <c r="S40" s="27" t="s">
        <v>27</v>
      </c>
      <c r="T40" s="27" t="s">
        <v>27</v>
      </c>
      <c r="U40" s="41">
        <v>9.4799998831003904</v>
      </c>
      <c r="V40" s="41">
        <v>51.545999146997929</v>
      </c>
      <c r="W40" s="41">
        <v>62.468999445438385</v>
      </c>
      <c r="X40" s="41">
        <v>303.40800723433495</v>
      </c>
      <c r="Y40" s="27"/>
      <c r="Z40" s="27" t="s">
        <v>27</v>
      </c>
      <c r="AA40" s="27" t="s">
        <v>27</v>
      </c>
      <c r="AB40" s="27" t="s">
        <v>27</v>
      </c>
      <c r="AC40" s="27" t="s">
        <v>27</v>
      </c>
      <c r="AD40" s="27" t="s">
        <v>27</v>
      </c>
      <c r="AE40" s="27" t="s">
        <v>27</v>
      </c>
      <c r="AF40" s="44">
        <f t="shared" ref="AF40:AF71" si="3">SUM(S40:AE40)</f>
        <v>426.90300570987165</v>
      </c>
    </row>
    <row r="41" spans="1:32" ht="15" customHeight="1">
      <c r="A41" s="3">
        <v>34</v>
      </c>
      <c r="B41" s="8" t="s">
        <v>60</v>
      </c>
      <c r="C41" s="23" t="s">
        <v>159</v>
      </c>
      <c r="D41" s="44">
        <f t="shared" si="2"/>
        <v>7386.6902664648496</v>
      </c>
      <c r="E41" s="41">
        <v>1340.9670993413924</v>
      </c>
      <c r="F41" s="41">
        <v>287.87770188134908</v>
      </c>
      <c r="G41" s="41">
        <v>173.32967456135154</v>
      </c>
      <c r="H41" s="41">
        <v>101.78386770701408</v>
      </c>
      <c r="I41" s="41">
        <v>73.318691411957147</v>
      </c>
      <c r="J41" s="48">
        <v>43.862586246394194</v>
      </c>
      <c r="K41" s="13"/>
      <c r="L41" s="41">
        <v>534.08438838934899</v>
      </c>
      <c r="M41" s="41">
        <v>858.61186133384706</v>
      </c>
      <c r="N41" s="41">
        <v>1708.7013698421492</v>
      </c>
      <c r="O41" s="41">
        <v>1176.5977980227285</v>
      </c>
      <c r="P41" s="41">
        <v>589.66358254257216</v>
      </c>
      <c r="Q41" s="48">
        <v>497.89164518474564</v>
      </c>
      <c r="R41" s="13"/>
      <c r="S41" s="41">
        <v>27.51200008392334</v>
      </c>
      <c r="T41" s="41">
        <v>13.632000163197517</v>
      </c>
      <c r="U41" s="41">
        <v>27.394999668002129</v>
      </c>
      <c r="V41" s="41">
        <v>33.565000236034393</v>
      </c>
      <c r="W41" s="41">
        <v>52.033999353647232</v>
      </c>
      <c r="X41" s="41">
        <v>141.38100132346153</v>
      </c>
      <c r="Y41" s="27"/>
      <c r="Z41" s="41">
        <v>7.7489997744560242</v>
      </c>
      <c r="AA41" s="41">
        <v>13.763999938964844</v>
      </c>
      <c r="AB41" s="41">
        <v>55.699000032618642</v>
      </c>
      <c r="AC41" s="41">
        <v>76.926999814808369</v>
      </c>
      <c r="AD41" s="41">
        <v>103.4270001379773</v>
      </c>
      <c r="AE41" s="41">
        <v>670.11797121167183</v>
      </c>
      <c r="AF41" s="44">
        <f t="shared" si="3"/>
        <v>1223.2029717387632</v>
      </c>
    </row>
    <row r="42" spans="1:32" ht="15" customHeight="1">
      <c r="A42" s="3">
        <v>35</v>
      </c>
      <c r="B42" s="8" t="s">
        <v>61</v>
      </c>
      <c r="C42" s="23" t="s">
        <v>150</v>
      </c>
      <c r="D42" s="44">
        <f t="shared" si="2"/>
        <v>388.05318091487021</v>
      </c>
      <c r="E42" s="27" t="s">
        <v>27</v>
      </c>
      <c r="F42" s="41">
        <v>16.822048299610614</v>
      </c>
      <c r="G42" s="41">
        <v>148.55458346016704</v>
      </c>
      <c r="H42" s="41">
        <v>100.38037172061577</v>
      </c>
      <c r="I42" s="41">
        <v>46.196288800012319</v>
      </c>
      <c r="J42" s="48">
        <v>76.099888634464506</v>
      </c>
      <c r="K42" s="13"/>
      <c r="L42" s="27" t="s">
        <v>27</v>
      </c>
      <c r="M42" s="27" t="s">
        <v>27</v>
      </c>
      <c r="N42" s="27" t="s">
        <v>27</v>
      </c>
      <c r="O42" s="27" t="s">
        <v>27</v>
      </c>
      <c r="P42" s="27" t="s">
        <v>27</v>
      </c>
      <c r="Q42" s="48" t="s">
        <v>27</v>
      </c>
      <c r="R42" s="13"/>
      <c r="S42" s="27" t="s">
        <v>27</v>
      </c>
      <c r="T42" s="41">
        <v>5.4230000972747803</v>
      </c>
      <c r="U42" s="41">
        <v>34.783000281080604</v>
      </c>
      <c r="V42" s="41">
        <v>44.822999529540539</v>
      </c>
      <c r="W42" s="41">
        <v>69.557000955566764</v>
      </c>
      <c r="X42" s="41">
        <v>392.44499405473471</v>
      </c>
      <c r="Y42" s="27"/>
      <c r="Z42" s="27" t="s">
        <v>27</v>
      </c>
      <c r="AA42" s="27" t="s">
        <v>27</v>
      </c>
      <c r="AB42" s="27" t="s">
        <v>27</v>
      </c>
      <c r="AC42" s="27" t="s">
        <v>27</v>
      </c>
      <c r="AD42" s="27" t="s">
        <v>27</v>
      </c>
      <c r="AE42" s="27" t="s">
        <v>27</v>
      </c>
      <c r="AF42" s="44">
        <f t="shared" si="3"/>
        <v>547.03099491819739</v>
      </c>
    </row>
    <row r="43" spans="1:32" ht="15" customHeight="1">
      <c r="A43" s="3">
        <v>36</v>
      </c>
      <c r="B43" s="8" t="s">
        <v>62</v>
      </c>
      <c r="C43" s="23" t="s">
        <v>150</v>
      </c>
      <c r="D43" s="44">
        <f t="shared" si="2"/>
        <v>1412.3812206450414</v>
      </c>
      <c r="E43" s="27" t="s">
        <v>27</v>
      </c>
      <c r="F43" s="41">
        <v>764.10934314736915</v>
      </c>
      <c r="G43" s="41">
        <v>65.339370229542254</v>
      </c>
      <c r="H43" s="41">
        <v>333.43804426802694</v>
      </c>
      <c r="I43" s="41">
        <v>116.82705670762063</v>
      </c>
      <c r="J43" s="48">
        <v>132.6674062924823</v>
      </c>
      <c r="K43" s="13"/>
      <c r="L43" s="27" t="s">
        <v>27</v>
      </c>
      <c r="M43" s="27" t="s">
        <v>27</v>
      </c>
      <c r="N43" s="27" t="s">
        <v>27</v>
      </c>
      <c r="O43" s="27" t="s">
        <v>27</v>
      </c>
      <c r="P43" s="27" t="s">
        <v>27</v>
      </c>
      <c r="Q43" s="48" t="s">
        <v>27</v>
      </c>
      <c r="R43" s="13"/>
      <c r="S43" s="27" t="s">
        <v>27</v>
      </c>
      <c r="T43" s="41">
        <v>52.379001009277999</v>
      </c>
      <c r="U43" s="41">
        <v>6.8789999708533287</v>
      </c>
      <c r="V43" s="41">
        <v>102.75299971550703</v>
      </c>
      <c r="W43" s="41">
        <v>113.11799943447113</v>
      </c>
      <c r="X43" s="41">
        <v>519.2260040640831</v>
      </c>
      <c r="Y43" s="27"/>
      <c r="Z43" s="27" t="s">
        <v>27</v>
      </c>
      <c r="AA43" s="27" t="s">
        <v>27</v>
      </c>
      <c r="AB43" s="27" t="s">
        <v>27</v>
      </c>
      <c r="AC43" s="27" t="s">
        <v>27</v>
      </c>
      <c r="AD43" s="27" t="s">
        <v>27</v>
      </c>
      <c r="AE43" s="27" t="s">
        <v>27</v>
      </c>
      <c r="AF43" s="44">
        <f t="shared" si="3"/>
        <v>794.35500419419259</v>
      </c>
    </row>
    <row r="44" spans="1:32" ht="15" customHeight="1">
      <c r="A44" s="3">
        <v>37</v>
      </c>
      <c r="B44" s="8" t="s">
        <v>63</v>
      </c>
      <c r="C44" s="23" t="s">
        <v>151</v>
      </c>
      <c r="D44" s="44">
        <f t="shared" si="2"/>
        <v>1503.3129409240069</v>
      </c>
      <c r="E44" s="41">
        <v>480.4736979365349</v>
      </c>
      <c r="F44" s="41">
        <v>107.81733374035359</v>
      </c>
      <c r="G44" s="41">
        <v>139.72650579214096</v>
      </c>
      <c r="H44" s="41">
        <v>0.15695200030505657</v>
      </c>
      <c r="I44" s="41">
        <v>62.388367126911881</v>
      </c>
      <c r="J44" s="48">
        <v>43.187357331682705</v>
      </c>
      <c r="K44" s="13"/>
      <c r="L44" s="27" t="s">
        <v>27</v>
      </c>
      <c r="M44" s="27" t="s">
        <v>27</v>
      </c>
      <c r="N44" s="41">
        <v>364.48184747761491</v>
      </c>
      <c r="O44" s="41">
        <v>171.50222522848844</v>
      </c>
      <c r="P44" s="41">
        <v>55.840764358419925</v>
      </c>
      <c r="Q44" s="48">
        <v>77.737889931554207</v>
      </c>
      <c r="R44" s="13"/>
      <c r="S44" s="41">
        <v>13.127999901771545</v>
      </c>
      <c r="T44" s="41">
        <v>5.2500000298023224</v>
      </c>
      <c r="U44" s="41">
        <v>35.811000555753708</v>
      </c>
      <c r="V44" s="41">
        <v>0.18400000035762787</v>
      </c>
      <c r="W44" s="41">
        <v>73.532000415027142</v>
      </c>
      <c r="X44" s="41">
        <v>191.11600139539223</v>
      </c>
      <c r="Y44" s="27"/>
      <c r="Z44" s="27" t="s">
        <v>27</v>
      </c>
      <c r="AA44" s="27" t="s">
        <v>27</v>
      </c>
      <c r="AB44" s="41">
        <v>16.539000026881695</v>
      </c>
      <c r="AC44" s="41">
        <v>16.590000059455633</v>
      </c>
      <c r="AD44" s="41">
        <v>16.620000077411532</v>
      </c>
      <c r="AE44" s="41">
        <v>145.5909979660064</v>
      </c>
      <c r="AF44" s="44">
        <f t="shared" si="3"/>
        <v>514.36100042785984</v>
      </c>
    </row>
    <row r="45" spans="1:32" ht="15" customHeight="1">
      <c r="A45" s="3">
        <v>38</v>
      </c>
      <c r="B45" s="8" t="s">
        <v>64</v>
      </c>
      <c r="C45" s="23" t="s">
        <v>150</v>
      </c>
      <c r="D45" s="44">
        <f t="shared" si="2"/>
        <v>199.72170219042169</v>
      </c>
      <c r="E45" s="27" t="s">
        <v>27</v>
      </c>
      <c r="F45" s="41">
        <v>40.509744097352026</v>
      </c>
      <c r="G45" s="41">
        <v>24.484224395513536</v>
      </c>
      <c r="H45" s="41">
        <v>71.917645023658878</v>
      </c>
      <c r="I45" s="41">
        <v>27.701748109132051</v>
      </c>
      <c r="J45" s="48">
        <v>35.108340564765243</v>
      </c>
      <c r="K45" s="13"/>
      <c r="L45" s="27" t="s">
        <v>27</v>
      </c>
      <c r="M45" s="27" t="s">
        <v>27</v>
      </c>
      <c r="N45" s="27" t="s">
        <v>27</v>
      </c>
      <c r="O45" s="27" t="s">
        <v>27</v>
      </c>
      <c r="P45" s="27" t="s">
        <v>27</v>
      </c>
      <c r="Q45" s="48" t="s">
        <v>27</v>
      </c>
      <c r="R45" s="13"/>
      <c r="S45" s="27" t="s">
        <v>27</v>
      </c>
      <c r="T45" s="41">
        <v>8.1159998625516891</v>
      </c>
      <c r="U45" s="41">
        <v>25.109000325202942</v>
      </c>
      <c r="V45" s="41">
        <v>41.117999840527773</v>
      </c>
      <c r="W45" s="41">
        <v>55.656999811530113</v>
      </c>
      <c r="X45" s="41">
        <v>216.80999716371298</v>
      </c>
      <c r="Y45" s="27"/>
      <c r="Z45" s="27" t="s">
        <v>27</v>
      </c>
      <c r="AA45" s="27" t="s">
        <v>27</v>
      </c>
      <c r="AB45" s="27" t="s">
        <v>27</v>
      </c>
      <c r="AC45" s="27" t="s">
        <v>27</v>
      </c>
      <c r="AD45" s="27" t="s">
        <v>27</v>
      </c>
      <c r="AE45" s="27" t="s">
        <v>27</v>
      </c>
      <c r="AF45" s="44">
        <f t="shared" si="3"/>
        <v>346.8099970035255</v>
      </c>
    </row>
    <row r="46" spans="1:32" ht="15" customHeight="1">
      <c r="A46" s="3">
        <v>39</v>
      </c>
      <c r="B46" s="8" t="s">
        <v>65</v>
      </c>
      <c r="C46" s="23" t="s">
        <v>150</v>
      </c>
      <c r="D46" s="44">
        <f t="shared" si="2"/>
        <v>666.98154557825023</v>
      </c>
      <c r="E46" s="41">
        <v>473.02357205200195</v>
      </c>
      <c r="F46" s="41">
        <v>5.5839869014918806</v>
      </c>
      <c r="G46" s="27" t="s">
        <v>27</v>
      </c>
      <c r="H46" s="41">
        <v>144.03675201183557</v>
      </c>
      <c r="I46" s="41">
        <v>20.681803144350649</v>
      </c>
      <c r="J46" s="48">
        <v>23.655431468570224</v>
      </c>
      <c r="K46" s="13"/>
      <c r="L46" s="27" t="s">
        <v>27</v>
      </c>
      <c r="M46" s="27" t="s">
        <v>27</v>
      </c>
      <c r="N46" s="27" t="s">
        <v>27</v>
      </c>
      <c r="O46" s="27" t="s">
        <v>27</v>
      </c>
      <c r="P46" s="27" t="s">
        <v>27</v>
      </c>
      <c r="Q46" s="48" t="s">
        <v>27</v>
      </c>
      <c r="R46" s="13"/>
      <c r="S46" s="41">
        <v>16.457000732421875</v>
      </c>
      <c r="T46" s="41">
        <v>2.0849999636411667</v>
      </c>
      <c r="U46" s="27" t="s">
        <v>27</v>
      </c>
      <c r="V46" s="41">
        <v>42.310999430716038</v>
      </c>
      <c r="W46" s="41">
        <v>23.944000139832497</v>
      </c>
      <c r="X46" s="41">
        <v>103.51899864524603</v>
      </c>
      <c r="Y46" s="27"/>
      <c r="Z46" s="27" t="s">
        <v>27</v>
      </c>
      <c r="AA46" s="27" t="s">
        <v>27</v>
      </c>
      <c r="AB46" s="27" t="s">
        <v>27</v>
      </c>
      <c r="AC46" s="27" t="s">
        <v>27</v>
      </c>
      <c r="AD46" s="27" t="s">
        <v>27</v>
      </c>
      <c r="AE46" s="27" t="s">
        <v>27</v>
      </c>
      <c r="AF46" s="44">
        <f t="shared" si="3"/>
        <v>188.3159989118576</v>
      </c>
    </row>
    <row r="47" spans="1:32" ht="15" customHeight="1">
      <c r="A47" s="3">
        <v>40</v>
      </c>
      <c r="B47" s="8" t="s">
        <v>66</v>
      </c>
      <c r="C47" s="23" t="s">
        <v>150</v>
      </c>
      <c r="D47" s="44">
        <f t="shared" si="2"/>
        <v>409.68647022358806</v>
      </c>
      <c r="E47" s="27" t="s">
        <v>27</v>
      </c>
      <c r="F47" s="41">
        <v>229.1232866905257</v>
      </c>
      <c r="G47" s="41">
        <v>76.98918104216456</v>
      </c>
      <c r="H47" s="41">
        <v>17.304270199835301</v>
      </c>
      <c r="I47" s="41">
        <v>39.928931488335131</v>
      </c>
      <c r="J47" s="48">
        <v>46.340800802727365</v>
      </c>
      <c r="K47" s="13"/>
      <c r="L47" s="27" t="s">
        <v>27</v>
      </c>
      <c r="M47" s="27" t="s">
        <v>27</v>
      </c>
      <c r="N47" s="27" t="s">
        <v>27</v>
      </c>
      <c r="O47" s="27" t="s">
        <v>27</v>
      </c>
      <c r="P47" s="27" t="s">
        <v>27</v>
      </c>
      <c r="Q47" s="48" t="s">
        <v>27</v>
      </c>
      <c r="R47" s="13"/>
      <c r="S47" s="27" t="s">
        <v>27</v>
      </c>
      <c r="T47" s="41">
        <v>18.027000268921256</v>
      </c>
      <c r="U47" s="41">
        <v>27.866999980062246</v>
      </c>
      <c r="V47" s="41">
        <v>8.2230000793933868</v>
      </c>
      <c r="W47" s="41">
        <v>64.980000913143158</v>
      </c>
      <c r="X47" s="41">
        <v>250.87100529670715</v>
      </c>
      <c r="Y47" s="27"/>
      <c r="Z47" s="27" t="s">
        <v>27</v>
      </c>
      <c r="AA47" s="27" t="s">
        <v>27</v>
      </c>
      <c r="AB47" s="27" t="s">
        <v>27</v>
      </c>
      <c r="AC47" s="27" t="s">
        <v>27</v>
      </c>
      <c r="AD47" s="27" t="s">
        <v>27</v>
      </c>
      <c r="AE47" s="27" t="s">
        <v>27</v>
      </c>
      <c r="AF47" s="44">
        <f t="shared" si="3"/>
        <v>369.9680065382272</v>
      </c>
    </row>
    <row r="48" spans="1:32" ht="15" customHeight="1">
      <c r="A48" s="3">
        <v>41</v>
      </c>
      <c r="B48" s="8" t="s">
        <v>67</v>
      </c>
      <c r="C48" s="23" t="s">
        <v>150</v>
      </c>
      <c r="D48" s="44">
        <f t="shared" si="2"/>
        <v>1297.261051104701</v>
      </c>
      <c r="E48" s="41">
        <v>934.25612733459468</v>
      </c>
      <c r="F48" s="27" t="s">
        <v>27</v>
      </c>
      <c r="G48" s="41">
        <v>76.474886381059889</v>
      </c>
      <c r="H48" s="41">
        <v>150.69124052319677</v>
      </c>
      <c r="I48" s="41">
        <v>50.684487916588786</v>
      </c>
      <c r="J48" s="48">
        <v>85.154308949260937</v>
      </c>
      <c r="K48" s="13"/>
      <c r="L48" s="27" t="s">
        <v>27</v>
      </c>
      <c r="M48" s="27" t="s">
        <v>27</v>
      </c>
      <c r="N48" s="27" t="s">
        <v>27</v>
      </c>
      <c r="O48" s="27" t="s">
        <v>27</v>
      </c>
      <c r="P48" s="27" t="s">
        <v>27</v>
      </c>
      <c r="Q48" s="48" t="s">
        <v>27</v>
      </c>
      <c r="R48" s="13"/>
      <c r="S48" s="41">
        <v>23.023999691009521</v>
      </c>
      <c r="T48" s="27" t="s">
        <v>27</v>
      </c>
      <c r="U48" s="41">
        <v>21.63099979236722</v>
      </c>
      <c r="V48" s="41">
        <v>61.145000834017992</v>
      </c>
      <c r="W48" s="41">
        <v>43.951999664306641</v>
      </c>
      <c r="X48" s="41">
        <v>311.0859964042902</v>
      </c>
      <c r="Y48" s="27"/>
      <c r="Z48" s="27" t="s">
        <v>27</v>
      </c>
      <c r="AA48" s="27" t="s">
        <v>27</v>
      </c>
      <c r="AB48" s="27" t="s">
        <v>27</v>
      </c>
      <c r="AC48" s="27" t="s">
        <v>27</v>
      </c>
      <c r="AD48" s="27" t="s">
        <v>27</v>
      </c>
      <c r="AE48" s="27" t="s">
        <v>27</v>
      </c>
      <c r="AF48" s="44">
        <f t="shared" si="3"/>
        <v>460.83799638599157</v>
      </c>
    </row>
    <row r="49" spans="1:32" ht="15" customHeight="1">
      <c r="A49" s="3">
        <v>42</v>
      </c>
      <c r="B49" s="8" t="s">
        <v>68</v>
      </c>
      <c r="C49" s="23" t="s">
        <v>151</v>
      </c>
      <c r="D49" s="44">
        <f t="shared" si="2"/>
        <v>1131.6104384850469</v>
      </c>
      <c r="E49" s="27" t="s">
        <v>27</v>
      </c>
      <c r="F49" s="41">
        <v>369.01339274728298</v>
      </c>
      <c r="G49" s="41">
        <v>52.176140653252602</v>
      </c>
      <c r="H49" s="41">
        <v>203.59204361297191</v>
      </c>
      <c r="I49" s="41">
        <v>106.22302998548001</v>
      </c>
      <c r="J49" s="48">
        <v>129.38685422025506</v>
      </c>
      <c r="K49" s="13"/>
      <c r="L49" s="27" t="s">
        <v>27</v>
      </c>
      <c r="M49" s="41">
        <v>46.192501674532892</v>
      </c>
      <c r="N49" s="41">
        <v>103.12444924993068</v>
      </c>
      <c r="O49" s="41">
        <v>64.018701201286163</v>
      </c>
      <c r="P49" s="41">
        <v>20.60690435552597</v>
      </c>
      <c r="Q49" s="48">
        <v>37.276420784528618</v>
      </c>
      <c r="R49" s="13"/>
      <c r="S49" s="27" t="s">
        <v>27</v>
      </c>
      <c r="T49" s="41">
        <v>43.174000084400177</v>
      </c>
      <c r="U49" s="41">
        <v>18.410999894142151</v>
      </c>
      <c r="V49" s="41">
        <v>107.66199971735477</v>
      </c>
      <c r="W49" s="41">
        <v>182.10500005632639</v>
      </c>
      <c r="X49" s="41">
        <v>723.60997113212943</v>
      </c>
      <c r="Y49" s="27"/>
      <c r="Z49" s="27" t="s">
        <v>27</v>
      </c>
      <c r="AA49" s="41">
        <v>3.4569998979568481</v>
      </c>
      <c r="AB49" s="41">
        <v>11.037000014446676</v>
      </c>
      <c r="AC49" s="41">
        <v>11.471999892964959</v>
      </c>
      <c r="AD49" s="41">
        <v>7.351000115275383</v>
      </c>
      <c r="AE49" s="41">
        <v>78.17700058221817</v>
      </c>
      <c r="AF49" s="44">
        <f t="shared" si="3"/>
        <v>1186.455971387215</v>
      </c>
    </row>
    <row r="50" spans="1:32" ht="15" customHeight="1">
      <c r="A50" s="3">
        <v>43</v>
      </c>
      <c r="B50" s="8" t="s">
        <v>69</v>
      </c>
      <c r="C50" s="23" t="s">
        <v>150</v>
      </c>
      <c r="D50" s="44">
        <f t="shared" si="2"/>
        <v>846.67305476779575</v>
      </c>
      <c r="E50" s="27" t="s">
        <v>27</v>
      </c>
      <c r="F50" s="41">
        <v>270.53497078931332</v>
      </c>
      <c r="G50" s="41">
        <v>45.806382312774659</v>
      </c>
      <c r="H50" s="41">
        <v>216.24964631382375</v>
      </c>
      <c r="I50" s="41">
        <v>58.75279207885265</v>
      </c>
      <c r="J50" s="48">
        <v>114.58362462482371</v>
      </c>
      <c r="K50" s="13"/>
      <c r="L50" s="27" t="s">
        <v>27</v>
      </c>
      <c r="M50" s="27" t="s">
        <v>27</v>
      </c>
      <c r="N50" s="27" t="s">
        <v>27</v>
      </c>
      <c r="O50" s="41">
        <v>113.07200511144846</v>
      </c>
      <c r="P50" s="41">
        <v>9.5886897143125527</v>
      </c>
      <c r="Q50" s="48">
        <v>18.084943822446636</v>
      </c>
      <c r="R50" s="13"/>
      <c r="S50" s="27" t="s">
        <v>27</v>
      </c>
      <c r="T50" s="41">
        <v>31.215999782085419</v>
      </c>
      <c r="U50" s="41">
        <v>17.666999816894531</v>
      </c>
      <c r="V50" s="41">
        <v>112.62299838289618</v>
      </c>
      <c r="W50" s="41">
        <v>98.856000304222107</v>
      </c>
      <c r="X50" s="41">
        <v>633.37097582221031</v>
      </c>
      <c r="Y50" s="27"/>
      <c r="Z50" s="27" t="s">
        <v>27</v>
      </c>
      <c r="AA50" s="27" t="s">
        <v>27</v>
      </c>
      <c r="AB50" s="27" t="s">
        <v>27</v>
      </c>
      <c r="AC50" s="41">
        <v>11.708000130951405</v>
      </c>
      <c r="AD50" s="41">
        <v>4.6119998693466187</v>
      </c>
      <c r="AE50" s="41">
        <v>45.714999556541443</v>
      </c>
      <c r="AF50" s="44">
        <f t="shared" si="3"/>
        <v>955.76797366514802</v>
      </c>
    </row>
    <row r="51" spans="1:32" ht="15" customHeight="1">
      <c r="A51" s="3">
        <v>44</v>
      </c>
      <c r="B51" s="8" t="s">
        <v>70</v>
      </c>
      <c r="C51" s="23" t="s">
        <v>150</v>
      </c>
      <c r="D51" s="44">
        <f t="shared" si="2"/>
        <v>253.91082768998939</v>
      </c>
      <c r="E51" s="27" t="s">
        <v>27</v>
      </c>
      <c r="F51" s="41">
        <v>3.1124999999999998</v>
      </c>
      <c r="G51" s="41">
        <v>113.79611547794192</v>
      </c>
      <c r="H51" s="41">
        <v>55.170012437820432</v>
      </c>
      <c r="I51" s="41">
        <v>24.436352884232999</v>
      </c>
      <c r="J51" s="48">
        <v>57.395846889994019</v>
      </c>
      <c r="K51" s="13"/>
      <c r="L51" s="27" t="s">
        <v>27</v>
      </c>
      <c r="M51" s="27" t="s">
        <v>27</v>
      </c>
      <c r="N51" s="27" t="s">
        <v>27</v>
      </c>
      <c r="O51" s="27" t="s">
        <v>27</v>
      </c>
      <c r="P51" s="27" t="s">
        <v>27</v>
      </c>
      <c r="Q51" s="48" t="s">
        <v>27</v>
      </c>
      <c r="R51" s="13"/>
      <c r="S51" s="27" t="s">
        <v>27</v>
      </c>
      <c r="T51" s="41">
        <v>0.75</v>
      </c>
      <c r="U51" s="41">
        <v>30.800999660044909</v>
      </c>
      <c r="V51" s="41">
        <v>32.70900022983551</v>
      </c>
      <c r="W51" s="41">
        <v>65.6869997382164</v>
      </c>
      <c r="X51" s="41">
        <v>425.15099231526256</v>
      </c>
      <c r="Y51" s="27"/>
      <c r="Z51" s="27" t="s">
        <v>27</v>
      </c>
      <c r="AA51" s="27" t="s">
        <v>27</v>
      </c>
      <c r="AB51" s="27" t="s">
        <v>27</v>
      </c>
      <c r="AC51" s="27" t="s">
        <v>27</v>
      </c>
      <c r="AD51" s="27" t="s">
        <v>27</v>
      </c>
      <c r="AE51" s="27" t="s">
        <v>27</v>
      </c>
      <c r="AF51" s="44">
        <f t="shared" si="3"/>
        <v>555.09799194335937</v>
      </c>
    </row>
    <row r="52" spans="1:32" ht="15" customHeight="1">
      <c r="A52" s="3">
        <v>45</v>
      </c>
      <c r="B52" s="8" t="s">
        <v>71</v>
      </c>
      <c r="C52" s="23" t="s">
        <v>152</v>
      </c>
      <c r="D52" s="44">
        <f>SUM(E52:J52)+SUM(L52:Q52)</f>
        <v>953.44664227886528</v>
      </c>
      <c r="E52" s="27" t="s">
        <v>27</v>
      </c>
      <c r="F52" s="41">
        <v>261.03827496887743</v>
      </c>
      <c r="G52" s="41">
        <v>19.699999559670687</v>
      </c>
      <c r="H52" s="41">
        <v>109.76110821479558</v>
      </c>
      <c r="I52" s="41">
        <v>44.880748978152873</v>
      </c>
      <c r="J52" s="48">
        <v>89.529701319080573</v>
      </c>
      <c r="K52" s="13"/>
      <c r="L52" s="27" t="s">
        <v>27</v>
      </c>
      <c r="M52" s="27" t="s">
        <v>27</v>
      </c>
      <c r="N52" s="41">
        <v>213.98119039314986</v>
      </c>
      <c r="O52" s="41">
        <v>90.416273943774399</v>
      </c>
      <c r="P52" s="41">
        <v>46.316028378978373</v>
      </c>
      <c r="Q52" s="48">
        <v>77.823316522385483</v>
      </c>
      <c r="R52" s="13"/>
      <c r="S52" s="27" t="s">
        <v>27</v>
      </c>
      <c r="T52" s="41">
        <v>44.46799959987402</v>
      </c>
      <c r="U52" s="41">
        <v>1.9999999552965164</v>
      </c>
      <c r="V52" s="41">
        <v>59.632999531924725</v>
      </c>
      <c r="W52" s="41">
        <v>73.925999619066715</v>
      </c>
      <c r="X52" s="41">
        <v>488.35000956617296</v>
      </c>
      <c r="Y52" s="27"/>
      <c r="Z52" s="27" t="s">
        <v>27</v>
      </c>
      <c r="AA52" s="27" t="s">
        <v>27</v>
      </c>
      <c r="AB52" s="41">
        <v>11.734000131487846</v>
      </c>
      <c r="AC52" s="41">
        <v>10.643999975174665</v>
      </c>
      <c r="AD52" s="41">
        <v>13.217999886721373</v>
      </c>
      <c r="AE52" s="41">
        <v>141.97500311210752</v>
      </c>
      <c r="AF52" s="44">
        <f t="shared" si="3"/>
        <v>845.94801137782633</v>
      </c>
    </row>
    <row r="53" spans="1:32" ht="15" customHeight="1">
      <c r="A53" s="3">
        <v>46</v>
      </c>
      <c r="B53" s="8" t="s">
        <v>72</v>
      </c>
      <c r="C53" s="23" t="s">
        <v>150</v>
      </c>
      <c r="D53" s="44">
        <f t="shared" si="2"/>
        <v>253.81628120709041</v>
      </c>
      <c r="E53" s="27" t="s">
        <v>27</v>
      </c>
      <c r="F53" s="41">
        <v>154.37704214252531</v>
      </c>
      <c r="G53" s="27" t="s">
        <v>27</v>
      </c>
      <c r="H53" s="41">
        <v>30.387400707006453</v>
      </c>
      <c r="I53" s="41">
        <v>26.887655929088591</v>
      </c>
      <c r="J53" s="48">
        <v>42.164182428470049</v>
      </c>
      <c r="K53" s="13"/>
      <c r="L53" s="27" t="s">
        <v>27</v>
      </c>
      <c r="M53" s="27" t="s">
        <v>27</v>
      </c>
      <c r="N53" s="27" t="s">
        <v>27</v>
      </c>
      <c r="O53" s="27" t="s">
        <v>27</v>
      </c>
      <c r="P53" s="27" t="s">
        <v>27</v>
      </c>
      <c r="Q53" s="48" t="s">
        <v>27</v>
      </c>
      <c r="R53" s="13"/>
      <c r="S53" s="27" t="s">
        <v>27</v>
      </c>
      <c r="T53" s="41">
        <v>18.752999670803547</v>
      </c>
      <c r="U53" s="27" t="s">
        <v>27</v>
      </c>
      <c r="V53" s="41">
        <v>17.431999891996384</v>
      </c>
      <c r="W53" s="41">
        <v>52.852000176906586</v>
      </c>
      <c r="X53" s="41">
        <v>256.84700403362513</v>
      </c>
      <c r="Y53" s="27"/>
      <c r="Z53" s="27" t="s">
        <v>27</v>
      </c>
      <c r="AA53" s="27" t="s">
        <v>27</v>
      </c>
      <c r="AB53" s="27" t="s">
        <v>27</v>
      </c>
      <c r="AC53" s="27" t="s">
        <v>27</v>
      </c>
      <c r="AD53" s="27" t="s">
        <v>27</v>
      </c>
      <c r="AE53" s="27" t="s">
        <v>27</v>
      </c>
      <c r="AF53" s="44">
        <f t="shared" si="3"/>
        <v>345.88400377333164</v>
      </c>
    </row>
    <row r="54" spans="1:32" ht="15" customHeight="1">
      <c r="A54" s="3">
        <v>47</v>
      </c>
      <c r="B54" s="8" t="s">
        <v>73</v>
      </c>
      <c r="C54" s="23" t="s">
        <v>151</v>
      </c>
      <c r="D54" s="44">
        <f t="shared" si="2"/>
        <v>3467.4260647013466</v>
      </c>
      <c r="E54" s="41">
        <v>846.05668828964235</v>
      </c>
      <c r="F54" s="41">
        <v>334.47049812817573</v>
      </c>
      <c r="G54" s="41">
        <v>111.17866477918625</v>
      </c>
      <c r="H54" s="41">
        <v>252.62661965486407</v>
      </c>
      <c r="I54" s="41">
        <v>131.96368335750327</v>
      </c>
      <c r="J54" s="48">
        <v>179.36600075035864</v>
      </c>
      <c r="K54" s="13"/>
      <c r="L54" s="41">
        <v>156.02087074232102</v>
      </c>
      <c r="M54" s="41">
        <v>23.641599053144454</v>
      </c>
      <c r="N54" s="41">
        <v>570.24747903239722</v>
      </c>
      <c r="O54" s="41">
        <v>543.67932792349347</v>
      </c>
      <c r="P54" s="41">
        <v>121.9476387142241</v>
      </c>
      <c r="Q54" s="48">
        <v>196.22699427603629</v>
      </c>
      <c r="R54" s="13"/>
      <c r="S54" s="41">
        <v>21.571000099182129</v>
      </c>
      <c r="T54" s="41">
        <v>29.01600044965744</v>
      </c>
      <c r="U54" s="41">
        <v>18.579999923706055</v>
      </c>
      <c r="V54" s="41">
        <v>83.937000408768654</v>
      </c>
      <c r="W54" s="41">
        <v>111.02600037865341</v>
      </c>
      <c r="X54" s="41">
        <v>642.99599200487137</v>
      </c>
      <c r="Y54" s="27"/>
      <c r="Z54" s="41">
        <v>3.0759999752044678</v>
      </c>
      <c r="AA54" s="41">
        <v>0.97999995946884155</v>
      </c>
      <c r="AB54" s="41">
        <v>23.358999907970428</v>
      </c>
      <c r="AC54" s="41">
        <v>51.724000013899058</v>
      </c>
      <c r="AD54" s="41">
        <v>35.24699985794723</v>
      </c>
      <c r="AE54" s="41">
        <v>360.8330060094595</v>
      </c>
      <c r="AF54" s="44">
        <f t="shared" si="3"/>
        <v>1382.3449989887886</v>
      </c>
    </row>
    <row r="55" spans="1:32" ht="15" customHeight="1">
      <c r="A55" s="3">
        <v>48</v>
      </c>
      <c r="B55" s="8" t="s">
        <v>74</v>
      </c>
      <c r="C55" s="23" t="s">
        <v>150</v>
      </c>
      <c r="D55" s="44">
        <f t="shared" si="2"/>
        <v>722.57476036130447</v>
      </c>
      <c r="E55" s="27" t="s">
        <v>27</v>
      </c>
      <c r="F55" s="41">
        <v>229.52697740971297</v>
      </c>
      <c r="G55" s="41">
        <v>160.50123531857878</v>
      </c>
      <c r="H55" s="41">
        <v>134.35936049450933</v>
      </c>
      <c r="I55" s="41">
        <v>92.173827071115369</v>
      </c>
      <c r="J55" s="48">
        <v>106.01336006738796</v>
      </c>
      <c r="K55" s="13"/>
      <c r="L55" s="27" t="s">
        <v>27</v>
      </c>
      <c r="M55" s="27" t="s">
        <v>27</v>
      </c>
      <c r="N55" s="27" t="s">
        <v>27</v>
      </c>
      <c r="O55" s="27" t="s">
        <v>27</v>
      </c>
      <c r="P55" s="27" t="s">
        <v>27</v>
      </c>
      <c r="Q55" s="48" t="s">
        <v>27</v>
      </c>
      <c r="R55" s="13"/>
      <c r="S55" s="27" t="s">
        <v>27</v>
      </c>
      <c r="T55" s="41">
        <v>39.181999124586582</v>
      </c>
      <c r="U55" s="41">
        <v>38.640999834984541</v>
      </c>
      <c r="V55" s="41">
        <v>59.861001882702112</v>
      </c>
      <c r="W55" s="41">
        <v>76.63800098747015</v>
      </c>
      <c r="X55" s="41">
        <v>377.2430032864213</v>
      </c>
      <c r="Y55" s="27"/>
      <c r="Z55" s="27" t="s">
        <v>27</v>
      </c>
      <c r="AA55" s="27" t="s">
        <v>27</v>
      </c>
      <c r="AB55" s="27" t="s">
        <v>27</v>
      </c>
      <c r="AC55" s="27" t="s">
        <v>27</v>
      </c>
      <c r="AD55" s="27" t="s">
        <v>27</v>
      </c>
      <c r="AE55" s="27" t="s">
        <v>27</v>
      </c>
      <c r="AF55" s="44">
        <f t="shared" si="3"/>
        <v>591.56500511616468</v>
      </c>
    </row>
    <row r="56" spans="1:32" ht="15" customHeight="1">
      <c r="A56" s="3">
        <v>49</v>
      </c>
      <c r="B56" s="8" t="s">
        <v>75</v>
      </c>
      <c r="C56" s="23" t="s">
        <v>151</v>
      </c>
      <c r="D56" s="44">
        <f t="shared" si="2"/>
        <v>390.06004237934189</v>
      </c>
      <c r="E56" s="27" t="s">
        <v>27</v>
      </c>
      <c r="F56" s="41">
        <v>59.855055758759377</v>
      </c>
      <c r="G56" s="41">
        <v>58.271400940418246</v>
      </c>
      <c r="H56" s="41">
        <v>74.662636548846962</v>
      </c>
      <c r="I56" s="41">
        <v>48.955118665814396</v>
      </c>
      <c r="J56" s="48">
        <v>63.290798569857053</v>
      </c>
      <c r="K56" s="13"/>
      <c r="L56" s="27" t="s">
        <v>27</v>
      </c>
      <c r="M56" s="27" t="s">
        <v>27</v>
      </c>
      <c r="N56" s="41">
        <v>29.063556792199613</v>
      </c>
      <c r="O56" s="41">
        <v>20.190948773872108</v>
      </c>
      <c r="P56" s="41">
        <v>20.389366271823643</v>
      </c>
      <c r="Q56" s="48">
        <v>15.381160057750529</v>
      </c>
      <c r="R56" s="13"/>
      <c r="S56" s="27" t="s">
        <v>27</v>
      </c>
      <c r="T56" s="41">
        <v>16.966999605298042</v>
      </c>
      <c r="U56" s="41">
        <v>9.16100013256073</v>
      </c>
      <c r="V56" s="41">
        <v>39.180000469088554</v>
      </c>
      <c r="W56" s="41">
        <v>71.814999520778656</v>
      </c>
      <c r="X56" s="41">
        <v>321.11801432166249</v>
      </c>
      <c r="Y56" s="27"/>
      <c r="Z56" s="27" t="s">
        <v>27</v>
      </c>
      <c r="AA56" s="27" t="s">
        <v>27</v>
      </c>
      <c r="AB56" s="41">
        <v>2.4490000531077385</v>
      </c>
      <c r="AC56" s="41">
        <v>3.411999961361289</v>
      </c>
      <c r="AD56" s="41">
        <v>6.2310000583529472</v>
      </c>
      <c r="AE56" s="41">
        <v>29.285999238491058</v>
      </c>
      <c r="AF56" s="44">
        <f t="shared" si="3"/>
        <v>499.6190133607015</v>
      </c>
    </row>
    <row r="57" spans="1:32" ht="15" customHeight="1">
      <c r="A57" s="3">
        <v>50</v>
      </c>
      <c r="B57" s="8" t="s">
        <v>76</v>
      </c>
      <c r="C57" s="23" t="s">
        <v>150</v>
      </c>
      <c r="D57" s="44">
        <f t="shared" si="2"/>
        <v>1053.3948095511944</v>
      </c>
      <c r="E57" s="41">
        <v>677.89520624876025</v>
      </c>
      <c r="F57" s="27" t="s">
        <v>27</v>
      </c>
      <c r="G57" s="27" t="s">
        <v>27</v>
      </c>
      <c r="H57" s="41">
        <v>243.6507443182245</v>
      </c>
      <c r="I57" s="41">
        <v>53.532303858399388</v>
      </c>
      <c r="J57" s="48">
        <v>78.316555125810368</v>
      </c>
      <c r="K57" s="13"/>
      <c r="L57" s="27" t="s">
        <v>27</v>
      </c>
      <c r="M57" s="27" t="s">
        <v>27</v>
      </c>
      <c r="N57" s="27" t="s">
        <v>27</v>
      </c>
      <c r="O57" s="27" t="s">
        <v>27</v>
      </c>
      <c r="P57" s="27" t="s">
        <v>27</v>
      </c>
      <c r="Q57" s="48" t="s">
        <v>27</v>
      </c>
      <c r="R57" s="13"/>
      <c r="S57" s="41">
        <v>20.665999889373779</v>
      </c>
      <c r="T57" s="27" t="s">
        <v>27</v>
      </c>
      <c r="U57" s="27" t="s">
        <v>27</v>
      </c>
      <c r="V57" s="41">
        <v>113.73399945348501</v>
      </c>
      <c r="W57" s="41">
        <v>112.01800023019314</v>
      </c>
      <c r="X57" s="41">
        <v>496.08498901873827</v>
      </c>
      <c r="Y57" s="27"/>
      <c r="Z57" s="27" t="s">
        <v>27</v>
      </c>
      <c r="AA57" s="27" t="s">
        <v>27</v>
      </c>
      <c r="AB57" s="27" t="s">
        <v>27</v>
      </c>
      <c r="AC57" s="27" t="s">
        <v>27</v>
      </c>
      <c r="AD57" s="27" t="s">
        <v>27</v>
      </c>
      <c r="AE57" s="27" t="s">
        <v>27</v>
      </c>
      <c r="AF57" s="44">
        <f t="shared" si="3"/>
        <v>742.5029885917902</v>
      </c>
    </row>
    <row r="58" spans="1:32" ht="15" customHeight="1">
      <c r="A58" s="3">
        <v>51</v>
      </c>
      <c r="B58" s="8" t="s">
        <v>77</v>
      </c>
      <c r="C58" s="23" t="s">
        <v>152</v>
      </c>
      <c r="D58" s="44">
        <f t="shared" si="2"/>
        <v>1419.4592459127471</v>
      </c>
      <c r="E58" s="27" t="s">
        <v>27</v>
      </c>
      <c r="F58" s="41">
        <v>308.05668914723395</v>
      </c>
      <c r="G58" s="41">
        <v>114.13604050573707</v>
      </c>
      <c r="H58" s="41">
        <v>84.840729489684108</v>
      </c>
      <c r="I58" s="41">
        <v>53.83032736802101</v>
      </c>
      <c r="J58" s="48">
        <v>97.049087966116616</v>
      </c>
      <c r="K58" s="13"/>
      <c r="L58" s="27" t="s">
        <v>27</v>
      </c>
      <c r="M58" s="41">
        <v>108.76791396659613</v>
      </c>
      <c r="N58" s="41">
        <v>445.4403822634369</v>
      </c>
      <c r="O58" s="41">
        <v>110.14375481788069</v>
      </c>
      <c r="P58" s="41">
        <v>37.475656190305948</v>
      </c>
      <c r="Q58" s="48">
        <v>59.718664197734704</v>
      </c>
      <c r="R58" s="13"/>
      <c r="S58" s="27" t="s">
        <v>27</v>
      </c>
      <c r="T58" s="41">
        <v>34.059000372886658</v>
      </c>
      <c r="U58" s="41">
        <v>24.018999710679054</v>
      </c>
      <c r="V58" s="41">
        <v>29.076000034809113</v>
      </c>
      <c r="W58" s="41">
        <v>77.497999310493469</v>
      </c>
      <c r="X58" s="41">
        <v>486.65500373393297</v>
      </c>
      <c r="Y58" s="27"/>
      <c r="Z58" s="27" t="s">
        <v>27</v>
      </c>
      <c r="AA58" s="41">
        <v>4.4480000883340836</v>
      </c>
      <c r="AB58" s="41">
        <v>21.827999845147133</v>
      </c>
      <c r="AC58" s="41">
        <v>18.384999804198742</v>
      </c>
      <c r="AD58" s="41">
        <v>14.043000087141991</v>
      </c>
      <c r="AE58" s="41">
        <v>129.15499863773584</v>
      </c>
      <c r="AF58" s="44">
        <f t="shared" si="3"/>
        <v>839.16600162535906</v>
      </c>
    </row>
    <row r="59" spans="1:32" ht="15" customHeight="1">
      <c r="A59" s="3">
        <v>52</v>
      </c>
      <c r="B59" s="8" t="s">
        <v>78</v>
      </c>
      <c r="C59" s="23" t="s">
        <v>150</v>
      </c>
      <c r="D59" s="44">
        <f t="shared" si="2"/>
        <v>712.43214144278852</v>
      </c>
      <c r="E59" s="41">
        <v>410.68404361963275</v>
      </c>
      <c r="F59" s="27" t="s">
        <v>27</v>
      </c>
      <c r="G59" s="41">
        <v>95.329288924939931</v>
      </c>
      <c r="H59" s="41">
        <v>110.05174102896451</v>
      </c>
      <c r="I59" s="41">
        <v>51.775753637954594</v>
      </c>
      <c r="J59" s="48">
        <v>44.5913142312967</v>
      </c>
      <c r="K59" s="13"/>
      <c r="L59" s="27" t="s">
        <v>27</v>
      </c>
      <c r="M59" s="27" t="s">
        <v>27</v>
      </c>
      <c r="N59" s="27" t="s">
        <v>27</v>
      </c>
      <c r="O59" s="27" t="s">
        <v>27</v>
      </c>
      <c r="P59" s="27" t="s">
        <v>27</v>
      </c>
      <c r="Q59" s="48" t="s">
        <v>27</v>
      </c>
      <c r="R59" s="13"/>
      <c r="S59" s="41">
        <v>13.358999967575073</v>
      </c>
      <c r="T59" s="27" t="s">
        <v>27</v>
      </c>
      <c r="U59" s="41">
        <v>29.564999936148524</v>
      </c>
      <c r="V59" s="41">
        <v>51.885000616312027</v>
      </c>
      <c r="W59" s="41">
        <v>98.241999551653862</v>
      </c>
      <c r="X59" s="41">
        <v>265.70399513840675</v>
      </c>
      <c r="Y59" s="27"/>
      <c r="Z59" s="27" t="s">
        <v>27</v>
      </c>
      <c r="AA59" s="27" t="s">
        <v>27</v>
      </c>
      <c r="AB59" s="27" t="s">
        <v>27</v>
      </c>
      <c r="AC59" s="27" t="s">
        <v>27</v>
      </c>
      <c r="AD59" s="27" t="s">
        <v>27</v>
      </c>
      <c r="AE59" s="27" t="s">
        <v>27</v>
      </c>
      <c r="AF59" s="44">
        <f t="shared" si="3"/>
        <v>458.75499521009624</v>
      </c>
    </row>
    <row r="60" spans="1:32" ht="15" customHeight="1">
      <c r="A60" s="3">
        <v>53</v>
      </c>
      <c r="B60" s="8" t="s">
        <v>79</v>
      </c>
      <c r="C60" s="23" t="s">
        <v>150</v>
      </c>
      <c r="D60" s="44">
        <f t="shared" si="2"/>
        <v>182.07883053138957</v>
      </c>
      <c r="E60" s="27" t="s">
        <v>27</v>
      </c>
      <c r="F60" s="41">
        <v>77.269472755514087</v>
      </c>
      <c r="G60" s="41">
        <v>10.048770931705832</v>
      </c>
      <c r="H60" s="41">
        <v>52.603531451821326</v>
      </c>
      <c r="I60" s="41">
        <v>12.319142113480718</v>
      </c>
      <c r="J60" s="48">
        <v>29.8379132788676</v>
      </c>
      <c r="K60" s="13"/>
      <c r="L60" s="27" t="s">
        <v>27</v>
      </c>
      <c r="M60" s="27" t="s">
        <v>27</v>
      </c>
      <c r="N60" s="27" t="s">
        <v>27</v>
      </c>
      <c r="O60" s="27" t="s">
        <v>27</v>
      </c>
      <c r="P60" s="27" t="s">
        <v>27</v>
      </c>
      <c r="Q60" s="48" t="s">
        <v>27</v>
      </c>
      <c r="R60" s="13"/>
      <c r="S60" s="27" t="s">
        <v>27</v>
      </c>
      <c r="T60" s="41">
        <v>20.013000655919313</v>
      </c>
      <c r="U60" s="41">
        <v>18.376999661326408</v>
      </c>
      <c r="V60" s="41">
        <v>46.561000388115644</v>
      </c>
      <c r="W60" s="41">
        <v>48.85600058734417</v>
      </c>
      <c r="X60" s="41">
        <v>281.81000193953514</v>
      </c>
      <c r="Y60" s="27"/>
      <c r="Z60" s="27" t="s">
        <v>27</v>
      </c>
      <c r="AA60" s="27" t="s">
        <v>27</v>
      </c>
      <c r="AB60" s="27" t="s">
        <v>27</v>
      </c>
      <c r="AC60" s="27" t="s">
        <v>27</v>
      </c>
      <c r="AD60" s="27" t="s">
        <v>27</v>
      </c>
      <c r="AE60" s="27" t="s">
        <v>27</v>
      </c>
      <c r="AF60" s="44">
        <f t="shared" si="3"/>
        <v>415.61700323224068</v>
      </c>
    </row>
    <row r="61" spans="1:32" ht="15" customHeight="1">
      <c r="A61" s="3">
        <v>54</v>
      </c>
      <c r="B61" s="8" t="s">
        <v>80</v>
      </c>
      <c r="C61" s="23" t="s">
        <v>151</v>
      </c>
      <c r="D61" s="44">
        <f t="shared" si="2"/>
        <v>1622.5311861954619</v>
      </c>
      <c r="E61" s="27" t="s">
        <v>27</v>
      </c>
      <c r="F61" s="41">
        <v>581.09845207500462</v>
      </c>
      <c r="G61" s="41">
        <v>86.741907648071646</v>
      </c>
      <c r="H61" s="41">
        <v>266.0849027101882</v>
      </c>
      <c r="I61" s="41">
        <v>111.72304421321675</v>
      </c>
      <c r="J61" s="48">
        <v>165.79549413980672</v>
      </c>
      <c r="K61" s="13"/>
      <c r="L61" s="27" t="s">
        <v>27</v>
      </c>
      <c r="M61" s="41">
        <v>51.632614795446393</v>
      </c>
      <c r="N61" s="27" t="s">
        <v>27</v>
      </c>
      <c r="O61" s="41">
        <v>210.28087084761262</v>
      </c>
      <c r="P61" s="41">
        <v>73.74750303383172</v>
      </c>
      <c r="Q61" s="48">
        <v>75.42639673228328</v>
      </c>
      <c r="R61" s="13"/>
      <c r="S61" s="27" t="s">
        <v>27</v>
      </c>
      <c r="T61" s="41">
        <v>46.648999154567719</v>
      </c>
      <c r="U61" s="41">
        <v>15.266000121831894</v>
      </c>
      <c r="V61" s="41">
        <v>93.298999458551407</v>
      </c>
      <c r="W61" s="41">
        <v>100.30600072816014</v>
      </c>
      <c r="X61" s="41">
        <v>618.96900445222855</v>
      </c>
      <c r="Y61" s="27"/>
      <c r="Z61" s="27" t="s">
        <v>27</v>
      </c>
      <c r="AA61" s="41">
        <v>1.9190000295639038</v>
      </c>
      <c r="AB61" s="27" t="s">
        <v>27</v>
      </c>
      <c r="AC61" s="41">
        <v>18.078000131994486</v>
      </c>
      <c r="AD61" s="41">
        <v>18.061999969184399</v>
      </c>
      <c r="AE61" s="41">
        <v>125.06300196051598</v>
      </c>
      <c r="AF61" s="44">
        <f t="shared" si="3"/>
        <v>1037.6110060065985</v>
      </c>
    </row>
    <row r="62" spans="1:32" ht="15" customHeight="1">
      <c r="A62" s="3">
        <v>55</v>
      </c>
      <c r="B62" s="8" t="s">
        <v>81</v>
      </c>
      <c r="C62" s="23" t="s">
        <v>150</v>
      </c>
      <c r="D62" s="44">
        <f t="shared" si="2"/>
        <v>300.35935009684545</v>
      </c>
      <c r="E62" s="27" t="s">
        <v>27</v>
      </c>
      <c r="F62" s="27" t="s">
        <v>27</v>
      </c>
      <c r="G62" s="41">
        <v>166.12244477717579</v>
      </c>
      <c r="H62" s="41">
        <v>35.361782860659062</v>
      </c>
      <c r="I62" s="41">
        <v>34.131946943297983</v>
      </c>
      <c r="J62" s="48">
        <v>64.743175515712593</v>
      </c>
      <c r="K62" s="13"/>
      <c r="L62" s="27" t="s">
        <v>27</v>
      </c>
      <c r="M62" s="27" t="s">
        <v>27</v>
      </c>
      <c r="N62" s="27" t="s">
        <v>27</v>
      </c>
      <c r="O62" s="27" t="s">
        <v>27</v>
      </c>
      <c r="P62" s="27" t="s">
        <v>27</v>
      </c>
      <c r="Q62" s="48" t="s">
        <v>27</v>
      </c>
      <c r="R62" s="13"/>
      <c r="S62" s="27" t="s">
        <v>27</v>
      </c>
      <c r="T62" s="27" t="s">
        <v>27</v>
      </c>
      <c r="U62" s="41">
        <v>42.107999905943871</v>
      </c>
      <c r="V62" s="41">
        <v>33.358000375330448</v>
      </c>
      <c r="W62" s="41">
        <v>93.38299997150898</v>
      </c>
      <c r="X62" s="41">
        <v>484.89200013130903</v>
      </c>
      <c r="Y62" s="27"/>
      <c r="Z62" s="27" t="s">
        <v>27</v>
      </c>
      <c r="AA62" s="27" t="s">
        <v>27</v>
      </c>
      <c r="AB62" s="27" t="s">
        <v>27</v>
      </c>
      <c r="AC62" s="27" t="s">
        <v>27</v>
      </c>
      <c r="AD62" s="27" t="s">
        <v>27</v>
      </c>
      <c r="AE62" s="27" t="s">
        <v>27</v>
      </c>
      <c r="AF62" s="44">
        <f t="shared" si="3"/>
        <v>653.74100038409233</v>
      </c>
    </row>
    <row r="63" spans="1:32" ht="15" customHeight="1">
      <c r="A63" s="3">
        <v>56</v>
      </c>
      <c r="B63" s="8" t="s">
        <v>82</v>
      </c>
      <c r="C63" s="23" t="s">
        <v>152</v>
      </c>
      <c r="D63" s="44">
        <f t="shared" si="2"/>
        <v>19662.229301532698</v>
      </c>
      <c r="E63" s="41">
        <v>262.94620746970179</v>
      </c>
      <c r="F63" s="41">
        <v>130.35920059161634</v>
      </c>
      <c r="G63" s="41">
        <v>92.473750287085778</v>
      </c>
      <c r="H63" s="41">
        <v>1.1941200602054596</v>
      </c>
      <c r="I63" s="41">
        <v>14.89824769942183</v>
      </c>
      <c r="J63" s="48">
        <v>42.391384775748797</v>
      </c>
      <c r="K63" s="13"/>
      <c r="L63" s="41">
        <v>8484.6111973028328</v>
      </c>
      <c r="M63" s="41">
        <v>532.14739983356003</v>
      </c>
      <c r="N63" s="41">
        <v>4168.7048055451178</v>
      </c>
      <c r="O63" s="41">
        <v>2410.3352618536464</v>
      </c>
      <c r="P63" s="41">
        <v>1431.9667554707044</v>
      </c>
      <c r="Q63" s="48">
        <v>2090.2009706430595</v>
      </c>
      <c r="R63" s="13"/>
      <c r="S63" s="41">
        <v>5.0860001444816589</v>
      </c>
      <c r="T63" s="41">
        <v>4.8140000309795141</v>
      </c>
      <c r="U63" s="41">
        <v>7.8870000168681145</v>
      </c>
      <c r="V63" s="41">
        <v>0.55800002813339233</v>
      </c>
      <c r="W63" s="41">
        <v>9.6579997902736068</v>
      </c>
      <c r="X63" s="41">
        <v>129.12400043010712</v>
      </c>
      <c r="Y63" s="27"/>
      <c r="Z63" s="41">
        <v>91.745000004768372</v>
      </c>
      <c r="AA63" s="41">
        <v>13.650999993085861</v>
      </c>
      <c r="AB63" s="41">
        <v>177.22700012102723</v>
      </c>
      <c r="AC63" s="41">
        <v>206.87899996328633</v>
      </c>
      <c r="AD63" s="41">
        <v>225.96999994385988</v>
      </c>
      <c r="AE63" s="41">
        <v>2633.4119164403528</v>
      </c>
      <c r="AF63" s="44">
        <f t="shared" si="3"/>
        <v>3506.0109169072239</v>
      </c>
    </row>
    <row r="64" spans="1:32" ht="15" customHeight="1">
      <c r="A64" s="3">
        <v>57</v>
      </c>
      <c r="B64" s="8" t="s">
        <v>83</v>
      </c>
      <c r="C64" s="23" t="s">
        <v>158</v>
      </c>
      <c r="D64" s="44">
        <f t="shared" si="2"/>
        <v>979.59426166662888</v>
      </c>
      <c r="E64" s="27" t="s">
        <v>27</v>
      </c>
      <c r="F64" s="41">
        <v>203.68975514912606</v>
      </c>
      <c r="G64" s="41">
        <v>89.127450179874899</v>
      </c>
      <c r="H64" s="41">
        <v>80.929065830975773</v>
      </c>
      <c r="I64" s="41">
        <v>57.78691851666197</v>
      </c>
      <c r="J64" s="48">
        <v>49.558933129373159</v>
      </c>
      <c r="K64" s="13"/>
      <c r="L64" s="27" t="s">
        <v>27</v>
      </c>
      <c r="M64" s="27" t="s">
        <v>27</v>
      </c>
      <c r="N64" s="41">
        <v>235.13202598548679</v>
      </c>
      <c r="O64" s="41">
        <v>134.54231676129623</v>
      </c>
      <c r="P64" s="41">
        <v>46.621314290940759</v>
      </c>
      <c r="Q64" s="48">
        <v>82.206481822893267</v>
      </c>
      <c r="R64" s="13"/>
      <c r="S64" s="27" t="s">
        <v>27</v>
      </c>
      <c r="T64" s="41">
        <v>8.5430001020431519</v>
      </c>
      <c r="U64" s="41">
        <v>11.469999954104424</v>
      </c>
      <c r="V64" s="41">
        <v>25.721999831497669</v>
      </c>
      <c r="W64" s="41">
        <v>51.82700059004128</v>
      </c>
      <c r="X64" s="41">
        <v>184.89799804240465</v>
      </c>
      <c r="Y64" s="27"/>
      <c r="Z64" s="27" t="s">
        <v>27</v>
      </c>
      <c r="AA64" s="27" t="s">
        <v>27</v>
      </c>
      <c r="AB64" s="41">
        <v>7.859999880194664</v>
      </c>
      <c r="AC64" s="41">
        <v>12.25600010342896</v>
      </c>
      <c r="AD64" s="41">
        <v>9.8269999101758003</v>
      </c>
      <c r="AE64" s="41">
        <v>124.10400253534317</v>
      </c>
      <c r="AF64" s="44">
        <f t="shared" si="3"/>
        <v>436.50700094923377</v>
      </c>
    </row>
    <row r="65" spans="1:32" ht="15" customHeight="1">
      <c r="A65" s="3">
        <v>58</v>
      </c>
      <c r="B65" s="8" t="s">
        <v>84</v>
      </c>
      <c r="C65" s="23" t="s">
        <v>150</v>
      </c>
      <c r="D65" s="44">
        <f t="shared" si="2"/>
        <v>633.44201061848094</v>
      </c>
      <c r="E65" s="27" t="s">
        <v>27</v>
      </c>
      <c r="F65" s="41">
        <v>266.30501123128829</v>
      </c>
      <c r="G65" s="41">
        <v>79.154311673045157</v>
      </c>
      <c r="H65" s="41">
        <v>157.01792926484347</v>
      </c>
      <c r="I65" s="41">
        <v>62.531640590690074</v>
      </c>
      <c r="J65" s="48">
        <v>68.433117858613997</v>
      </c>
      <c r="K65" s="13"/>
      <c r="L65" s="27" t="s">
        <v>27</v>
      </c>
      <c r="M65" s="27" t="s">
        <v>27</v>
      </c>
      <c r="N65" s="27" t="s">
        <v>27</v>
      </c>
      <c r="O65" s="27" t="s">
        <v>27</v>
      </c>
      <c r="P65" s="27" t="s">
        <v>27</v>
      </c>
      <c r="Q65" s="48" t="s">
        <v>27</v>
      </c>
      <c r="R65" s="13"/>
      <c r="S65" s="27" t="s">
        <v>27</v>
      </c>
      <c r="T65" s="41">
        <v>29.315000344067812</v>
      </c>
      <c r="U65" s="41">
        <v>9.5620000064373016</v>
      </c>
      <c r="V65" s="41">
        <v>49.334000810980797</v>
      </c>
      <c r="W65" s="41">
        <v>83.976999420672655</v>
      </c>
      <c r="X65" s="41">
        <v>328.5680005159229</v>
      </c>
      <c r="Y65" s="27"/>
      <c r="Z65" s="27" t="s">
        <v>27</v>
      </c>
      <c r="AA65" s="27" t="s">
        <v>27</v>
      </c>
      <c r="AB65" s="27" t="s">
        <v>27</v>
      </c>
      <c r="AC65" s="27" t="s">
        <v>27</v>
      </c>
      <c r="AD65" s="27" t="s">
        <v>27</v>
      </c>
      <c r="AE65" s="27" t="s">
        <v>27</v>
      </c>
      <c r="AF65" s="44">
        <f t="shared" si="3"/>
        <v>500.75600109808147</v>
      </c>
    </row>
    <row r="66" spans="1:32" ht="15" customHeight="1">
      <c r="A66" s="3">
        <v>59</v>
      </c>
      <c r="B66" s="8" t="s">
        <v>85</v>
      </c>
      <c r="C66" s="23" t="s">
        <v>152</v>
      </c>
      <c r="D66" s="44">
        <f t="shared" si="2"/>
        <v>3958.3470394022106</v>
      </c>
      <c r="E66" s="41">
        <v>154.98880577087402</v>
      </c>
      <c r="F66" s="27" t="s">
        <v>27</v>
      </c>
      <c r="G66" s="27" t="s">
        <v>27</v>
      </c>
      <c r="H66" s="41">
        <v>103.40879096328467</v>
      </c>
      <c r="I66" s="41">
        <v>10.154294009804726</v>
      </c>
      <c r="J66" s="48">
        <v>17.162308921986735</v>
      </c>
      <c r="K66" s="13"/>
      <c r="L66" s="41">
        <v>2104.3414468564392</v>
      </c>
      <c r="M66" s="27" t="s">
        <v>27</v>
      </c>
      <c r="N66" s="41">
        <v>490.21557943790219</v>
      </c>
      <c r="O66" s="41">
        <v>468.28453168644756</v>
      </c>
      <c r="P66" s="41">
        <v>304.77007848949728</v>
      </c>
      <c r="Q66" s="48">
        <v>305.0212032659739</v>
      </c>
      <c r="R66" s="13"/>
      <c r="S66" s="41">
        <v>3.1760001182556152</v>
      </c>
      <c r="T66" s="27" t="s">
        <v>27</v>
      </c>
      <c r="U66" s="27" t="s">
        <v>27</v>
      </c>
      <c r="V66" s="41">
        <v>37.502999713644385</v>
      </c>
      <c r="W66" s="41">
        <v>16.433999925851822</v>
      </c>
      <c r="X66" s="41">
        <v>92.589999496936798</v>
      </c>
      <c r="Y66" s="27"/>
      <c r="Z66" s="41">
        <v>16.248000256717205</v>
      </c>
      <c r="AA66" s="27" t="s">
        <v>27</v>
      </c>
      <c r="AB66" s="41">
        <v>32.300999947823584</v>
      </c>
      <c r="AC66" s="41">
        <v>38.934999659657478</v>
      </c>
      <c r="AD66" s="41">
        <v>65.340999744832516</v>
      </c>
      <c r="AE66" s="41">
        <v>465.39199735224247</v>
      </c>
      <c r="AF66" s="44">
        <f t="shared" si="3"/>
        <v>767.91999621596187</v>
      </c>
    </row>
    <row r="67" spans="1:32" ht="15" customHeight="1">
      <c r="A67" s="3">
        <v>60</v>
      </c>
      <c r="B67" s="8" t="s">
        <v>86</v>
      </c>
      <c r="C67" s="23" t="s">
        <v>150</v>
      </c>
      <c r="D67" s="44">
        <f t="shared" si="2"/>
        <v>550.60758543837915</v>
      </c>
      <c r="E67" s="27" t="s">
        <v>27</v>
      </c>
      <c r="F67" s="41">
        <v>207.35023723363875</v>
      </c>
      <c r="G67" s="41">
        <v>74.224952741205698</v>
      </c>
      <c r="H67" s="41">
        <v>141.95671647343039</v>
      </c>
      <c r="I67" s="41">
        <v>73.003856204509731</v>
      </c>
      <c r="J67" s="48">
        <v>54.07182278559462</v>
      </c>
      <c r="K67" s="13"/>
      <c r="L67" s="27" t="s">
        <v>27</v>
      </c>
      <c r="M67" s="27" t="s">
        <v>27</v>
      </c>
      <c r="N67" s="27" t="s">
        <v>27</v>
      </c>
      <c r="O67" s="27" t="s">
        <v>27</v>
      </c>
      <c r="P67" s="27" t="s">
        <v>27</v>
      </c>
      <c r="Q67" s="48" t="s">
        <v>27</v>
      </c>
      <c r="R67" s="13"/>
      <c r="S67" s="27" t="s">
        <v>27</v>
      </c>
      <c r="T67" s="41">
        <v>29.421999573707581</v>
      </c>
      <c r="U67" s="41">
        <v>12.468000158667564</v>
      </c>
      <c r="V67" s="41">
        <v>69.541000887751579</v>
      </c>
      <c r="W67" s="41">
        <v>88.344000101089478</v>
      </c>
      <c r="X67" s="41">
        <v>243.25999820232391</v>
      </c>
      <c r="Y67" s="27"/>
      <c r="Z67" s="27" t="s">
        <v>27</v>
      </c>
      <c r="AA67" s="27" t="s">
        <v>27</v>
      </c>
      <c r="AB67" s="27" t="s">
        <v>27</v>
      </c>
      <c r="AC67" s="27" t="s">
        <v>27</v>
      </c>
      <c r="AD67" s="27" t="s">
        <v>27</v>
      </c>
      <c r="AE67" s="27" t="s">
        <v>27</v>
      </c>
      <c r="AF67" s="44">
        <f t="shared" si="3"/>
        <v>443.03499892354012</v>
      </c>
    </row>
    <row r="68" spans="1:32" ht="15" customHeight="1">
      <c r="A68" s="3">
        <v>61</v>
      </c>
      <c r="B68" s="8" t="s">
        <v>87</v>
      </c>
      <c r="C68" s="23" t="s">
        <v>151</v>
      </c>
      <c r="D68" s="44">
        <f t="shared" si="2"/>
        <v>866.80823662519549</v>
      </c>
      <c r="E68" s="27" t="s">
        <v>27</v>
      </c>
      <c r="F68" s="41">
        <v>475.47526505589485</v>
      </c>
      <c r="G68" s="27" t="s">
        <v>27</v>
      </c>
      <c r="H68" s="41">
        <v>111.73059715844319</v>
      </c>
      <c r="I68" s="41">
        <v>99.841267554137858</v>
      </c>
      <c r="J68" s="48">
        <v>137.78705053026977</v>
      </c>
      <c r="K68" s="13"/>
      <c r="L68" s="27" t="s">
        <v>27</v>
      </c>
      <c r="M68" s="27" t="s">
        <v>27</v>
      </c>
      <c r="N68" s="41">
        <v>14.551293758988381</v>
      </c>
      <c r="O68" s="41">
        <v>18.378784909576179</v>
      </c>
      <c r="P68" s="41">
        <v>4.7049861008711158</v>
      </c>
      <c r="Q68" s="48">
        <v>4.3389915570141593</v>
      </c>
      <c r="R68" s="13"/>
      <c r="S68" s="27" t="s">
        <v>27</v>
      </c>
      <c r="T68" s="41">
        <v>29.560000419616699</v>
      </c>
      <c r="U68" s="27" t="s">
        <v>27</v>
      </c>
      <c r="V68" s="41">
        <v>54.4140002168715</v>
      </c>
      <c r="W68" s="41">
        <v>96.877001378685236</v>
      </c>
      <c r="X68" s="41">
        <v>539.9789951145649</v>
      </c>
      <c r="Y68" s="27"/>
      <c r="Z68" s="27" t="s">
        <v>27</v>
      </c>
      <c r="AA68" s="27" t="s">
        <v>27</v>
      </c>
      <c r="AB68" s="41">
        <v>0.54699999094009399</v>
      </c>
      <c r="AC68" s="41">
        <v>1.3129999935626984</v>
      </c>
      <c r="AD68" s="41">
        <v>2.4290000423789024</v>
      </c>
      <c r="AE68" s="41">
        <v>11.464000225067139</v>
      </c>
      <c r="AF68" s="44">
        <f t="shared" si="3"/>
        <v>736.58299738168716</v>
      </c>
    </row>
    <row r="69" spans="1:32" ht="15" customHeight="1">
      <c r="A69" s="3">
        <v>62</v>
      </c>
      <c r="B69" s="8" t="s">
        <v>88</v>
      </c>
      <c r="C69" s="23" t="s">
        <v>150</v>
      </c>
      <c r="D69" s="44">
        <f t="shared" si="2"/>
        <v>506.45078794378469</v>
      </c>
      <c r="E69" s="41">
        <v>136.33240715885162</v>
      </c>
      <c r="F69" s="41">
        <v>113.95260916513205</v>
      </c>
      <c r="G69" s="41">
        <v>83.46643007414788</v>
      </c>
      <c r="H69" s="41">
        <v>79.909229289956386</v>
      </c>
      <c r="I69" s="41">
        <v>31.159713857769965</v>
      </c>
      <c r="J69" s="48">
        <v>61.630398397926776</v>
      </c>
      <c r="K69" s="13"/>
      <c r="L69" s="27" t="s">
        <v>27</v>
      </c>
      <c r="M69" s="27" t="s">
        <v>27</v>
      </c>
      <c r="N69" s="27" t="s">
        <v>27</v>
      </c>
      <c r="O69" s="27" t="s">
        <v>27</v>
      </c>
      <c r="P69" s="27" t="s">
        <v>27</v>
      </c>
      <c r="Q69" s="48" t="s">
        <v>27</v>
      </c>
      <c r="R69" s="13"/>
      <c r="S69" s="41">
        <v>4.0390000343322754</v>
      </c>
      <c r="T69" s="41">
        <v>16.254000216722488</v>
      </c>
      <c r="U69" s="41">
        <v>21.756000190973282</v>
      </c>
      <c r="V69" s="41">
        <v>37.75200042873621</v>
      </c>
      <c r="W69" s="41">
        <v>49.060999810695648</v>
      </c>
      <c r="X69" s="41">
        <v>326.82600004971027</v>
      </c>
      <c r="Y69" s="27"/>
      <c r="Z69" s="27" t="s">
        <v>27</v>
      </c>
      <c r="AA69" s="27" t="s">
        <v>27</v>
      </c>
      <c r="AB69" s="27" t="s">
        <v>27</v>
      </c>
      <c r="AC69" s="27" t="s">
        <v>27</v>
      </c>
      <c r="AD69" s="27" t="s">
        <v>27</v>
      </c>
      <c r="AE69" s="27" t="s">
        <v>27</v>
      </c>
      <c r="AF69" s="44">
        <f t="shared" si="3"/>
        <v>455.68800073117018</v>
      </c>
    </row>
    <row r="70" spans="1:32" ht="15" customHeight="1">
      <c r="A70" s="3">
        <v>63</v>
      </c>
      <c r="B70" s="8" t="s">
        <v>89</v>
      </c>
      <c r="C70" s="23" t="s">
        <v>151</v>
      </c>
      <c r="D70" s="44">
        <f t="shared" si="2"/>
        <v>2263.7358426717838</v>
      </c>
      <c r="E70" s="41">
        <v>705.84735637140273</v>
      </c>
      <c r="F70" s="41">
        <v>144.86179125356674</v>
      </c>
      <c r="G70" s="41">
        <v>55.011809709548949</v>
      </c>
      <c r="H70" s="41">
        <v>396.27183541969953</v>
      </c>
      <c r="I70" s="41">
        <v>103.93641417863965</v>
      </c>
      <c r="J70" s="48">
        <v>222.86615199075399</v>
      </c>
      <c r="K70" s="13"/>
      <c r="L70" s="41">
        <v>139.15000367355347</v>
      </c>
      <c r="M70" s="27" t="s">
        <v>27</v>
      </c>
      <c r="N70" s="41">
        <v>233.22582503134012</v>
      </c>
      <c r="O70" s="41">
        <v>186.38731089900435</v>
      </c>
      <c r="P70" s="41">
        <v>34.641781535863878</v>
      </c>
      <c r="Q70" s="48">
        <v>41.535562608410629</v>
      </c>
      <c r="R70" s="13"/>
      <c r="S70" s="41">
        <v>19.266000658273697</v>
      </c>
      <c r="T70" s="41">
        <v>16.234999656677246</v>
      </c>
      <c r="U70" s="41">
        <v>10.92000013589859</v>
      </c>
      <c r="V70" s="41">
        <v>89.417999748140574</v>
      </c>
      <c r="W70" s="41">
        <v>87.019000023603439</v>
      </c>
      <c r="X70" s="41">
        <v>796.49900620803237</v>
      </c>
      <c r="Y70" s="27"/>
      <c r="Z70" s="41">
        <v>3.5580000877380371</v>
      </c>
      <c r="AA70" s="27" t="s">
        <v>27</v>
      </c>
      <c r="AB70" s="41">
        <v>12.082999917678535</v>
      </c>
      <c r="AC70" s="41">
        <v>15.954999871551991</v>
      </c>
      <c r="AD70" s="41">
        <v>10.085999898612499</v>
      </c>
      <c r="AE70" s="41">
        <v>76.726997829973698</v>
      </c>
      <c r="AF70" s="44">
        <f t="shared" si="3"/>
        <v>1137.7660040361807</v>
      </c>
    </row>
    <row r="71" spans="1:32" ht="15" customHeight="1">
      <c r="A71" s="3">
        <v>64</v>
      </c>
      <c r="B71" s="8" t="s">
        <v>90</v>
      </c>
      <c r="C71" s="23" t="s">
        <v>150</v>
      </c>
      <c r="D71" s="44">
        <f t="shared" si="2"/>
        <v>547.57443618340767</v>
      </c>
      <c r="E71" s="27" t="s">
        <v>27</v>
      </c>
      <c r="F71" s="41">
        <v>310.67373185945303</v>
      </c>
      <c r="G71" s="41">
        <v>28.06521834361553</v>
      </c>
      <c r="H71" s="41">
        <v>119.64601646664738</v>
      </c>
      <c r="I71" s="41">
        <v>27.93914840877056</v>
      </c>
      <c r="J71" s="48">
        <v>61.250321104921127</v>
      </c>
      <c r="K71" s="13"/>
      <c r="L71" s="27" t="s">
        <v>27</v>
      </c>
      <c r="M71" s="27" t="s">
        <v>27</v>
      </c>
      <c r="N71" s="27" t="s">
        <v>27</v>
      </c>
      <c r="O71" s="27" t="s">
        <v>27</v>
      </c>
      <c r="P71" s="27" t="s">
        <v>27</v>
      </c>
      <c r="Q71" s="48" t="s">
        <v>27</v>
      </c>
      <c r="R71" s="13"/>
      <c r="S71" s="27" t="s">
        <v>27</v>
      </c>
      <c r="T71" s="41">
        <v>34.273999679833651</v>
      </c>
      <c r="U71" s="41">
        <v>4.6079999729990959</v>
      </c>
      <c r="V71" s="41">
        <v>97.208000702783465</v>
      </c>
      <c r="W71" s="41">
        <v>67.958000749349594</v>
      </c>
      <c r="X71" s="41">
        <v>426.2309935092926</v>
      </c>
      <c r="Y71" s="27"/>
      <c r="Z71" s="27" t="s">
        <v>27</v>
      </c>
      <c r="AA71" s="27" t="s">
        <v>27</v>
      </c>
      <c r="AB71" s="27" t="s">
        <v>27</v>
      </c>
      <c r="AC71" s="27" t="s">
        <v>27</v>
      </c>
      <c r="AD71" s="27" t="s">
        <v>27</v>
      </c>
      <c r="AE71" s="27" t="s">
        <v>27</v>
      </c>
      <c r="AF71" s="44">
        <f t="shared" si="3"/>
        <v>630.27899461425841</v>
      </c>
    </row>
    <row r="72" spans="1:32" ht="15" customHeight="1">
      <c r="A72" s="3">
        <v>65</v>
      </c>
      <c r="B72" s="8" t="s">
        <v>91</v>
      </c>
      <c r="C72" s="23" t="s">
        <v>150</v>
      </c>
      <c r="D72" s="44">
        <f t="shared" ref="D72:D103" si="4">SUM(E72:J72)+SUM(L72:Q72)</f>
        <v>184.28692594926537</v>
      </c>
      <c r="E72" s="27" t="s">
        <v>27</v>
      </c>
      <c r="F72" s="27" t="s">
        <v>27</v>
      </c>
      <c r="G72" s="41">
        <v>58.422248413294554</v>
      </c>
      <c r="H72" s="41">
        <v>55.847852114886045</v>
      </c>
      <c r="I72" s="41">
        <v>19.88210592776537</v>
      </c>
      <c r="J72" s="48">
        <v>50.134719493319395</v>
      </c>
      <c r="K72" s="13"/>
      <c r="L72" s="27" t="s">
        <v>27</v>
      </c>
      <c r="M72" s="27" t="s">
        <v>27</v>
      </c>
      <c r="N72" s="27" t="s">
        <v>27</v>
      </c>
      <c r="O72" s="27" t="s">
        <v>27</v>
      </c>
      <c r="P72" s="27" t="s">
        <v>27</v>
      </c>
      <c r="Q72" s="48" t="s">
        <v>27</v>
      </c>
      <c r="R72" s="13"/>
      <c r="S72" s="27" t="s">
        <v>27</v>
      </c>
      <c r="T72" s="27" t="s">
        <v>27</v>
      </c>
      <c r="U72" s="41">
        <v>14.845000192523003</v>
      </c>
      <c r="V72" s="41">
        <v>39.197999253869057</v>
      </c>
      <c r="W72" s="41">
        <v>47.784999966621399</v>
      </c>
      <c r="X72" s="41">
        <v>346.27999012172222</v>
      </c>
      <c r="Y72" s="27"/>
      <c r="Z72" s="27" t="s">
        <v>27</v>
      </c>
      <c r="AA72" s="27" t="s">
        <v>27</v>
      </c>
      <c r="AB72" s="27" t="s">
        <v>27</v>
      </c>
      <c r="AC72" s="27" t="s">
        <v>27</v>
      </c>
      <c r="AD72" s="27" t="s">
        <v>27</v>
      </c>
      <c r="AE72" s="27" t="s">
        <v>27</v>
      </c>
      <c r="AF72" s="44">
        <f t="shared" ref="AF72:AF103" si="5">SUM(S72:AE72)</f>
        <v>448.10798953473568</v>
      </c>
    </row>
    <row r="73" spans="1:32" ht="15" customHeight="1">
      <c r="A73" s="3">
        <v>66</v>
      </c>
      <c r="B73" s="8" t="s">
        <v>92</v>
      </c>
      <c r="C73" s="23" t="s">
        <v>150</v>
      </c>
      <c r="D73" s="44">
        <f t="shared" si="4"/>
        <v>358.74974991223854</v>
      </c>
      <c r="E73" s="27" t="s">
        <v>27</v>
      </c>
      <c r="F73" s="41">
        <v>86.399899501800533</v>
      </c>
      <c r="G73" s="41">
        <v>87.368664302654565</v>
      </c>
      <c r="H73" s="41">
        <v>88.121067219734186</v>
      </c>
      <c r="I73" s="41">
        <v>34.854270524978638</v>
      </c>
      <c r="J73" s="48">
        <v>62.005848363070648</v>
      </c>
      <c r="K73" s="13"/>
      <c r="L73" s="27" t="s">
        <v>27</v>
      </c>
      <c r="M73" s="27" t="s">
        <v>27</v>
      </c>
      <c r="N73" s="27" t="s">
        <v>27</v>
      </c>
      <c r="O73" s="27" t="s">
        <v>27</v>
      </c>
      <c r="P73" s="27" t="s">
        <v>27</v>
      </c>
      <c r="Q73" s="48" t="s">
        <v>27</v>
      </c>
      <c r="R73" s="13"/>
      <c r="S73" s="27" t="s">
        <v>27</v>
      </c>
      <c r="T73" s="41">
        <v>15.096999883651733</v>
      </c>
      <c r="U73" s="41">
        <v>26.036999765783548</v>
      </c>
      <c r="V73" s="41">
        <v>56.483000516891479</v>
      </c>
      <c r="W73" s="41">
        <v>63.987999647855759</v>
      </c>
      <c r="X73" s="41">
        <v>361.93300540745258</v>
      </c>
      <c r="Y73" s="27"/>
      <c r="Z73" s="27" t="s">
        <v>27</v>
      </c>
      <c r="AA73" s="27" t="s">
        <v>27</v>
      </c>
      <c r="AB73" s="27" t="s">
        <v>27</v>
      </c>
      <c r="AC73" s="27" t="s">
        <v>27</v>
      </c>
      <c r="AD73" s="27" t="s">
        <v>27</v>
      </c>
      <c r="AE73" s="27" t="s">
        <v>27</v>
      </c>
      <c r="AF73" s="44">
        <f t="shared" si="5"/>
        <v>523.5380052216351</v>
      </c>
    </row>
    <row r="74" spans="1:32" ht="15" customHeight="1">
      <c r="A74" s="3">
        <v>67</v>
      </c>
      <c r="B74" s="8" t="s">
        <v>93</v>
      </c>
      <c r="C74" s="23" t="s">
        <v>150</v>
      </c>
      <c r="D74" s="44">
        <f t="shared" si="4"/>
        <v>686.48871185223072</v>
      </c>
      <c r="E74" s="27" t="s">
        <v>27</v>
      </c>
      <c r="F74" s="41">
        <v>292.23294750974327</v>
      </c>
      <c r="G74" s="27" t="s">
        <v>27</v>
      </c>
      <c r="H74" s="41">
        <v>233.04926741774381</v>
      </c>
      <c r="I74" s="41">
        <v>55.864643261581662</v>
      </c>
      <c r="J74" s="48">
        <v>105.34185366316198</v>
      </c>
      <c r="K74" s="13"/>
      <c r="L74" s="27" t="s">
        <v>27</v>
      </c>
      <c r="M74" s="27" t="s">
        <v>27</v>
      </c>
      <c r="N74" s="27" t="s">
        <v>27</v>
      </c>
      <c r="O74" s="27" t="s">
        <v>27</v>
      </c>
      <c r="P74" s="27" t="s">
        <v>27</v>
      </c>
      <c r="Q74" s="48" t="s">
        <v>27</v>
      </c>
      <c r="R74" s="13"/>
      <c r="S74" s="27" t="s">
        <v>27</v>
      </c>
      <c r="T74" s="41">
        <v>46.570999938994646</v>
      </c>
      <c r="U74" s="42"/>
      <c r="V74" s="41">
        <v>97.565999895334244</v>
      </c>
      <c r="W74" s="41">
        <v>66.760999232530594</v>
      </c>
      <c r="X74" s="41">
        <v>470.21699507534504</v>
      </c>
      <c r="Y74" s="27"/>
      <c r="Z74" s="27" t="s">
        <v>27</v>
      </c>
      <c r="AA74" s="27" t="s">
        <v>27</v>
      </c>
      <c r="AB74" s="27" t="s">
        <v>27</v>
      </c>
      <c r="AC74" s="27" t="s">
        <v>27</v>
      </c>
      <c r="AD74" s="27" t="s">
        <v>27</v>
      </c>
      <c r="AE74" s="27" t="s">
        <v>27</v>
      </c>
      <c r="AF74" s="44">
        <f t="shared" si="5"/>
        <v>681.11499414220452</v>
      </c>
    </row>
    <row r="75" spans="1:32" ht="15" customHeight="1">
      <c r="A75" s="3">
        <v>68</v>
      </c>
      <c r="B75" s="8" t="s">
        <v>94</v>
      </c>
      <c r="C75" s="23" t="s">
        <v>150</v>
      </c>
      <c r="D75" s="44">
        <f t="shared" si="4"/>
        <v>421.02861112526728</v>
      </c>
      <c r="E75" s="27" t="s">
        <v>27</v>
      </c>
      <c r="F75" s="41">
        <v>204.33880578206478</v>
      </c>
      <c r="G75" s="41">
        <v>25.233599585294723</v>
      </c>
      <c r="H75" s="41">
        <v>74.926814078523776</v>
      </c>
      <c r="I75" s="41">
        <v>51.112766303203998</v>
      </c>
      <c r="J75" s="48">
        <v>65.416625376179965</v>
      </c>
      <c r="K75" s="13"/>
      <c r="L75" s="27" t="s">
        <v>27</v>
      </c>
      <c r="M75" s="27" t="s">
        <v>27</v>
      </c>
      <c r="N75" s="27" t="s">
        <v>27</v>
      </c>
      <c r="O75" s="27" t="s">
        <v>27</v>
      </c>
      <c r="P75" s="27" t="s">
        <v>27</v>
      </c>
      <c r="Q75" s="48" t="s">
        <v>27</v>
      </c>
      <c r="R75" s="13"/>
      <c r="S75" s="27" t="s">
        <v>27</v>
      </c>
      <c r="T75" s="41">
        <v>44.263999994844198</v>
      </c>
      <c r="U75" s="41">
        <v>8.4619998633861542</v>
      </c>
      <c r="V75" s="41">
        <v>53.114000131376088</v>
      </c>
      <c r="W75" s="41">
        <v>88.643000029027462</v>
      </c>
      <c r="X75" s="41">
        <v>368.49698978662491</v>
      </c>
      <c r="Y75" s="27"/>
      <c r="Z75" s="27" t="s">
        <v>27</v>
      </c>
      <c r="AA75" s="27" t="s">
        <v>27</v>
      </c>
      <c r="AB75" s="27" t="s">
        <v>27</v>
      </c>
      <c r="AC75" s="27" t="s">
        <v>27</v>
      </c>
      <c r="AD75" s="27" t="s">
        <v>27</v>
      </c>
      <c r="AE75" s="27" t="s">
        <v>27</v>
      </c>
      <c r="AF75" s="44">
        <f t="shared" si="5"/>
        <v>562.97998980525881</v>
      </c>
    </row>
    <row r="76" spans="1:32" ht="15" customHeight="1">
      <c r="A76" s="3">
        <v>69</v>
      </c>
      <c r="B76" s="8" t="s">
        <v>95</v>
      </c>
      <c r="C76" s="23" t="s">
        <v>150</v>
      </c>
      <c r="D76" s="44">
        <f t="shared" si="4"/>
        <v>645.54810745584393</v>
      </c>
      <c r="E76" s="27" t="s">
        <v>27</v>
      </c>
      <c r="F76" s="41">
        <v>341.6566806128323</v>
      </c>
      <c r="G76" s="41">
        <v>62.138198635518549</v>
      </c>
      <c r="H76" s="41">
        <v>69.716540143892175</v>
      </c>
      <c r="I76" s="41">
        <v>79.403162652969357</v>
      </c>
      <c r="J76" s="48">
        <v>92.633525410631492</v>
      </c>
      <c r="K76" s="13"/>
      <c r="L76" s="27" t="s">
        <v>27</v>
      </c>
      <c r="M76" s="27" t="s">
        <v>27</v>
      </c>
      <c r="N76" s="27" t="s">
        <v>27</v>
      </c>
      <c r="O76" s="27" t="s">
        <v>27</v>
      </c>
      <c r="P76" s="27" t="s">
        <v>27</v>
      </c>
      <c r="Q76" s="48" t="s">
        <v>27</v>
      </c>
      <c r="R76" s="13"/>
      <c r="S76" s="27" t="s">
        <v>27</v>
      </c>
      <c r="T76" s="41">
        <v>38.13500027358532</v>
      </c>
      <c r="U76" s="41">
        <v>13.212999731302261</v>
      </c>
      <c r="V76" s="41">
        <v>34.560999400913715</v>
      </c>
      <c r="W76" s="41">
        <v>106.31500041484833</v>
      </c>
      <c r="X76" s="41">
        <v>443.92798659205437</v>
      </c>
      <c r="Y76" s="27"/>
      <c r="Z76" s="27" t="s">
        <v>27</v>
      </c>
      <c r="AA76" s="27" t="s">
        <v>27</v>
      </c>
      <c r="AB76" s="27" t="s">
        <v>27</v>
      </c>
      <c r="AC76" s="27" t="s">
        <v>27</v>
      </c>
      <c r="AD76" s="27" t="s">
        <v>27</v>
      </c>
      <c r="AE76" s="27" t="s">
        <v>27</v>
      </c>
      <c r="AF76" s="44">
        <f t="shared" si="5"/>
        <v>636.15198641270399</v>
      </c>
    </row>
    <row r="77" spans="1:32" ht="15" customHeight="1">
      <c r="A77" s="3">
        <v>70</v>
      </c>
      <c r="B77" s="8" t="s">
        <v>96</v>
      </c>
      <c r="C77" s="23" t="s">
        <v>150</v>
      </c>
      <c r="D77" s="44">
        <f t="shared" si="4"/>
        <v>393.56061406457036</v>
      </c>
      <c r="E77" s="41">
        <v>117.93628482055664</v>
      </c>
      <c r="F77" s="41">
        <v>138.70696065306663</v>
      </c>
      <c r="G77" s="41">
        <v>18.878544763475656</v>
      </c>
      <c r="H77" s="41">
        <v>39.542901147186754</v>
      </c>
      <c r="I77" s="41">
        <v>31.720812966555357</v>
      </c>
      <c r="J77" s="48">
        <v>46.77510971372935</v>
      </c>
      <c r="K77" s="13"/>
      <c r="L77" s="27" t="s">
        <v>27</v>
      </c>
      <c r="M77" s="27" t="s">
        <v>27</v>
      </c>
      <c r="N77" s="27" t="s">
        <v>27</v>
      </c>
      <c r="O77" s="27" t="s">
        <v>27</v>
      </c>
      <c r="P77" s="27" t="s">
        <v>27</v>
      </c>
      <c r="Q77" s="48" t="s">
        <v>27</v>
      </c>
      <c r="R77" s="13"/>
      <c r="S77" s="41">
        <v>4.5279998779296875</v>
      </c>
      <c r="T77" s="41">
        <v>29.05899965763092</v>
      </c>
      <c r="U77" s="41">
        <v>2.8539999648928642</v>
      </c>
      <c r="V77" s="41">
        <v>15.64100007712841</v>
      </c>
      <c r="W77" s="41">
        <v>90.264000222086906</v>
      </c>
      <c r="X77" s="41">
        <v>359.02700510248542</v>
      </c>
      <c r="Y77" s="27"/>
      <c r="Z77" s="27" t="s">
        <v>27</v>
      </c>
      <c r="AA77" s="27" t="s">
        <v>27</v>
      </c>
      <c r="AB77" s="27" t="s">
        <v>27</v>
      </c>
      <c r="AC77" s="27" t="s">
        <v>27</v>
      </c>
      <c r="AD77" s="27" t="s">
        <v>27</v>
      </c>
      <c r="AE77" s="27" t="s">
        <v>27</v>
      </c>
      <c r="AF77" s="44">
        <f t="shared" si="5"/>
        <v>501.37300490215421</v>
      </c>
    </row>
    <row r="78" spans="1:32" ht="15" customHeight="1">
      <c r="A78" s="3">
        <v>71</v>
      </c>
      <c r="B78" s="8" t="s">
        <v>97</v>
      </c>
      <c r="C78" s="23" t="s">
        <v>151</v>
      </c>
      <c r="D78" s="44">
        <f t="shared" si="4"/>
        <v>837.19166223663478</v>
      </c>
      <c r="E78" s="27" t="s">
        <v>27</v>
      </c>
      <c r="F78" s="41">
        <v>264.93441070428491</v>
      </c>
      <c r="G78" s="41">
        <v>82.247829344034201</v>
      </c>
      <c r="H78" s="41">
        <v>80.336280993059276</v>
      </c>
      <c r="I78" s="41">
        <v>102.99671050417795</v>
      </c>
      <c r="J78" s="48">
        <v>136.97330575717277</v>
      </c>
      <c r="K78" s="13"/>
      <c r="L78" s="27" t="s">
        <v>27</v>
      </c>
      <c r="M78" s="27" t="s">
        <v>27</v>
      </c>
      <c r="N78" s="41">
        <v>98.876295307502147</v>
      </c>
      <c r="O78" s="41">
        <v>49.061042940139771</v>
      </c>
      <c r="P78" s="41">
        <v>5.9539609173834327</v>
      </c>
      <c r="Q78" s="48">
        <v>15.811825768880372</v>
      </c>
      <c r="R78" s="13"/>
      <c r="S78" s="27" t="s">
        <v>27</v>
      </c>
      <c r="T78" s="41">
        <v>38.237000167369843</v>
      </c>
      <c r="U78" s="41">
        <v>21.779000326991081</v>
      </c>
      <c r="V78" s="41">
        <v>46.463001020252705</v>
      </c>
      <c r="W78" s="41">
        <v>127.54400045610964</v>
      </c>
      <c r="X78" s="41">
        <v>625.15399917960167</v>
      </c>
      <c r="Y78" s="27"/>
      <c r="Z78" s="27" t="s">
        <v>27</v>
      </c>
      <c r="AA78" s="27" t="s">
        <v>27</v>
      </c>
      <c r="AB78" s="41">
        <v>13.679999837651849</v>
      </c>
      <c r="AC78" s="41">
        <v>7.5769999697804451</v>
      </c>
      <c r="AD78" s="41">
        <v>4.7129999250173569</v>
      </c>
      <c r="AE78" s="41">
        <v>54.563999831676483</v>
      </c>
      <c r="AF78" s="44">
        <f t="shared" si="5"/>
        <v>939.71100071445107</v>
      </c>
    </row>
    <row r="79" spans="1:32" ht="15" customHeight="1">
      <c r="A79" s="3">
        <v>72</v>
      </c>
      <c r="B79" s="8" t="s">
        <v>98</v>
      </c>
      <c r="C79" s="23" t="s">
        <v>150</v>
      </c>
      <c r="D79" s="44">
        <f t="shared" si="4"/>
        <v>661.31639928899892</v>
      </c>
      <c r="E79" s="41">
        <v>400.87940884113311</v>
      </c>
      <c r="F79" s="41">
        <v>102.95266083046793</v>
      </c>
      <c r="G79" s="41">
        <v>33.285740837335588</v>
      </c>
      <c r="H79" s="41">
        <v>50.241534810513258</v>
      </c>
      <c r="I79" s="41">
        <v>22.94264671550691</v>
      </c>
      <c r="J79" s="48">
        <v>51.014407254042069</v>
      </c>
      <c r="K79" s="13"/>
      <c r="L79" s="27" t="s">
        <v>27</v>
      </c>
      <c r="M79" s="27" t="s">
        <v>27</v>
      </c>
      <c r="N79" s="27" t="s">
        <v>27</v>
      </c>
      <c r="O79" s="27" t="s">
        <v>27</v>
      </c>
      <c r="P79" s="27" t="s">
        <v>27</v>
      </c>
      <c r="Q79" s="48" t="s">
        <v>27</v>
      </c>
      <c r="R79" s="13"/>
      <c r="S79" s="41">
        <v>20.962000131607056</v>
      </c>
      <c r="T79" s="41">
        <v>16.757999800145626</v>
      </c>
      <c r="U79" s="41">
        <v>6.7800001502037048</v>
      </c>
      <c r="V79" s="41">
        <v>39.986999839544296</v>
      </c>
      <c r="W79" s="41">
        <v>50.498999372124672</v>
      </c>
      <c r="X79" s="41">
        <v>333.51899246871471</v>
      </c>
      <c r="Y79" s="27"/>
      <c r="Z79" s="27" t="s">
        <v>27</v>
      </c>
      <c r="AA79" s="27" t="s">
        <v>27</v>
      </c>
      <c r="AB79" s="27" t="s">
        <v>27</v>
      </c>
      <c r="AC79" s="27" t="s">
        <v>27</v>
      </c>
      <c r="AD79" s="27" t="s">
        <v>27</v>
      </c>
      <c r="AE79" s="27" t="s">
        <v>27</v>
      </c>
      <c r="AF79" s="44">
        <f t="shared" si="5"/>
        <v>468.50499176234007</v>
      </c>
    </row>
    <row r="80" spans="1:32" ht="15" customHeight="1">
      <c r="A80" s="3">
        <v>73</v>
      </c>
      <c r="B80" s="8" t="s">
        <v>99</v>
      </c>
      <c r="C80" s="23" t="s">
        <v>151</v>
      </c>
      <c r="D80" s="44">
        <f t="shared" si="4"/>
        <v>2066.1429961841181</v>
      </c>
      <c r="E80" s="41">
        <v>110.96399717330932</v>
      </c>
      <c r="F80" s="41">
        <v>194.72429149250686</v>
      </c>
      <c r="G80" s="41">
        <v>8.9520799682289365</v>
      </c>
      <c r="H80" s="41">
        <v>121.32888660949469</v>
      </c>
      <c r="I80" s="41">
        <v>92.155140570955353</v>
      </c>
      <c r="J80" s="48">
        <v>75.371168083471275</v>
      </c>
      <c r="K80" s="13"/>
      <c r="L80" s="41">
        <v>462.72563864684105</v>
      </c>
      <c r="M80" s="27" t="s">
        <v>27</v>
      </c>
      <c r="N80" s="41">
        <v>441.10505181257429</v>
      </c>
      <c r="O80" s="41">
        <v>337.57463763713093</v>
      </c>
      <c r="P80" s="41">
        <v>73.182423377588393</v>
      </c>
      <c r="Q80" s="48">
        <v>148.05968081201715</v>
      </c>
      <c r="R80" s="13"/>
      <c r="S80" s="41">
        <v>4.0079998970031738</v>
      </c>
      <c r="T80" s="41">
        <v>16.716000031679869</v>
      </c>
      <c r="U80" s="41">
        <v>1.2679999954998493</v>
      </c>
      <c r="V80" s="41">
        <v>53.129000164568424</v>
      </c>
      <c r="W80" s="41">
        <v>73.430999512784183</v>
      </c>
      <c r="X80" s="41">
        <v>261.16899252682924</v>
      </c>
      <c r="Y80" s="27"/>
      <c r="Z80" s="41">
        <v>13.312000215053558</v>
      </c>
      <c r="AA80" s="27" t="s">
        <v>27</v>
      </c>
      <c r="AB80" s="41">
        <v>27.598999969661236</v>
      </c>
      <c r="AC80" s="41">
        <v>54.592999996617436</v>
      </c>
      <c r="AD80" s="41">
        <v>24.612000167369843</v>
      </c>
      <c r="AE80" s="41">
        <v>299.28900066390634</v>
      </c>
      <c r="AF80" s="44">
        <f t="shared" si="5"/>
        <v>829.12599314097315</v>
      </c>
    </row>
    <row r="81" spans="1:32" ht="15" customHeight="1">
      <c r="A81" s="3">
        <v>74</v>
      </c>
      <c r="B81" s="8" t="s">
        <v>100</v>
      </c>
      <c r="C81" s="23" t="s">
        <v>150</v>
      </c>
      <c r="D81" s="44">
        <f t="shared" si="4"/>
        <v>471.5227207232976</v>
      </c>
      <c r="E81" s="27" t="s">
        <v>27</v>
      </c>
      <c r="F81" s="41">
        <v>198.78776734207571</v>
      </c>
      <c r="G81" s="41">
        <v>18.234619604319334</v>
      </c>
      <c r="H81" s="41">
        <v>61.013350333809854</v>
      </c>
      <c r="I81" s="41">
        <v>84.130316831223666</v>
      </c>
      <c r="J81" s="48">
        <v>109.356666611869</v>
      </c>
      <c r="K81" s="13"/>
      <c r="L81" s="27" t="s">
        <v>27</v>
      </c>
      <c r="M81" s="27" t="s">
        <v>27</v>
      </c>
      <c r="N81" s="27" t="s">
        <v>27</v>
      </c>
      <c r="O81" s="27" t="s">
        <v>27</v>
      </c>
      <c r="P81" s="27" t="s">
        <v>27</v>
      </c>
      <c r="Q81" s="48" t="s">
        <v>27</v>
      </c>
      <c r="R81" s="13"/>
      <c r="S81" s="27" t="s">
        <v>27</v>
      </c>
      <c r="T81" s="41">
        <v>22.251999862492085</v>
      </c>
      <c r="U81" s="41">
        <v>11.919999748468399</v>
      </c>
      <c r="V81" s="41">
        <v>25.737000107765198</v>
      </c>
      <c r="W81" s="41">
        <v>107.56599923223257</v>
      </c>
      <c r="X81" s="41">
        <v>509.18100634217262</v>
      </c>
      <c r="Y81" s="27"/>
      <c r="Z81" s="27" t="s">
        <v>27</v>
      </c>
      <c r="AA81" s="27" t="s">
        <v>27</v>
      </c>
      <c r="AB81" s="27" t="s">
        <v>27</v>
      </c>
      <c r="AC81" s="27" t="s">
        <v>27</v>
      </c>
      <c r="AD81" s="27" t="s">
        <v>27</v>
      </c>
      <c r="AE81" s="27" t="s">
        <v>27</v>
      </c>
      <c r="AF81" s="44">
        <f t="shared" si="5"/>
        <v>676.65600529313087</v>
      </c>
    </row>
    <row r="82" spans="1:32" ht="15" customHeight="1">
      <c r="A82" s="3">
        <v>75</v>
      </c>
      <c r="B82" s="8" t="s">
        <v>101</v>
      </c>
      <c r="C82" s="23" t="s">
        <v>150</v>
      </c>
      <c r="D82" s="44">
        <f t="shared" si="4"/>
        <v>306.76002348678685</v>
      </c>
      <c r="E82" s="27" t="s">
        <v>27</v>
      </c>
      <c r="F82" s="41">
        <v>68.724877917975192</v>
      </c>
      <c r="G82" s="27" t="s">
        <v>27</v>
      </c>
      <c r="H82" s="41">
        <v>154.00239406105877</v>
      </c>
      <c r="I82" s="41">
        <v>32.857491143226625</v>
      </c>
      <c r="J82" s="48">
        <v>51.17526036452626</v>
      </c>
      <c r="K82" s="13"/>
      <c r="L82" s="27" t="s">
        <v>27</v>
      </c>
      <c r="M82" s="27" t="s">
        <v>27</v>
      </c>
      <c r="N82" s="27" t="s">
        <v>27</v>
      </c>
      <c r="O82" s="27" t="s">
        <v>27</v>
      </c>
      <c r="P82" s="27" t="s">
        <v>27</v>
      </c>
      <c r="Q82" s="48" t="s">
        <v>27</v>
      </c>
      <c r="R82" s="13"/>
      <c r="S82" s="27" t="s">
        <v>27</v>
      </c>
      <c r="T82" s="41">
        <v>11.572999957948923</v>
      </c>
      <c r="U82" s="27" t="s">
        <v>27</v>
      </c>
      <c r="V82" s="41">
        <v>68.653999973088503</v>
      </c>
      <c r="W82" s="41">
        <v>59.315000295639038</v>
      </c>
      <c r="X82" s="41">
        <v>295.58800710737705</v>
      </c>
      <c r="Y82" s="27"/>
      <c r="Z82" s="27" t="s">
        <v>27</v>
      </c>
      <c r="AA82" s="27" t="s">
        <v>27</v>
      </c>
      <c r="AB82" s="27" t="s">
        <v>27</v>
      </c>
      <c r="AC82" s="27" t="s">
        <v>27</v>
      </c>
      <c r="AD82" s="27" t="s">
        <v>27</v>
      </c>
      <c r="AE82" s="27" t="s">
        <v>27</v>
      </c>
      <c r="AF82" s="44">
        <f t="shared" si="5"/>
        <v>435.13000733405352</v>
      </c>
    </row>
    <row r="83" spans="1:32" ht="15" customHeight="1">
      <c r="A83" s="3">
        <v>76</v>
      </c>
      <c r="B83" s="8" t="s">
        <v>102</v>
      </c>
      <c r="C83" s="23" t="s">
        <v>151</v>
      </c>
      <c r="D83" s="44">
        <f t="shared" si="4"/>
        <v>2755.9094428085864</v>
      </c>
      <c r="E83" s="41">
        <v>827.32973519611357</v>
      </c>
      <c r="F83" s="41">
        <v>44.758240885734558</v>
      </c>
      <c r="G83" s="41">
        <v>283.00118882566693</v>
      </c>
      <c r="H83" s="41">
        <v>81.01315889848955</v>
      </c>
      <c r="I83" s="41">
        <v>108.61691798322089</v>
      </c>
      <c r="J83" s="48">
        <v>134.17401782401885</v>
      </c>
      <c r="K83" s="13"/>
      <c r="L83" s="41">
        <v>435.21622966384888</v>
      </c>
      <c r="M83" s="27" t="s">
        <v>27</v>
      </c>
      <c r="N83" s="41">
        <v>361.88718925654797</v>
      </c>
      <c r="O83" s="41">
        <v>224.08672370602935</v>
      </c>
      <c r="P83" s="41">
        <v>101.01110127924755</v>
      </c>
      <c r="Q83" s="48">
        <v>154.8149392896679</v>
      </c>
      <c r="R83" s="13"/>
      <c r="S83" s="41">
        <v>15.44599986076355</v>
      </c>
      <c r="T83" s="41">
        <v>6.0740001201629639</v>
      </c>
      <c r="U83" s="41">
        <v>36.913999930024147</v>
      </c>
      <c r="V83" s="41">
        <v>35.071000485680997</v>
      </c>
      <c r="W83" s="41">
        <v>87.87800026498735</v>
      </c>
      <c r="X83" s="41">
        <v>469.3779981136322</v>
      </c>
      <c r="Y83" s="27"/>
      <c r="Z83" s="41">
        <v>8.8489998579025269</v>
      </c>
      <c r="AA83" s="27" t="s">
        <v>27</v>
      </c>
      <c r="AB83" s="41">
        <v>19.309999996330589</v>
      </c>
      <c r="AC83" s="41">
        <v>22.043000023812056</v>
      </c>
      <c r="AD83" s="41">
        <v>18.066999951377511</v>
      </c>
      <c r="AE83" s="41">
        <v>210.92699620686471</v>
      </c>
      <c r="AF83" s="44">
        <f t="shared" si="5"/>
        <v>929.95699481153861</v>
      </c>
    </row>
    <row r="84" spans="1:32" ht="15" customHeight="1">
      <c r="A84" s="3">
        <v>77</v>
      </c>
      <c r="B84" s="8" t="s">
        <v>103</v>
      </c>
      <c r="C84" s="23" t="s">
        <v>150</v>
      </c>
      <c r="D84" s="44">
        <f t="shared" si="4"/>
        <v>384.47695649512792</v>
      </c>
      <c r="E84" s="27" t="s">
        <v>27</v>
      </c>
      <c r="F84" s="41">
        <v>157.82691618645191</v>
      </c>
      <c r="G84" s="41">
        <v>44.672223665088417</v>
      </c>
      <c r="H84" s="41">
        <v>92.836682359814645</v>
      </c>
      <c r="I84" s="41">
        <v>34.878421831607817</v>
      </c>
      <c r="J84" s="48">
        <v>54.262712452165147</v>
      </c>
      <c r="K84" s="13"/>
      <c r="L84" s="27" t="s">
        <v>27</v>
      </c>
      <c r="M84" s="27" t="s">
        <v>27</v>
      </c>
      <c r="N84" s="27" t="s">
        <v>27</v>
      </c>
      <c r="O84" s="27" t="s">
        <v>27</v>
      </c>
      <c r="P84" s="27" t="s">
        <v>27</v>
      </c>
      <c r="Q84" s="48" t="s">
        <v>27</v>
      </c>
      <c r="R84" s="13"/>
      <c r="S84" s="27" t="s">
        <v>27</v>
      </c>
      <c r="T84" s="41">
        <v>25.44899981841445</v>
      </c>
      <c r="U84" s="41">
        <v>12.546000517904758</v>
      </c>
      <c r="V84" s="41">
        <v>64.92800135910511</v>
      </c>
      <c r="W84" s="41">
        <v>68.567000091075897</v>
      </c>
      <c r="X84" s="41">
        <v>330.57001547515392</v>
      </c>
      <c r="Y84" s="27"/>
      <c r="Z84" s="27" t="s">
        <v>27</v>
      </c>
      <c r="AA84" s="27" t="s">
        <v>27</v>
      </c>
      <c r="AB84" s="27" t="s">
        <v>27</v>
      </c>
      <c r="AC84" s="27" t="s">
        <v>27</v>
      </c>
      <c r="AD84" s="27" t="s">
        <v>27</v>
      </c>
      <c r="AE84" s="27" t="s">
        <v>27</v>
      </c>
      <c r="AF84" s="44">
        <f t="shared" si="5"/>
        <v>502.06001726165414</v>
      </c>
    </row>
    <row r="85" spans="1:32" ht="15" customHeight="1">
      <c r="A85" s="3">
        <v>78</v>
      </c>
      <c r="B85" s="8" t="s">
        <v>104</v>
      </c>
      <c r="C85" s="23" t="s">
        <v>151</v>
      </c>
      <c r="D85" s="44">
        <f t="shared" si="4"/>
        <v>440.5090707402652</v>
      </c>
      <c r="E85" s="27" t="s">
        <v>27</v>
      </c>
      <c r="F85" s="41">
        <v>94.428950264056681</v>
      </c>
      <c r="G85" s="41">
        <v>27.923819206982852</v>
      </c>
      <c r="H85" s="41">
        <v>89.723713381990791</v>
      </c>
      <c r="I85" s="41">
        <v>60.841936206828805</v>
      </c>
      <c r="J85" s="48">
        <v>62.451097461378573</v>
      </c>
      <c r="K85" s="13"/>
      <c r="L85" s="27" t="s">
        <v>27</v>
      </c>
      <c r="M85" s="27" t="s">
        <v>27</v>
      </c>
      <c r="N85" s="41">
        <v>42.933181249558928</v>
      </c>
      <c r="O85" s="41">
        <v>43.524687924314293</v>
      </c>
      <c r="P85" s="41">
        <v>8.2935269309133286</v>
      </c>
      <c r="Q85" s="48">
        <v>10.388158114240966</v>
      </c>
      <c r="R85" s="13"/>
      <c r="S85" s="27" t="s">
        <v>27</v>
      </c>
      <c r="T85" s="41">
        <v>12.174000050639734</v>
      </c>
      <c r="U85" s="41">
        <v>10.660000130534172</v>
      </c>
      <c r="V85" s="41">
        <v>56.8529998883605</v>
      </c>
      <c r="W85" s="41">
        <v>81.732000183314085</v>
      </c>
      <c r="X85" s="41">
        <v>299.90198731422424</v>
      </c>
      <c r="Y85" s="27"/>
      <c r="Z85" s="27" t="s">
        <v>27</v>
      </c>
      <c r="AA85" s="27" t="s">
        <v>27</v>
      </c>
      <c r="AB85" s="41">
        <v>3.3379999473690987</v>
      </c>
      <c r="AC85" s="41">
        <v>7.3330000024288893</v>
      </c>
      <c r="AD85" s="41">
        <v>4.1289999857544899</v>
      </c>
      <c r="AE85" s="41">
        <v>26.831000208854675</v>
      </c>
      <c r="AF85" s="44">
        <f t="shared" si="5"/>
        <v>502.95198771147989</v>
      </c>
    </row>
    <row r="86" spans="1:32" ht="15" customHeight="1">
      <c r="A86" s="3">
        <v>79</v>
      </c>
      <c r="B86" s="8" t="s">
        <v>105</v>
      </c>
      <c r="C86" s="23" t="s">
        <v>150</v>
      </c>
      <c r="D86" s="44">
        <f t="shared" si="4"/>
        <v>1278.0338410337158</v>
      </c>
      <c r="E86" s="41">
        <v>304.97630471038821</v>
      </c>
      <c r="F86" s="41">
        <v>559.54739307707553</v>
      </c>
      <c r="G86" s="41">
        <v>71.72028312420845</v>
      </c>
      <c r="H86" s="41">
        <v>165.43662006409093</v>
      </c>
      <c r="I86" s="41">
        <v>35.358480983734133</v>
      </c>
      <c r="J86" s="48">
        <v>140.99475907421868</v>
      </c>
      <c r="K86" s="13"/>
      <c r="L86" s="27" t="s">
        <v>27</v>
      </c>
      <c r="M86" s="27" t="s">
        <v>27</v>
      </c>
      <c r="N86" s="27" t="s">
        <v>27</v>
      </c>
      <c r="O86" s="27" t="s">
        <v>27</v>
      </c>
      <c r="P86" s="27" t="s">
        <v>27</v>
      </c>
      <c r="Q86" s="48" t="s">
        <v>27</v>
      </c>
      <c r="R86" s="13"/>
      <c r="S86" s="41">
        <v>12.032000303268433</v>
      </c>
      <c r="T86" s="41">
        <v>74.006000347435474</v>
      </c>
      <c r="U86" s="41">
        <v>19.885000288486481</v>
      </c>
      <c r="V86" s="41">
        <v>48.277999790385365</v>
      </c>
      <c r="W86" s="41">
        <v>43.143000364303589</v>
      </c>
      <c r="X86" s="41">
        <v>637.59201727062464</v>
      </c>
      <c r="Y86" s="27"/>
      <c r="Z86" s="27" t="s">
        <v>27</v>
      </c>
      <c r="AA86" s="27" t="s">
        <v>27</v>
      </c>
      <c r="AB86" s="27" t="s">
        <v>27</v>
      </c>
      <c r="AC86" s="27" t="s">
        <v>27</v>
      </c>
      <c r="AD86" s="27" t="s">
        <v>27</v>
      </c>
      <c r="AE86" s="27" t="s">
        <v>27</v>
      </c>
      <c r="AF86" s="44">
        <f t="shared" si="5"/>
        <v>834.93601836450398</v>
      </c>
    </row>
    <row r="87" spans="1:32" ht="15" customHeight="1">
      <c r="A87" s="3">
        <v>80</v>
      </c>
      <c r="B87" s="8" t="s">
        <v>106</v>
      </c>
      <c r="C87" s="23" t="s">
        <v>150</v>
      </c>
      <c r="D87" s="44">
        <f t="shared" si="4"/>
        <v>323.64755233643803</v>
      </c>
      <c r="E87" s="27" t="s">
        <v>27</v>
      </c>
      <c r="F87" s="41">
        <v>88.130178459167482</v>
      </c>
      <c r="G87" s="41">
        <v>70.574040986359122</v>
      </c>
      <c r="H87" s="41">
        <v>73.733891676008696</v>
      </c>
      <c r="I87" s="41">
        <v>49.737534267902376</v>
      </c>
      <c r="J87" s="48">
        <v>41.471906947000349</v>
      </c>
      <c r="K87" s="13"/>
      <c r="L87" s="27" t="s">
        <v>27</v>
      </c>
      <c r="M87" s="27" t="s">
        <v>27</v>
      </c>
      <c r="N87" s="27" t="s">
        <v>27</v>
      </c>
      <c r="O87" s="27" t="s">
        <v>27</v>
      </c>
      <c r="P87" s="27" t="s">
        <v>27</v>
      </c>
      <c r="Q87" s="48" t="s">
        <v>27</v>
      </c>
      <c r="R87" s="13"/>
      <c r="S87" s="27" t="s">
        <v>27</v>
      </c>
      <c r="T87" s="41">
        <v>17.714000076055527</v>
      </c>
      <c r="U87" s="41">
        <v>10.260000139474869</v>
      </c>
      <c r="V87" s="41">
        <v>44.532999649643898</v>
      </c>
      <c r="W87" s="41">
        <v>42.863999366760254</v>
      </c>
      <c r="X87" s="41">
        <v>150.91899916343391</v>
      </c>
      <c r="Y87" s="27"/>
      <c r="Z87" s="27" t="s">
        <v>27</v>
      </c>
      <c r="AA87" s="27" t="s">
        <v>27</v>
      </c>
      <c r="AB87" s="27" t="s">
        <v>27</v>
      </c>
      <c r="AC87" s="27" t="s">
        <v>27</v>
      </c>
      <c r="AD87" s="27" t="s">
        <v>27</v>
      </c>
      <c r="AE87" s="27" t="s">
        <v>27</v>
      </c>
      <c r="AF87" s="44">
        <f t="shared" si="5"/>
        <v>266.28999839536846</v>
      </c>
    </row>
    <row r="88" spans="1:32" ht="15" customHeight="1">
      <c r="A88" s="3">
        <v>81</v>
      </c>
      <c r="B88" s="8" t="s">
        <v>107</v>
      </c>
      <c r="C88" s="23" t="s">
        <v>151</v>
      </c>
      <c r="D88" s="44">
        <f t="shared" si="4"/>
        <v>609.15878547822604</v>
      </c>
      <c r="E88" s="27" t="s">
        <v>27</v>
      </c>
      <c r="F88" s="41">
        <v>172.70112219572067</v>
      </c>
      <c r="G88" s="41">
        <v>49.237157125264403</v>
      </c>
      <c r="H88" s="41">
        <v>42.637103291444483</v>
      </c>
      <c r="I88" s="41">
        <v>33.666252077064591</v>
      </c>
      <c r="J88" s="48">
        <v>31.65968776039082</v>
      </c>
      <c r="K88" s="13"/>
      <c r="L88" s="27" t="s">
        <v>27</v>
      </c>
      <c r="M88" s="27" t="s">
        <v>27</v>
      </c>
      <c r="N88" s="41">
        <v>148.19074267385713</v>
      </c>
      <c r="O88" s="41">
        <v>88.082942531414332</v>
      </c>
      <c r="P88" s="41">
        <v>12.380106884747743</v>
      </c>
      <c r="Q88" s="48">
        <v>30.603670938321944</v>
      </c>
      <c r="R88" s="13"/>
      <c r="S88" s="27" t="s">
        <v>27</v>
      </c>
      <c r="T88" s="41">
        <v>24.628999710083008</v>
      </c>
      <c r="U88" s="41">
        <v>8.3669998794794083</v>
      </c>
      <c r="V88" s="41">
        <v>29.777999620884657</v>
      </c>
      <c r="W88" s="41">
        <v>71.310000015306287</v>
      </c>
      <c r="X88" s="41">
        <v>202.07400357490405</v>
      </c>
      <c r="Y88" s="27"/>
      <c r="Z88" s="27" t="s">
        <v>27</v>
      </c>
      <c r="AA88" s="27" t="s">
        <v>27</v>
      </c>
      <c r="AB88" s="41">
        <v>12.665000224485993</v>
      </c>
      <c r="AC88" s="41">
        <v>15.755999855697155</v>
      </c>
      <c r="AD88" s="41">
        <v>5.4009999707341194</v>
      </c>
      <c r="AE88" s="41">
        <v>72.783997625112534</v>
      </c>
      <c r="AF88" s="44">
        <f t="shared" si="5"/>
        <v>442.76400047668722</v>
      </c>
    </row>
    <row r="89" spans="1:32" ht="15" customHeight="1">
      <c r="A89" s="3">
        <v>82</v>
      </c>
      <c r="B89" s="8" t="s">
        <v>108</v>
      </c>
      <c r="C89" s="23" t="s">
        <v>151</v>
      </c>
      <c r="D89" s="44">
        <f t="shared" si="4"/>
        <v>625.08646051962296</v>
      </c>
      <c r="E89" s="27" t="s">
        <v>27</v>
      </c>
      <c r="F89" s="41">
        <v>81.236824209094053</v>
      </c>
      <c r="G89" s="41">
        <v>127.45440526668727</v>
      </c>
      <c r="H89" s="41">
        <v>190.70704533481225</v>
      </c>
      <c r="I89" s="41">
        <v>65.670868785217408</v>
      </c>
      <c r="J89" s="48">
        <v>85.680398605940525</v>
      </c>
      <c r="K89" s="13"/>
      <c r="L89" s="27" t="s">
        <v>27</v>
      </c>
      <c r="M89" s="27" t="s">
        <v>27</v>
      </c>
      <c r="N89" s="41">
        <v>73.612554539084428</v>
      </c>
      <c r="O89" s="27" t="s">
        <v>27</v>
      </c>
      <c r="P89" s="27" t="s">
        <v>27</v>
      </c>
      <c r="Q89" s="52">
        <v>0.72436377878715397</v>
      </c>
      <c r="R89" s="13"/>
      <c r="S89" s="27" t="s">
        <v>27</v>
      </c>
      <c r="T89" s="41">
        <v>14.077000044286251</v>
      </c>
      <c r="U89" s="41">
        <v>20.447000034153461</v>
      </c>
      <c r="V89" s="41">
        <v>61.463000187650323</v>
      </c>
      <c r="W89" s="41">
        <v>77.335000425577164</v>
      </c>
      <c r="X89" s="41">
        <v>378.95799840986729</v>
      </c>
      <c r="Y89" s="27"/>
      <c r="Z89" s="27" t="s">
        <v>27</v>
      </c>
      <c r="AA89" s="27" t="s">
        <v>27</v>
      </c>
      <c r="AB89" s="41">
        <v>4.3969999775290489</v>
      </c>
      <c r="AC89" s="27" t="s">
        <v>27</v>
      </c>
      <c r="AD89" s="27" t="s">
        <v>27</v>
      </c>
      <c r="AE89" s="41">
        <v>1.3320000171661377</v>
      </c>
      <c r="AF89" s="44">
        <f t="shared" si="5"/>
        <v>558.00899909622967</v>
      </c>
    </row>
    <row r="90" spans="1:32" ht="15" customHeight="1">
      <c r="A90" s="3">
        <v>83</v>
      </c>
      <c r="B90" s="8" t="s">
        <v>109</v>
      </c>
      <c r="C90" s="23" t="s">
        <v>150</v>
      </c>
      <c r="D90" s="44">
        <f t="shared" si="4"/>
        <v>148.66604968465251</v>
      </c>
      <c r="E90" s="27" t="s">
        <v>27</v>
      </c>
      <c r="F90" s="27" t="s">
        <v>27</v>
      </c>
      <c r="G90" s="41">
        <v>63.390568217933179</v>
      </c>
      <c r="H90" s="41">
        <v>35.026309641599653</v>
      </c>
      <c r="I90" s="41">
        <v>19.097088838577271</v>
      </c>
      <c r="J90" s="48">
        <v>31.152082986542414</v>
      </c>
      <c r="K90" s="13"/>
      <c r="L90" s="27" t="s">
        <v>27</v>
      </c>
      <c r="M90" s="27" t="s">
        <v>27</v>
      </c>
      <c r="N90" s="27" t="s">
        <v>27</v>
      </c>
      <c r="O90" s="27" t="s">
        <v>27</v>
      </c>
      <c r="P90" s="27" t="s">
        <v>27</v>
      </c>
      <c r="Q90" s="48" t="s">
        <v>27</v>
      </c>
      <c r="R90" s="13"/>
      <c r="S90" s="27" t="s">
        <v>27</v>
      </c>
      <c r="T90" s="27" t="s">
        <v>27</v>
      </c>
      <c r="U90" s="41">
        <v>19.386000037193298</v>
      </c>
      <c r="V90" s="41">
        <v>42.014000177383423</v>
      </c>
      <c r="W90" s="41">
        <v>40.396000146865845</v>
      </c>
      <c r="X90" s="41">
        <v>198.6669999063015</v>
      </c>
      <c r="Y90" s="27"/>
      <c r="Z90" s="27" t="s">
        <v>27</v>
      </c>
      <c r="AA90" s="27" t="s">
        <v>27</v>
      </c>
      <c r="AB90" s="27" t="s">
        <v>27</v>
      </c>
      <c r="AC90" s="27" t="s">
        <v>27</v>
      </c>
      <c r="AD90" s="27" t="s">
        <v>27</v>
      </c>
      <c r="AE90" s="27" t="s">
        <v>27</v>
      </c>
      <c r="AF90" s="44">
        <f t="shared" si="5"/>
        <v>300.46300026774406</v>
      </c>
    </row>
    <row r="91" spans="1:32" ht="15" customHeight="1">
      <c r="A91" s="3">
        <v>84</v>
      </c>
      <c r="B91" s="8" t="s">
        <v>110</v>
      </c>
      <c r="C91" s="23" t="s">
        <v>151</v>
      </c>
      <c r="D91" s="44">
        <f t="shared" si="4"/>
        <v>584.66127543898654</v>
      </c>
      <c r="E91" s="27" t="s">
        <v>27</v>
      </c>
      <c r="F91" s="41">
        <v>272.32387161493301</v>
      </c>
      <c r="G91" s="41">
        <v>46.573018575344236</v>
      </c>
      <c r="H91" s="41">
        <v>50.978166984058916</v>
      </c>
      <c r="I91" s="41">
        <v>30.37988858681917</v>
      </c>
      <c r="J91" s="48">
        <v>54.452121623088445</v>
      </c>
      <c r="K91" s="13"/>
      <c r="L91" s="27" t="s">
        <v>27</v>
      </c>
      <c r="M91" s="27" t="s">
        <v>27</v>
      </c>
      <c r="N91" s="41">
        <v>72.772064715579148</v>
      </c>
      <c r="O91" s="41">
        <v>10.023532078683376</v>
      </c>
      <c r="P91" s="41">
        <v>21.369361958682536</v>
      </c>
      <c r="Q91" s="48">
        <v>25.789249301797749</v>
      </c>
      <c r="R91" s="13"/>
      <c r="S91" s="27" t="s">
        <v>27</v>
      </c>
      <c r="T91" s="41">
        <v>21.650999486446381</v>
      </c>
      <c r="U91" s="41">
        <v>17.755000246688724</v>
      </c>
      <c r="V91" s="41">
        <v>24.517999988049269</v>
      </c>
      <c r="W91" s="41">
        <v>46.753000870347023</v>
      </c>
      <c r="X91" s="41">
        <v>284.66800098121166</v>
      </c>
      <c r="Y91" s="27"/>
      <c r="Z91" s="27" t="s">
        <v>27</v>
      </c>
      <c r="AA91" s="27" t="s">
        <v>27</v>
      </c>
      <c r="AB91" s="41">
        <v>5.3810000419616699</v>
      </c>
      <c r="AC91" s="41">
        <v>2.5760000199079514</v>
      </c>
      <c r="AD91" s="41">
        <v>6.6699999794363976</v>
      </c>
      <c r="AE91" s="41">
        <v>49.756001885980368</v>
      </c>
      <c r="AF91" s="44">
        <f t="shared" si="5"/>
        <v>459.72800350002944</v>
      </c>
    </row>
    <row r="92" spans="1:32" ht="15" customHeight="1">
      <c r="A92" s="3">
        <v>85</v>
      </c>
      <c r="B92" s="8" t="s">
        <v>111</v>
      </c>
      <c r="C92" s="23" t="s">
        <v>150</v>
      </c>
      <c r="D92" s="44">
        <f t="shared" si="4"/>
        <v>337.36433127890575</v>
      </c>
      <c r="E92" s="27" t="s">
        <v>27</v>
      </c>
      <c r="F92" s="41">
        <v>71.183750581741336</v>
      </c>
      <c r="G92" s="41">
        <v>40.907519723922015</v>
      </c>
      <c r="H92" s="41">
        <v>113.56284799139202</v>
      </c>
      <c r="I92" s="41">
        <v>39.053262842774394</v>
      </c>
      <c r="J92" s="48">
        <v>72.656950139075931</v>
      </c>
      <c r="K92" s="13"/>
      <c r="L92" s="27" t="s">
        <v>27</v>
      </c>
      <c r="M92" s="27" t="s">
        <v>27</v>
      </c>
      <c r="N92" s="27" t="s">
        <v>27</v>
      </c>
      <c r="O92" s="27" t="s">
        <v>27</v>
      </c>
      <c r="P92" s="27" t="s">
        <v>27</v>
      </c>
      <c r="Q92" s="48" t="s">
        <v>27</v>
      </c>
      <c r="R92" s="13"/>
      <c r="S92" s="27" t="s">
        <v>27</v>
      </c>
      <c r="T92" s="41">
        <v>13.802000045776367</v>
      </c>
      <c r="U92" s="41">
        <v>11.718999862670898</v>
      </c>
      <c r="V92" s="41">
        <v>53.730999708175659</v>
      </c>
      <c r="W92" s="41">
        <v>70.313999518752098</v>
      </c>
      <c r="X92" s="41">
        <v>418.9749945551157</v>
      </c>
      <c r="Y92" s="27"/>
      <c r="Z92" s="27" t="s">
        <v>27</v>
      </c>
      <c r="AA92" s="27" t="s">
        <v>27</v>
      </c>
      <c r="AB92" s="27" t="s">
        <v>27</v>
      </c>
      <c r="AC92" s="27" t="s">
        <v>27</v>
      </c>
      <c r="AD92" s="27" t="s">
        <v>27</v>
      </c>
      <c r="AE92" s="27" t="s">
        <v>27</v>
      </c>
      <c r="AF92" s="44">
        <f t="shared" si="5"/>
        <v>568.54099369049072</v>
      </c>
    </row>
    <row r="93" spans="1:32" ht="15" customHeight="1">
      <c r="A93" s="3">
        <v>86</v>
      </c>
      <c r="B93" s="8" t="s">
        <v>112</v>
      </c>
      <c r="C93" s="23" t="s">
        <v>150</v>
      </c>
      <c r="D93" s="44">
        <f t="shared" si="4"/>
        <v>315.15213823182728</v>
      </c>
      <c r="E93" s="27" t="s">
        <v>27</v>
      </c>
      <c r="F93" s="27" t="s">
        <v>27</v>
      </c>
      <c r="G93" s="27" t="s">
        <v>27</v>
      </c>
      <c r="H93" s="41">
        <v>124.26410090926289</v>
      </c>
      <c r="I93" s="41">
        <v>84.23451622959972</v>
      </c>
      <c r="J93" s="48">
        <v>106.65352109296468</v>
      </c>
      <c r="K93" s="13"/>
      <c r="L93" s="27" t="s">
        <v>27</v>
      </c>
      <c r="M93" s="27" t="s">
        <v>27</v>
      </c>
      <c r="N93" s="27" t="s">
        <v>27</v>
      </c>
      <c r="O93" s="27" t="s">
        <v>27</v>
      </c>
      <c r="P93" s="27" t="s">
        <v>27</v>
      </c>
      <c r="Q93" s="48" t="s">
        <v>27</v>
      </c>
      <c r="R93" s="13"/>
      <c r="S93" s="27" t="s">
        <v>27</v>
      </c>
      <c r="T93" s="27" t="s">
        <v>27</v>
      </c>
      <c r="U93" s="27" t="s">
        <v>27</v>
      </c>
      <c r="V93" s="41">
        <v>46.907999958842993</v>
      </c>
      <c r="W93" s="41">
        <v>94.809001326560974</v>
      </c>
      <c r="X93" s="41">
        <v>458.57600179314613</v>
      </c>
      <c r="Y93" s="27"/>
      <c r="Z93" s="27" t="s">
        <v>27</v>
      </c>
      <c r="AA93" s="27" t="s">
        <v>27</v>
      </c>
      <c r="AB93" s="27" t="s">
        <v>27</v>
      </c>
      <c r="AC93" s="27" t="s">
        <v>27</v>
      </c>
      <c r="AD93" s="27" t="s">
        <v>27</v>
      </c>
      <c r="AE93" s="27" t="s">
        <v>27</v>
      </c>
      <c r="AF93" s="44">
        <f t="shared" si="5"/>
        <v>600.2930030785501</v>
      </c>
    </row>
    <row r="94" spans="1:32" ht="15" customHeight="1">
      <c r="A94" s="3">
        <v>87</v>
      </c>
      <c r="B94" s="8" t="s">
        <v>113</v>
      </c>
      <c r="C94" s="23" t="s">
        <v>151</v>
      </c>
      <c r="D94" s="44">
        <f t="shared" si="4"/>
        <v>777.16328543059274</v>
      </c>
      <c r="E94" s="41">
        <v>262.48289153313635</v>
      </c>
      <c r="F94" s="27" t="s">
        <v>27</v>
      </c>
      <c r="G94" s="41">
        <v>186.13727749174461</v>
      </c>
      <c r="H94" s="41">
        <v>55.892023728758097</v>
      </c>
      <c r="I94" s="41">
        <v>31.524950757741927</v>
      </c>
      <c r="J94" s="48">
        <v>44.613777744654698</v>
      </c>
      <c r="K94" s="13"/>
      <c r="L94" s="27" t="s">
        <v>27</v>
      </c>
      <c r="M94" s="27" t="s">
        <v>27</v>
      </c>
      <c r="N94" s="41">
        <v>69.093759535104041</v>
      </c>
      <c r="O94" s="41">
        <v>93.069597836211329</v>
      </c>
      <c r="P94" s="41">
        <v>15.091831008300185</v>
      </c>
      <c r="Q94" s="48">
        <v>19.257175794941453</v>
      </c>
      <c r="R94" s="13"/>
      <c r="S94" s="41">
        <v>11.386999845504761</v>
      </c>
      <c r="T94" s="27" t="s">
        <v>27</v>
      </c>
      <c r="U94" s="41">
        <v>32.882999969646335</v>
      </c>
      <c r="V94" s="41">
        <v>21.333999820053577</v>
      </c>
      <c r="W94" s="41">
        <v>31.961000084877014</v>
      </c>
      <c r="X94" s="41">
        <v>179.69799834489822</v>
      </c>
      <c r="Y94" s="27"/>
      <c r="Z94" s="27" t="s">
        <v>27</v>
      </c>
      <c r="AA94" s="27" t="s">
        <v>27</v>
      </c>
      <c r="AB94" s="41">
        <v>4.4709999710321426</v>
      </c>
      <c r="AC94" s="41">
        <v>11.992999855428934</v>
      </c>
      <c r="AD94" s="41">
        <v>8.046000000089407</v>
      </c>
      <c r="AE94" s="41">
        <v>51.911999300122261</v>
      </c>
      <c r="AF94" s="44">
        <f t="shared" si="5"/>
        <v>353.68499719165266</v>
      </c>
    </row>
    <row r="95" spans="1:32" ht="15" customHeight="1">
      <c r="A95" s="3">
        <v>88</v>
      </c>
      <c r="B95" s="8" t="s">
        <v>114</v>
      </c>
      <c r="C95" s="23" t="s">
        <v>150</v>
      </c>
      <c r="D95" s="44">
        <f t="shared" si="4"/>
        <v>396.03064053504153</v>
      </c>
      <c r="E95" s="27" t="s">
        <v>27</v>
      </c>
      <c r="F95" s="41">
        <v>28.473809356689454</v>
      </c>
      <c r="G95" s="41">
        <v>176.68303587912024</v>
      </c>
      <c r="H95" s="41">
        <v>57.283220476418734</v>
      </c>
      <c r="I95" s="41">
        <v>58.622422673702239</v>
      </c>
      <c r="J95" s="48">
        <v>74.968152149110836</v>
      </c>
      <c r="K95" s="13"/>
      <c r="L95" s="27" t="s">
        <v>27</v>
      </c>
      <c r="M95" s="27" t="s">
        <v>27</v>
      </c>
      <c r="N95" s="27" t="s">
        <v>27</v>
      </c>
      <c r="O95" s="27" t="s">
        <v>27</v>
      </c>
      <c r="P95" s="27" t="s">
        <v>27</v>
      </c>
      <c r="Q95" s="48" t="s">
        <v>27</v>
      </c>
      <c r="R95" s="13"/>
      <c r="S95" s="27" t="s">
        <v>27</v>
      </c>
      <c r="T95" s="41">
        <v>5.4029998779296875</v>
      </c>
      <c r="U95" s="41">
        <v>57.374000191688538</v>
      </c>
      <c r="V95" s="41">
        <v>45.938000231981277</v>
      </c>
      <c r="W95" s="41">
        <v>97.032000005245209</v>
      </c>
      <c r="X95" s="41">
        <v>410.16799295693636</v>
      </c>
      <c r="Y95" s="27"/>
      <c r="Z95" s="27" t="s">
        <v>27</v>
      </c>
      <c r="AA95" s="27" t="s">
        <v>27</v>
      </c>
      <c r="AB95" s="27" t="s">
        <v>27</v>
      </c>
      <c r="AC95" s="27" t="s">
        <v>27</v>
      </c>
      <c r="AD95" s="27" t="s">
        <v>27</v>
      </c>
      <c r="AE95" s="27" t="s">
        <v>27</v>
      </c>
      <c r="AF95" s="44">
        <f t="shared" si="5"/>
        <v>615.91499326378107</v>
      </c>
    </row>
    <row r="96" spans="1:32" ht="15" customHeight="1">
      <c r="A96" s="3">
        <v>89</v>
      </c>
      <c r="B96" s="8" t="s">
        <v>115</v>
      </c>
      <c r="C96" s="23" t="s">
        <v>150</v>
      </c>
      <c r="D96" s="44">
        <f t="shared" si="4"/>
        <v>1056.4421171657273</v>
      </c>
      <c r="E96" s="27" t="s">
        <v>27</v>
      </c>
      <c r="F96" s="41">
        <v>369.37854435819389</v>
      </c>
      <c r="G96" s="27" t="s">
        <v>27</v>
      </c>
      <c r="H96" s="41">
        <v>302.57512850648538</v>
      </c>
      <c r="I96" s="41">
        <v>120.02411463558674</v>
      </c>
      <c r="J96" s="48">
        <v>164.40592119365883</v>
      </c>
      <c r="K96" s="13"/>
      <c r="L96" s="27" t="s">
        <v>27</v>
      </c>
      <c r="M96" s="27" t="s">
        <v>27</v>
      </c>
      <c r="N96" s="41">
        <v>17.694829904213549</v>
      </c>
      <c r="O96" s="41">
        <v>56.723434900313613</v>
      </c>
      <c r="P96" s="41">
        <v>9.5710831063985822</v>
      </c>
      <c r="Q96" s="48">
        <v>16.069060560876714</v>
      </c>
      <c r="R96" s="13"/>
      <c r="S96" s="27" t="s">
        <v>27</v>
      </c>
      <c r="T96" s="41">
        <v>46.826999127864838</v>
      </c>
      <c r="U96" s="27" t="s">
        <v>27</v>
      </c>
      <c r="V96" s="41">
        <v>85.768000304698944</v>
      </c>
      <c r="W96" s="41">
        <v>97.066998586058617</v>
      </c>
      <c r="X96" s="41">
        <v>574.98901036381721</v>
      </c>
      <c r="Y96" s="27"/>
      <c r="Z96" s="27" t="s">
        <v>27</v>
      </c>
      <c r="AA96" s="27" t="s">
        <v>27</v>
      </c>
      <c r="AB96" s="41">
        <v>3.203000009059906</v>
      </c>
      <c r="AC96" s="41">
        <v>9.0850001499056816</v>
      </c>
      <c r="AD96" s="41">
        <v>4.093000054359436</v>
      </c>
      <c r="AE96" s="41">
        <v>37.742998912930489</v>
      </c>
      <c r="AF96" s="44">
        <f t="shared" si="5"/>
        <v>858.77500750869513</v>
      </c>
    </row>
    <row r="97" spans="1:32" ht="15" customHeight="1">
      <c r="A97" s="3">
        <v>90</v>
      </c>
      <c r="B97" s="8" t="s">
        <v>116</v>
      </c>
      <c r="C97" s="23" t="s">
        <v>151</v>
      </c>
      <c r="D97" s="44">
        <f t="shared" si="4"/>
        <v>1193.4769992568472</v>
      </c>
      <c r="E97" s="27" t="s">
        <v>27</v>
      </c>
      <c r="F97" s="41">
        <v>306.26165106725693</v>
      </c>
      <c r="G97" s="41">
        <v>342.64851489211617</v>
      </c>
      <c r="H97" s="41">
        <v>187.3840237725731</v>
      </c>
      <c r="I97" s="41">
        <v>68.787640119239683</v>
      </c>
      <c r="J97" s="48">
        <v>92.488512185686986</v>
      </c>
      <c r="K97" s="13"/>
      <c r="L97" s="27" t="s">
        <v>27</v>
      </c>
      <c r="M97" s="27" t="s">
        <v>27</v>
      </c>
      <c r="N97" s="41">
        <v>130.8447554352507</v>
      </c>
      <c r="O97" s="41">
        <v>40.493245014017447</v>
      </c>
      <c r="P97" s="41">
        <v>4.9506779395937919</v>
      </c>
      <c r="Q97" s="48">
        <v>19.617978831112552</v>
      </c>
      <c r="R97" s="13"/>
      <c r="S97" s="27" t="s">
        <v>27</v>
      </c>
      <c r="T97" s="41">
        <v>30.429999589920044</v>
      </c>
      <c r="U97" s="41">
        <v>40.895000267773867</v>
      </c>
      <c r="V97" s="41">
        <v>83.02299983240664</v>
      </c>
      <c r="W97" s="41">
        <v>83.011999182403088</v>
      </c>
      <c r="X97" s="41">
        <v>415.37200704962015</v>
      </c>
      <c r="Y97" s="27"/>
      <c r="Z97" s="27" t="s">
        <v>27</v>
      </c>
      <c r="AA97" s="27" t="s">
        <v>27</v>
      </c>
      <c r="AB97" s="41">
        <v>8.4180000517517328</v>
      </c>
      <c r="AC97" s="41">
        <v>4.4660000074654818</v>
      </c>
      <c r="AD97" s="41">
        <v>3.4909999668598175</v>
      </c>
      <c r="AE97" s="41">
        <v>62.981000356376171</v>
      </c>
      <c r="AF97" s="44">
        <f t="shared" si="5"/>
        <v>732.08800630457699</v>
      </c>
    </row>
    <row r="98" spans="1:32" ht="15" customHeight="1">
      <c r="A98" s="3">
        <v>91</v>
      </c>
      <c r="B98" s="8" t="s">
        <v>117</v>
      </c>
      <c r="C98" s="23" t="s">
        <v>150</v>
      </c>
      <c r="D98" s="44">
        <f t="shared" si="4"/>
        <v>157.6905101219198</v>
      </c>
      <c r="E98" s="27" t="s">
        <v>27</v>
      </c>
      <c r="F98" s="41">
        <v>57.057308920860294</v>
      </c>
      <c r="G98" s="27" t="s">
        <v>27</v>
      </c>
      <c r="H98" s="41">
        <v>54.302057246778162</v>
      </c>
      <c r="I98" s="41">
        <v>15.821838845373597</v>
      </c>
      <c r="J98" s="48">
        <v>30.50930510890776</v>
      </c>
      <c r="K98" s="13"/>
      <c r="L98" s="27" t="s">
        <v>27</v>
      </c>
      <c r="M98" s="27" t="s">
        <v>27</v>
      </c>
      <c r="N98" s="27" t="s">
        <v>27</v>
      </c>
      <c r="O98" s="27" t="s">
        <v>27</v>
      </c>
      <c r="P98" s="27" t="s">
        <v>27</v>
      </c>
      <c r="Q98" s="48" t="s">
        <v>27</v>
      </c>
      <c r="R98" s="13"/>
      <c r="S98" s="27" t="s">
        <v>27</v>
      </c>
      <c r="T98" s="41">
        <v>12.131999969482422</v>
      </c>
      <c r="U98" s="27" t="s">
        <v>27</v>
      </c>
      <c r="V98" s="41">
        <v>30.864000054076314</v>
      </c>
      <c r="W98" s="41">
        <v>44.344999769236892</v>
      </c>
      <c r="X98" s="41">
        <v>231.97000399231911</v>
      </c>
      <c r="Y98" s="27"/>
      <c r="Z98" s="27" t="s">
        <v>27</v>
      </c>
      <c r="AA98" s="27" t="s">
        <v>27</v>
      </c>
      <c r="AB98" s="27" t="s">
        <v>27</v>
      </c>
      <c r="AC98" s="27" t="s">
        <v>27</v>
      </c>
      <c r="AD98" s="27" t="s">
        <v>27</v>
      </c>
      <c r="AE98" s="27" t="s">
        <v>27</v>
      </c>
      <c r="AF98" s="44">
        <f t="shared" si="5"/>
        <v>319.31100378511474</v>
      </c>
    </row>
    <row r="99" spans="1:32" ht="15" customHeight="1">
      <c r="A99" s="3">
        <v>92</v>
      </c>
      <c r="B99" s="8" t="s">
        <v>118</v>
      </c>
      <c r="C99" s="23" t="s">
        <v>150</v>
      </c>
      <c r="D99" s="44">
        <f t="shared" si="4"/>
        <v>890.49509581650068</v>
      </c>
      <c r="E99" s="27" t="s">
        <v>27</v>
      </c>
      <c r="F99" s="41">
        <v>325.13573771286013</v>
      </c>
      <c r="G99" s="41">
        <v>87.615979819297792</v>
      </c>
      <c r="H99" s="41">
        <v>294.6288998429477</v>
      </c>
      <c r="I99" s="41">
        <v>56.437087461709979</v>
      </c>
      <c r="J99" s="48">
        <v>126.67739097968503</v>
      </c>
      <c r="K99" s="13"/>
      <c r="L99" s="27" t="s">
        <v>27</v>
      </c>
      <c r="M99" s="27" t="s">
        <v>27</v>
      </c>
      <c r="N99" s="27" t="s">
        <v>27</v>
      </c>
      <c r="O99" s="27" t="s">
        <v>27</v>
      </c>
      <c r="P99" s="27" t="s">
        <v>27</v>
      </c>
      <c r="Q99" s="48" t="s">
        <v>27</v>
      </c>
      <c r="R99" s="13"/>
      <c r="S99" s="27" t="s">
        <v>27</v>
      </c>
      <c r="T99" s="41">
        <v>46.278999805450439</v>
      </c>
      <c r="U99" s="41">
        <v>7.6689999252557755</v>
      </c>
      <c r="V99" s="41">
        <v>112.11499985307455</v>
      </c>
      <c r="W99" s="41">
        <v>91.528000116348267</v>
      </c>
      <c r="X99" s="41">
        <v>684.30102971196175</v>
      </c>
      <c r="Y99" s="27"/>
      <c r="Z99" s="27" t="s">
        <v>27</v>
      </c>
      <c r="AA99" s="27" t="s">
        <v>27</v>
      </c>
      <c r="AB99" s="27" t="s">
        <v>27</v>
      </c>
      <c r="AC99" s="27" t="s">
        <v>27</v>
      </c>
      <c r="AD99" s="27" t="s">
        <v>27</v>
      </c>
      <c r="AE99" s="27" t="s">
        <v>27</v>
      </c>
      <c r="AF99" s="44">
        <f t="shared" si="5"/>
        <v>941.89202941209078</v>
      </c>
    </row>
    <row r="100" spans="1:32" ht="15" customHeight="1">
      <c r="A100" s="3">
        <v>93</v>
      </c>
      <c r="B100" s="8" t="s">
        <v>119</v>
      </c>
      <c r="C100" s="23" t="s">
        <v>152</v>
      </c>
      <c r="D100" s="44">
        <f t="shared" si="4"/>
        <v>1391.0579927656486</v>
      </c>
      <c r="E100" s="41">
        <v>102.60219929814339</v>
      </c>
      <c r="F100" s="27" t="s">
        <v>27</v>
      </c>
      <c r="G100" s="41">
        <v>131.84635504692048</v>
      </c>
      <c r="H100" s="41">
        <v>18.041274821281434</v>
      </c>
      <c r="I100" s="41">
        <v>51.873739386200903</v>
      </c>
      <c r="J100" s="48">
        <v>57.666785127534332</v>
      </c>
      <c r="K100" s="13"/>
      <c r="L100" s="41">
        <v>593.72548074722295</v>
      </c>
      <c r="M100" s="27" t="s">
        <v>27</v>
      </c>
      <c r="N100" s="41">
        <v>94.879666846007112</v>
      </c>
      <c r="O100" s="41">
        <v>166.22095254606754</v>
      </c>
      <c r="P100" s="41">
        <v>61.973287262961271</v>
      </c>
      <c r="Q100" s="48">
        <v>112.22825168330914</v>
      </c>
      <c r="R100" s="13"/>
      <c r="S100" s="41">
        <v>2.8579999804496765</v>
      </c>
      <c r="T100" s="27" t="s">
        <v>27</v>
      </c>
      <c r="U100" s="41">
        <v>34.14700011909008</v>
      </c>
      <c r="V100" s="41">
        <v>9.2539999485015869</v>
      </c>
      <c r="W100" s="41">
        <v>37.925000190734863</v>
      </c>
      <c r="X100" s="41">
        <v>189.35899329185486</v>
      </c>
      <c r="Y100" s="27"/>
      <c r="Z100" s="41">
        <v>10.55400013923645</v>
      </c>
      <c r="AA100" s="27" t="s">
        <v>27</v>
      </c>
      <c r="AB100" s="41">
        <v>7.3600000850856304</v>
      </c>
      <c r="AC100" s="41">
        <v>18.840000400319695</v>
      </c>
      <c r="AD100" s="41">
        <v>17.281000062823296</v>
      </c>
      <c r="AE100" s="41">
        <v>201.79600070416927</v>
      </c>
      <c r="AF100" s="44">
        <f t="shared" si="5"/>
        <v>529.37399492226541</v>
      </c>
    </row>
    <row r="101" spans="1:32" ht="15" customHeight="1">
      <c r="A101" s="3">
        <v>94</v>
      </c>
      <c r="B101" s="8" t="s">
        <v>120</v>
      </c>
      <c r="C101" s="23" t="s">
        <v>150</v>
      </c>
      <c r="D101" s="44">
        <f t="shared" si="4"/>
        <v>237.25003431180758</v>
      </c>
      <c r="E101" s="27" t="s">
        <v>27</v>
      </c>
      <c r="F101" s="41">
        <v>86.043909949764611</v>
      </c>
      <c r="G101" s="41">
        <v>20.163030904591082</v>
      </c>
      <c r="H101" s="41">
        <v>67.693172403044997</v>
      </c>
      <c r="I101" s="41">
        <v>17.812733295440673</v>
      </c>
      <c r="J101" s="48">
        <v>45.53718775896624</v>
      </c>
      <c r="K101" s="13"/>
      <c r="L101" s="27" t="s">
        <v>27</v>
      </c>
      <c r="M101" s="27" t="s">
        <v>27</v>
      </c>
      <c r="N101" s="27" t="s">
        <v>27</v>
      </c>
      <c r="O101" s="27" t="s">
        <v>27</v>
      </c>
      <c r="P101" s="27" t="s">
        <v>27</v>
      </c>
      <c r="Q101" s="48" t="s">
        <v>27</v>
      </c>
      <c r="R101" s="13"/>
      <c r="S101" s="27" t="s">
        <v>27</v>
      </c>
      <c r="T101" s="41">
        <v>27.110999651253223</v>
      </c>
      <c r="U101" s="41">
        <v>9.0929999500513077</v>
      </c>
      <c r="V101" s="41">
        <v>85.156999297440052</v>
      </c>
      <c r="W101" s="41">
        <v>41.949000597000122</v>
      </c>
      <c r="X101" s="41">
        <v>310.55100217461586</v>
      </c>
      <c r="Y101" s="27"/>
      <c r="Z101" s="27" t="s">
        <v>27</v>
      </c>
      <c r="AA101" s="27" t="s">
        <v>27</v>
      </c>
      <c r="AB101" s="27" t="s">
        <v>27</v>
      </c>
      <c r="AC101" s="27" t="s">
        <v>27</v>
      </c>
      <c r="AD101" s="27" t="s">
        <v>27</v>
      </c>
      <c r="AE101" s="27" t="s">
        <v>27</v>
      </c>
      <c r="AF101" s="44">
        <f t="shared" si="5"/>
        <v>473.86100167036057</v>
      </c>
    </row>
    <row r="102" spans="1:32" ht="15" customHeight="1">
      <c r="A102" s="3">
        <v>95</v>
      </c>
      <c r="B102" s="8" t="s">
        <v>121</v>
      </c>
      <c r="C102" s="23" t="s">
        <v>150</v>
      </c>
      <c r="D102" s="44">
        <f t="shared" si="4"/>
        <v>115.29476244262037</v>
      </c>
      <c r="E102" s="27" t="s">
        <v>27</v>
      </c>
      <c r="F102" s="27" t="s">
        <v>27</v>
      </c>
      <c r="G102" s="41">
        <v>18.06013006925583</v>
      </c>
      <c r="H102" s="41">
        <v>53.343613768693061</v>
      </c>
      <c r="I102" s="41">
        <v>13.604293011575937</v>
      </c>
      <c r="J102" s="48">
        <v>30.286725593095547</v>
      </c>
      <c r="K102" s="13"/>
      <c r="L102" s="27" t="s">
        <v>27</v>
      </c>
      <c r="M102" s="27" t="s">
        <v>27</v>
      </c>
      <c r="N102" s="27" t="s">
        <v>27</v>
      </c>
      <c r="O102" s="27" t="s">
        <v>27</v>
      </c>
      <c r="P102" s="27" t="s">
        <v>27</v>
      </c>
      <c r="Q102" s="48" t="s">
        <v>27</v>
      </c>
      <c r="R102" s="13"/>
      <c r="S102" s="27" t="s">
        <v>27</v>
      </c>
      <c r="T102" s="27" t="s">
        <v>27</v>
      </c>
      <c r="U102" s="41">
        <v>5.3300000429153442</v>
      </c>
      <c r="V102" s="41">
        <v>50.129000743851066</v>
      </c>
      <c r="W102" s="41">
        <v>42.994000047445297</v>
      </c>
      <c r="X102" s="41">
        <v>248.21699702739716</v>
      </c>
      <c r="Y102" s="27"/>
      <c r="Z102" s="27" t="s">
        <v>27</v>
      </c>
      <c r="AA102" s="27" t="s">
        <v>27</v>
      </c>
      <c r="AB102" s="27" t="s">
        <v>27</v>
      </c>
      <c r="AC102" s="27" t="s">
        <v>27</v>
      </c>
      <c r="AD102" s="27" t="s">
        <v>27</v>
      </c>
      <c r="AE102" s="27" t="s">
        <v>27</v>
      </c>
      <c r="AF102" s="44">
        <f t="shared" si="5"/>
        <v>346.66999786160886</v>
      </c>
    </row>
    <row r="103" spans="1:32" ht="15" customHeight="1">
      <c r="A103" s="3">
        <v>96</v>
      </c>
      <c r="B103" s="8" t="s">
        <v>122</v>
      </c>
      <c r="C103" s="23" t="s">
        <v>150</v>
      </c>
      <c r="D103" s="44">
        <f t="shared" si="4"/>
        <v>318.7612973011984</v>
      </c>
      <c r="E103" s="27" t="s">
        <v>27</v>
      </c>
      <c r="F103" s="41">
        <v>150.87739134395122</v>
      </c>
      <c r="G103" s="41">
        <v>8.7895198059082027</v>
      </c>
      <c r="H103" s="41">
        <v>39.40610248816013</v>
      </c>
      <c r="I103" s="41">
        <v>52.580708041206002</v>
      </c>
      <c r="J103" s="48">
        <v>67.107575621972799</v>
      </c>
      <c r="K103" s="13"/>
      <c r="L103" s="27" t="s">
        <v>27</v>
      </c>
      <c r="M103" s="27" t="s">
        <v>27</v>
      </c>
      <c r="N103" s="27" t="s">
        <v>27</v>
      </c>
      <c r="O103" s="27" t="s">
        <v>27</v>
      </c>
      <c r="P103" s="27" t="s">
        <v>27</v>
      </c>
      <c r="Q103" s="48" t="s">
        <v>27</v>
      </c>
      <c r="R103" s="13"/>
      <c r="S103" s="27" t="s">
        <v>27</v>
      </c>
      <c r="T103" s="41">
        <v>23.678999811410904</v>
      </c>
      <c r="U103" s="41">
        <v>10.364999771118164</v>
      </c>
      <c r="V103" s="41">
        <v>31.414000451564789</v>
      </c>
      <c r="W103" s="41">
        <v>71.47200021892786</v>
      </c>
      <c r="X103" s="41">
        <v>324.64599370956421</v>
      </c>
      <c r="Y103" s="27"/>
      <c r="Z103" s="27" t="s">
        <v>27</v>
      </c>
      <c r="AA103" s="27" t="s">
        <v>27</v>
      </c>
      <c r="AB103" s="27" t="s">
        <v>27</v>
      </c>
      <c r="AC103" s="27" t="s">
        <v>27</v>
      </c>
      <c r="AD103" s="27" t="s">
        <v>27</v>
      </c>
      <c r="AE103" s="27" t="s">
        <v>27</v>
      </c>
      <c r="AF103" s="44">
        <f t="shared" si="5"/>
        <v>461.57599396258593</v>
      </c>
    </row>
    <row r="104" spans="1:32" ht="15" customHeight="1">
      <c r="A104" s="3">
        <v>97</v>
      </c>
      <c r="B104" s="8" t="s">
        <v>123</v>
      </c>
      <c r="C104" s="23" t="s">
        <v>151</v>
      </c>
      <c r="D104" s="44">
        <f t="shared" ref="D104:D127" si="6">SUM(E104:J104)+SUM(L104:Q104)</f>
        <v>962.20463143562779</v>
      </c>
      <c r="E104" s="27" t="s">
        <v>27</v>
      </c>
      <c r="F104" s="41">
        <v>459.6450949123502</v>
      </c>
      <c r="G104" s="41">
        <v>88.817633022591465</v>
      </c>
      <c r="H104" s="41">
        <v>190.33054325014353</v>
      </c>
      <c r="I104" s="41">
        <v>83.13765694141388</v>
      </c>
      <c r="J104" s="48">
        <v>140.27370330912876</v>
      </c>
      <c r="K104" s="13"/>
      <c r="L104" s="27" t="s">
        <v>27</v>
      </c>
      <c r="M104" s="27" t="s">
        <v>27</v>
      </c>
      <c r="N104" s="27" t="s">
        <v>27</v>
      </c>
      <c r="O104" s="27" t="s">
        <v>27</v>
      </c>
      <c r="P104" s="27" t="s">
        <v>27</v>
      </c>
      <c r="Q104" s="48" t="s">
        <v>27</v>
      </c>
      <c r="R104" s="13"/>
      <c r="S104" s="27" t="s">
        <v>27</v>
      </c>
      <c r="T104" s="41">
        <v>41.192999541759491</v>
      </c>
      <c r="U104" s="41">
        <v>11.749999921768904</v>
      </c>
      <c r="V104" s="41">
        <v>84.494000017642975</v>
      </c>
      <c r="W104" s="41">
        <v>75.941999971866608</v>
      </c>
      <c r="X104" s="41">
        <v>529.36899434030056</v>
      </c>
      <c r="Y104" s="27"/>
      <c r="Z104" s="27" t="s">
        <v>27</v>
      </c>
      <c r="AA104" s="27" t="s">
        <v>27</v>
      </c>
      <c r="AB104" s="27" t="s">
        <v>27</v>
      </c>
      <c r="AC104" s="27" t="s">
        <v>27</v>
      </c>
      <c r="AD104" s="27" t="s">
        <v>27</v>
      </c>
      <c r="AE104" s="27" t="s">
        <v>27</v>
      </c>
      <c r="AF104" s="44">
        <f t="shared" ref="AF104:AF127" si="7">SUM(S104:AE104)</f>
        <v>742.74799379333854</v>
      </c>
    </row>
    <row r="105" spans="1:32" ht="15" customHeight="1">
      <c r="A105" s="3">
        <v>98</v>
      </c>
      <c r="B105" s="8" t="s">
        <v>124</v>
      </c>
      <c r="C105" s="23" t="s">
        <v>151</v>
      </c>
      <c r="D105" s="44">
        <f t="shared" si="6"/>
        <v>2120.4535065227597</v>
      </c>
      <c r="E105" s="27" t="s">
        <v>27</v>
      </c>
      <c r="F105" s="41">
        <v>783.2561001150608</v>
      </c>
      <c r="G105" s="41">
        <v>93.644975317269569</v>
      </c>
      <c r="H105" s="41">
        <v>351.36992605582623</v>
      </c>
      <c r="I105" s="41">
        <v>203.51819185262917</v>
      </c>
      <c r="J105" s="48">
        <v>235.27903687386771</v>
      </c>
      <c r="K105" s="13"/>
      <c r="L105" s="27" t="s">
        <v>27</v>
      </c>
      <c r="M105" s="27" t="s">
        <v>27</v>
      </c>
      <c r="N105" s="41">
        <v>307.39098085412382</v>
      </c>
      <c r="O105" s="41">
        <v>79.147698033556338</v>
      </c>
      <c r="P105" s="41">
        <v>27.024297831833362</v>
      </c>
      <c r="Q105" s="48">
        <v>39.822299588592685</v>
      </c>
      <c r="R105" s="13"/>
      <c r="S105" s="27" t="s">
        <v>27</v>
      </c>
      <c r="T105" s="41">
        <v>74.798000067472458</v>
      </c>
      <c r="U105" s="41">
        <v>23.892000027000904</v>
      </c>
      <c r="V105" s="41">
        <v>134.21700077131391</v>
      </c>
      <c r="W105" s="41">
        <v>160.6540008187294</v>
      </c>
      <c r="X105" s="41">
        <v>810.50498145073652</v>
      </c>
      <c r="Y105" s="27"/>
      <c r="Z105" s="27" t="s">
        <v>27</v>
      </c>
      <c r="AA105" s="27" t="s">
        <v>27</v>
      </c>
      <c r="AB105" s="41">
        <v>10.917000167071819</v>
      </c>
      <c r="AC105" s="41">
        <v>10.194000139832497</v>
      </c>
      <c r="AD105" s="41">
        <v>5.6969999894499779</v>
      </c>
      <c r="AE105" s="41">
        <v>60.123001098632812</v>
      </c>
      <c r="AF105" s="44">
        <f t="shared" si="7"/>
        <v>1290.9969845302403</v>
      </c>
    </row>
    <row r="106" spans="1:32" ht="15" customHeight="1">
      <c r="A106" s="3">
        <v>99</v>
      </c>
      <c r="B106" s="8" t="s">
        <v>125</v>
      </c>
      <c r="C106" s="23" t="s">
        <v>150</v>
      </c>
      <c r="D106" s="44">
        <f t="shared" si="6"/>
        <v>457.29859495392259</v>
      </c>
      <c r="E106" s="27" t="s">
        <v>27</v>
      </c>
      <c r="F106" s="41">
        <v>239.59338793754577</v>
      </c>
      <c r="G106" s="41">
        <v>65.355930815443401</v>
      </c>
      <c r="H106" s="41">
        <v>82.755469268254942</v>
      </c>
      <c r="I106" s="41">
        <v>32.035245266027751</v>
      </c>
      <c r="J106" s="48">
        <v>37.558561666650725</v>
      </c>
      <c r="K106" s="13"/>
      <c r="L106" s="27" t="s">
        <v>27</v>
      </c>
      <c r="M106" s="27" t="s">
        <v>27</v>
      </c>
      <c r="N106" s="27" t="s">
        <v>27</v>
      </c>
      <c r="O106" s="27" t="s">
        <v>27</v>
      </c>
      <c r="P106" s="27" t="s">
        <v>27</v>
      </c>
      <c r="Q106" s="48" t="s">
        <v>27</v>
      </c>
      <c r="R106" s="13"/>
      <c r="S106" s="27" t="s">
        <v>27</v>
      </c>
      <c r="T106" s="41">
        <v>24.086999893188477</v>
      </c>
      <c r="U106" s="41">
        <v>13.862000118941069</v>
      </c>
      <c r="V106" s="41">
        <v>39.191000282764435</v>
      </c>
      <c r="W106" s="41">
        <v>52.176000338047743</v>
      </c>
      <c r="X106" s="41">
        <v>203.43000476062298</v>
      </c>
      <c r="Y106" s="27"/>
      <c r="Z106" s="27" t="s">
        <v>27</v>
      </c>
      <c r="AA106" s="27" t="s">
        <v>27</v>
      </c>
      <c r="AB106" s="27" t="s">
        <v>27</v>
      </c>
      <c r="AC106" s="27" t="s">
        <v>27</v>
      </c>
      <c r="AD106" s="27" t="s">
        <v>27</v>
      </c>
      <c r="AE106" s="27" t="s">
        <v>27</v>
      </c>
      <c r="AF106" s="44">
        <f t="shared" si="7"/>
        <v>332.7460053935647</v>
      </c>
    </row>
    <row r="107" spans="1:32" ht="15" customHeight="1">
      <c r="A107" s="3">
        <v>100</v>
      </c>
      <c r="B107" s="8" t="s">
        <v>126</v>
      </c>
      <c r="C107" s="23" t="s">
        <v>151</v>
      </c>
      <c r="D107" s="44">
        <f t="shared" si="6"/>
        <v>1834.7198855261515</v>
      </c>
      <c r="E107" s="27" t="s">
        <v>27</v>
      </c>
      <c r="F107" s="41">
        <v>639.11900648747383</v>
      </c>
      <c r="G107" s="41">
        <v>50.342071516513826</v>
      </c>
      <c r="H107" s="41">
        <v>219.35070266000926</v>
      </c>
      <c r="I107" s="41">
        <v>134.82275575405359</v>
      </c>
      <c r="J107" s="48">
        <v>294.34517070985964</v>
      </c>
      <c r="K107" s="13"/>
      <c r="L107" s="27" t="s">
        <v>27</v>
      </c>
      <c r="M107" s="41">
        <v>11.50100040435791</v>
      </c>
      <c r="N107" s="41">
        <v>268.28088230809567</v>
      </c>
      <c r="O107" s="41">
        <v>102.74029417324812</v>
      </c>
      <c r="P107" s="41">
        <v>41.299742025636135</v>
      </c>
      <c r="Q107" s="48">
        <v>72.918259486903736</v>
      </c>
      <c r="R107" s="13"/>
      <c r="S107" s="27" t="s">
        <v>27</v>
      </c>
      <c r="T107" s="41">
        <v>71.969999341294169</v>
      </c>
      <c r="U107" s="41">
        <v>5.4870001077651978</v>
      </c>
      <c r="V107" s="41">
        <v>81.797999911010265</v>
      </c>
      <c r="W107" s="41">
        <v>144.17399978637695</v>
      </c>
      <c r="X107" s="41">
        <v>1225.7450577616692</v>
      </c>
      <c r="Y107" s="27"/>
      <c r="Z107" s="27" t="s">
        <v>27</v>
      </c>
      <c r="AA107" s="41">
        <v>1.0850000381469727</v>
      </c>
      <c r="AB107" s="41">
        <v>10.507000062614679</v>
      </c>
      <c r="AC107" s="41">
        <v>15.279000014066696</v>
      </c>
      <c r="AD107" s="41">
        <v>8.690000019967556</v>
      </c>
      <c r="AE107" s="41">
        <v>109.96099781244993</v>
      </c>
      <c r="AF107" s="44">
        <f t="shared" si="7"/>
        <v>1674.6960548553616</v>
      </c>
    </row>
    <row r="108" spans="1:32" ht="15" customHeight="1">
      <c r="A108" s="3">
        <v>101</v>
      </c>
      <c r="B108" s="8" t="s">
        <v>127</v>
      </c>
      <c r="C108" s="23" t="s">
        <v>150</v>
      </c>
      <c r="D108" s="44">
        <f t="shared" si="6"/>
        <v>39.982661947235641</v>
      </c>
      <c r="E108" s="27" t="s">
        <v>27</v>
      </c>
      <c r="F108" s="41">
        <v>4.5703759775161741</v>
      </c>
      <c r="G108" s="27" t="s">
        <v>27</v>
      </c>
      <c r="H108" s="41">
        <v>17.710377998292447</v>
      </c>
      <c r="I108" s="41">
        <v>5.7179239938557149</v>
      </c>
      <c r="J108" s="48">
        <v>11.983983977571304</v>
      </c>
      <c r="K108" s="13"/>
      <c r="L108" s="27" t="s">
        <v>27</v>
      </c>
      <c r="M108" s="27" t="s">
        <v>27</v>
      </c>
      <c r="N108" s="27" t="s">
        <v>27</v>
      </c>
      <c r="O108" s="27" t="s">
        <v>27</v>
      </c>
      <c r="P108" s="27" t="s">
        <v>27</v>
      </c>
      <c r="Q108" s="48" t="s">
        <v>27</v>
      </c>
      <c r="R108" s="13"/>
      <c r="S108" s="27" t="s">
        <v>27</v>
      </c>
      <c r="T108" s="41">
        <v>1.3569999933242798</v>
      </c>
      <c r="U108" s="27" t="s">
        <v>27</v>
      </c>
      <c r="V108" s="41">
        <v>25.38400012254715</v>
      </c>
      <c r="W108" s="41">
        <v>20.01600007712841</v>
      </c>
      <c r="X108" s="41">
        <v>104.69499802589417</v>
      </c>
      <c r="Y108" s="27"/>
      <c r="Z108" s="27" t="s">
        <v>27</v>
      </c>
      <c r="AA108" s="27" t="s">
        <v>27</v>
      </c>
      <c r="AB108" s="27" t="s">
        <v>27</v>
      </c>
      <c r="AC108" s="27" t="s">
        <v>27</v>
      </c>
      <c r="AD108" s="27" t="s">
        <v>27</v>
      </c>
      <c r="AE108" s="27" t="s">
        <v>27</v>
      </c>
      <c r="AF108" s="44">
        <f t="shared" si="7"/>
        <v>151.451998218894</v>
      </c>
    </row>
    <row r="109" spans="1:32" ht="15" customHeight="1">
      <c r="A109" s="3">
        <v>102</v>
      </c>
      <c r="B109" s="8" t="s">
        <v>128</v>
      </c>
      <c r="C109" s="23" t="s">
        <v>150</v>
      </c>
      <c r="D109" s="44">
        <f t="shared" si="6"/>
        <v>1200.5741522567489</v>
      </c>
      <c r="E109" s="41">
        <v>817.16639118194576</v>
      </c>
      <c r="F109" s="41">
        <v>87.517029650151727</v>
      </c>
      <c r="G109" s="41">
        <v>89.137641868516809</v>
      </c>
      <c r="H109" s="41">
        <v>74.98197919568419</v>
      </c>
      <c r="I109" s="41">
        <v>52.361687468804419</v>
      </c>
      <c r="J109" s="48">
        <v>79.40942289164613</v>
      </c>
      <c r="K109" s="13"/>
      <c r="L109" s="27" t="s">
        <v>27</v>
      </c>
      <c r="M109" s="27" t="s">
        <v>27</v>
      </c>
      <c r="N109" s="27" t="s">
        <v>27</v>
      </c>
      <c r="O109" s="27" t="s">
        <v>27</v>
      </c>
      <c r="P109" s="27" t="s">
        <v>27</v>
      </c>
      <c r="Q109" s="48" t="s">
        <v>27</v>
      </c>
      <c r="R109" s="13"/>
      <c r="S109" s="41">
        <v>22.640999794006348</v>
      </c>
      <c r="T109" s="41">
        <v>10.295999817550182</v>
      </c>
      <c r="U109" s="41">
        <v>14.328999973833561</v>
      </c>
      <c r="V109" s="41">
        <v>29.391000509262085</v>
      </c>
      <c r="W109" s="41">
        <v>94.24699867144227</v>
      </c>
      <c r="X109" s="41">
        <v>457.82699008658528</v>
      </c>
      <c r="Y109" s="27"/>
      <c r="Z109" s="27" t="s">
        <v>27</v>
      </c>
      <c r="AA109" s="27" t="s">
        <v>27</v>
      </c>
      <c r="AB109" s="27" t="s">
        <v>27</v>
      </c>
      <c r="AC109" s="27" t="s">
        <v>27</v>
      </c>
      <c r="AD109" s="27" t="s">
        <v>27</v>
      </c>
      <c r="AE109" s="27" t="s">
        <v>27</v>
      </c>
      <c r="AF109" s="44">
        <f t="shared" si="7"/>
        <v>628.73098885267973</v>
      </c>
    </row>
    <row r="110" spans="1:32" ht="15" customHeight="1">
      <c r="A110" s="3">
        <v>103</v>
      </c>
      <c r="B110" s="8" t="s">
        <v>129</v>
      </c>
      <c r="C110" s="23" t="s">
        <v>151</v>
      </c>
      <c r="D110" s="44">
        <f t="shared" si="6"/>
        <v>901.63279690330103</v>
      </c>
      <c r="E110" s="41">
        <v>308.18554568481443</v>
      </c>
      <c r="F110" s="27" t="s">
        <v>27</v>
      </c>
      <c r="G110" s="41">
        <v>99.701035760641105</v>
      </c>
      <c r="H110" s="41">
        <v>192.40496993827074</v>
      </c>
      <c r="I110" s="41">
        <v>39.313255576595665</v>
      </c>
      <c r="J110" s="48">
        <v>92.608542210188901</v>
      </c>
      <c r="K110" s="13"/>
      <c r="L110" s="27" t="s">
        <v>27</v>
      </c>
      <c r="M110" s="27" t="s">
        <v>27</v>
      </c>
      <c r="N110" s="41">
        <v>77.888112187013036</v>
      </c>
      <c r="O110" s="41">
        <v>58.376125544309616</v>
      </c>
      <c r="P110" s="41">
        <v>4.0254699596762658</v>
      </c>
      <c r="Q110" s="48">
        <v>29.129740041791223</v>
      </c>
      <c r="R110" s="13"/>
      <c r="S110" s="41">
        <v>19.709999084472656</v>
      </c>
      <c r="T110" s="27" t="s">
        <v>27</v>
      </c>
      <c r="U110" s="41">
        <v>15.250999957323074</v>
      </c>
      <c r="V110" s="41">
        <v>64.479999842122197</v>
      </c>
      <c r="W110" s="41">
        <v>37.392000302672386</v>
      </c>
      <c r="X110" s="41">
        <v>358.42799603939056</v>
      </c>
      <c r="Y110" s="27"/>
      <c r="Z110" s="27" t="s">
        <v>27</v>
      </c>
      <c r="AA110" s="27" t="s">
        <v>27</v>
      </c>
      <c r="AB110" s="41">
        <v>3.0439998917281628</v>
      </c>
      <c r="AC110" s="41">
        <v>3.7669999673962593</v>
      </c>
      <c r="AD110" s="41">
        <v>0.70499999821186066</v>
      </c>
      <c r="AE110" s="41">
        <v>39.168999802321196</v>
      </c>
      <c r="AF110" s="44">
        <f t="shared" si="7"/>
        <v>541.94599488563836</v>
      </c>
    </row>
    <row r="111" spans="1:32" ht="15" customHeight="1">
      <c r="A111" s="3">
        <v>104</v>
      </c>
      <c r="B111" s="8" t="s">
        <v>130</v>
      </c>
      <c r="C111" s="23" t="s">
        <v>150</v>
      </c>
      <c r="D111" s="44">
        <f t="shared" si="6"/>
        <v>512.88251246436334</v>
      </c>
      <c r="E111" s="27" t="s">
        <v>27</v>
      </c>
      <c r="F111" s="41">
        <v>216.89074737254529</v>
      </c>
      <c r="G111" s="27" t="s">
        <v>27</v>
      </c>
      <c r="H111" s="41">
        <v>91.164753760635847</v>
      </c>
      <c r="I111" s="41">
        <v>87.530374467045064</v>
      </c>
      <c r="J111" s="48">
        <v>117.2966368641371</v>
      </c>
      <c r="K111" s="13"/>
      <c r="L111" s="27" t="s">
        <v>27</v>
      </c>
      <c r="M111" s="27" t="s">
        <v>27</v>
      </c>
      <c r="N111" s="27" t="s">
        <v>27</v>
      </c>
      <c r="O111" s="27" t="s">
        <v>27</v>
      </c>
      <c r="P111" s="27" t="s">
        <v>27</v>
      </c>
      <c r="Q111" s="48" t="s">
        <v>27</v>
      </c>
      <c r="R111" s="13"/>
      <c r="S111" s="27" t="s">
        <v>27</v>
      </c>
      <c r="T111" s="41">
        <v>41.222999690100551</v>
      </c>
      <c r="U111" s="27" t="s">
        <v>27</v>
      </c>
      <c r="V111" s="41">
        <v>32.576000101864338</v>
      </c>
      <c r="W111" s="41">
        <v>88.695000410079956</v>
      </c>
      <c r="X111" s="41">
        <v>472.30098555237055</v>
      </c>
      <c r="Y111" s="27"/>
      <c r="Z111" s="27" t="s">
        <v>27</v>
      </c>
      <c r="AA111" s="27" t="s">
        <v>27</v>
      </c>
      <c r="AB111" s="27" t="s">
        <v>27</v>
      </c>
      <c r="AC111" s="27" t="s">
        <v>27</v>
      </c>
      <c r="AD111" s="27" t="s">
        <v>27</v>
      </c>
      <c r="AE111" s="27" t="s">
        <v>27</v>
      </c>
      <c r="AF111" s="44">
        <f t="shared" si="7"/>
        <v>634.79498575441539</v>
      </c>
    </row>
    <row r="112" spans="1:32" ht="15" customHeight="1">
      <c r="A112" s="3">
        <v>105</v>
      </c>
      <c r="B112" s="8" t="s">
        <v>131</v>
      </c>
      <c r="C112" s="23" t="s">
        <v>151</v>
      </c>
      <c r="D112" s="44">
        <f t="shared" si="6"/>
        <v>1726.2714709081376</v>
      </c>
      <c r="E112" s="41">
        <v>790.16800734519961</v>
      </c>
      <c r="F112" s="41">
        <v>27.93819978237152</v>
      </c>
      <c r="G112" s="41">
        <v>128.3519402743876</v>
      </c>
      <c r="H112" s="41">
        <v>94.057103951049967</v>
      </c>
      <c r="I112" s="41">
        <v>57.429572378510606</v>
      </c>
      <c r="J112" s="48">
        <v>54.744283820117879</v>
      </c>
      <c r="K112" s="13"/>
      <c r="L112" s="41">
        <v>172.01090629911423</v>
      </c>
      <c r="M112" s="27" t="s">
        <v>27</v>
      </c>
      <c r="N112" s="41">
        <v>179.5036836386621</v>
      </c>
      <c r="O112" s="41">
        <v>114.89486635267362</v>
      </c>
      <c r="P112" s="41">
        <v>33.576939779520032</v>
      </c>
      <c r="Q112" s="48">
        <v>73.595967286530353</v>
      </c>
      <c r="R112" s="13"/>
      <c r="S112" s="41">
        <v>22.010000228881836</v>
      </c>
      <c r="T112" s="41">
        <v>1.7139999866485596</v>
      </c>
      <c r="U112" s="41">
        <v>21.73199999332428</v>
      </c>
      <c r="V112" s="41">
        <v>45.834000096656382</v>
      </c>
      <c r="W112" s="41">
        <v>65.391001557931304</v>
      </c>
      <c r="X112" s="41">
        <v>237.08999364078045</v>
      </c>
      <c r="Y112" s="27"/>
      <c r="Z112" s="41">
        <v>4.3310000598430634</v>
      </c>
      <c r="AA112" s="27" t="s">
        <v>27</v>
      </c>
      <c r="AB112" s="41">
        <v>13.215999830514193</v>
      </c>
      <c r="AC112" s="41">
        <v>9.7580000599846244</v>
      </c>
      <c r="AD112" s="41">
        <v>7.4279999434947968</v>
      </c>
      <c r="AE112" s="41">
        <v>114.51200207322836</v>
      </c>
      <c r="AF112" s="44">
        <f t="shared" si="7"/>
        <v>543.01599747128785</v>
      </c>
    </row>
    <row r="113" spans="1:32" ht="15" customHeight="1">
      <c r="A113" s="3">
        <v>106</v>
      </c>
      <c r="B113" s="8" t="s">
        <v>132</v>
      </c>
      <c r="C113" s="23" t="s">
        <v>151</v>
      </c>
      <c r="D113" s="44">
        <f t="shared" si="6"/>
        <v>1693.0904342623674</v>
      </c>
      <c r="E113" s="41">
        <v>985.39632544326787</v>
      </c>
      <c r="F113" s="27" t="s">
        <v>27</v>
      </c>
      <c r="G113" s="41">
        <v>240.42631237500905</v>
      </c>
      <c r="H113" s="41">
        <v>70.325580031692979</v>
      </c>
      <c r="I113" s="41">
        <v>87.994228268563745</v>
      </c>
      <c r="J113" s="48">
        <v>61.880996773720028</v>
      </c>
      <c r="K113" s="13"/>
      <c r="L113" s="27" t="s">
        <v>27</v>
      </c>
      <c r="M113" s="27" t="s">
        <v>27</v>
      </c>
      <c r="N113" s="41">
        <v>180.84692249481753</v>
      </c>
      <c r="O113" s="41">
        <v>10.761239849463106</v>
      </c>
      <c r="P113" s="41">
        <v>22.026800915814935</v>
      </c>
      <c r="Q113" s="48">
        <v>33.43202811001828</v>
      </c>
      <c r="R113" s="13"/>
      <c r="S113" s="41">
        <v>22.329000473022461</v>
      </c>
      <c r="T113" s="27" t="s">
        <v>27</v>
      </c>
      <c r="U113" s="41">
        <v>50.500000402331352</v>
      </c>
      <c r="V113" s="41">
        <v>35.224000096321106</v>
      </c>
      <c r="W113" s="41">
        <v>114.34599974751472</v>
      </c>
      <c r="X113" s="41">
        <v>291.06200001388788</v>
      </c>
      <c r="Y113" s="27"/>
      <c r="Z113" s="27" t="s">
        <v>27</v>
      </c>
      <c r="AA113" s="27" t="s">
        <v>27</v>
      </c>
      <c r="AB113" s="41">
        <v>13.015999957919121</v>
      </c>
      <c r="AC113" s="41">
        <v>1.7339999787509441</v>
      </c>
      <c r="AD113" s="41">
        <v>8.0239999741315842</v>
      </c>
      <c r="AE113" s="41">
        <v>71.038999557495117</v>
      </c>
      <c r="AF113" s="44">
        <f t="shared" si="7"/>
        <v>607.27400020137429</v>
      </c>
    </row>
    <row r="114" spans="1:32" ht="15" customHeight="1">
      <c r="A114" s="3">
        <v>107</v>
      </c>
      <c r="B114" s="8" t="s">
        <v>133</v>
      </c>
      <c r="C114" s="23" t="s">
        <v>151</v>
      </c>
      <c r="D114" s="44">
        <f t="shared" si="6"/>
        <v>976.95815399303058</v>
      </c>
      <c r="E114" s="41">
        <v>571.20286605882643</v>
      </c>
      <c r="F114" s="27" t="s">
        <v>27</v>
      </c>
      <c r="G114" s="41">
        <v>41.541080748476091</v>
      </c>
      <c r="H114" s="41">
        <v>122.49063562044502</v>
      </c>
      <c r="I114" s="41">
        <v>38.239723506331444</v>
      </c>
      <c r="J114" s="48">
        <v>46.349201187731978</v>
      </c>
      <c r="K114" s="13"/>
      <c r="L114" s="27" t="s">
        <v>27</v>
      </c>
      <c r="M114" s="27" t="s">
        <v>27</v>
      </c>
      <c r="N114" s="27" t="s">
        <v>27</v>
      </c>
      <c r="O114" s="41">
        <v>126.83516961342842</v>
      </c>
      <c r="P114" s="41">
        <v>9.3620629410445684</v>
      </c>
      <c r="Q114" s="48">
        <v>20.937414316746636</v>
      </c>
      <c r="R114" s="13"/>
      <c r="S114" s="41">
        <v>13.711000263690948</v>
      </c>
      <c r="T114" s="27" t="s">
        <v>27</v>
      </c>
      <c r="U114" s="41">
        <v>4.3190000709146261</v>
      </c>
      <c r="V114" s="41">
        <v>46.562999985180795</v>
      </c>
      <c r="W114" s="41">
        <v>75.164000809192657</v>
      </c>
      <c r="X114" s="41">
        <v>282.33501279354095</v>
      </c>
      <c r="Y114" s="27"/>
      <c r="Z114" s="27" t="s">
        <v>27</v>
      </c>
      <c r="AA114" s="27" t="s">
        <v>27</v>
      </c>
      <c r="AB114" s="27" t="s">
        <v>27</v>
      </c>
      <c r="AC114" s="41">
        <v>19.706000127829611</v>
      </c>
      <c r="AD114" s="41">
        <v>5.5919999927282333</v>
      </c>
      <c r="AE114" s="41">
        <v>60.5949986577034</v>
      </c>
      <c r="AF114" s="44">
        <f t="shared" si="7"/>
        <v>507.98501270078123</v>
      </c>
    </row>
    <row r="115" spans="1:32" ht="15" customHeight="1">
      <c r="A115" s="3">
        <v>108</v>
      </c>
      <c r="B115" s="8" t="s">
        <v>134</v>
      </c>
      <c r="C115" s="23" t="s">
        <v>150</v>
      </c>
      <c r="D115" s="44">
        <f t="shared" si="6"/>
        <v>322.12346962720744</v>
      </c>
      <c r="E115" s="27" t="s">
        <v>27</v>
      </c>
      <c r="F115" s="27" t="s">
        <v>27</v>
      </c>
      <c r="G115" s="41">
        <v>165.45369149946421</v>
      </c>
      <c r="H115" s="41">
        <v>67.977157394438976</v>
      </c>
      <c r="I115" s="41">
        <v>41.106046394750479</v>
      </c>
      <c r="J115" s="48">
        <v>47.586574338553753</v>
      </c>
      <c r="K115" s="13"/>
      <c r="L115" s="27" t="s">
        <v>27</v>
      </c>
      <c r="M115" s="27" t="s">
        <v>27</v>
      </c>
      <c r="N115" s="27" t="s">
        <v>27</v>
      </c>
      <c r="O115" s="27" t="s">
        <v>27</v>
      </c>
      <c r="P115" s="27" t="s">
        <v>27</v>
      </c>
      <c r="Q115" s="48" t="s">
        <v>27</v>
      </c>
      <c r="R115" s="13"/>
      <c r="S115" s="27" t="s">
        <v>27</v>
      </c>
      <c r="T115" s="27" t="s">
        <v>27</v>
      </c>
      <c r="U115" s="41">
        <v>23.73600042052567</v>
      </c>
      <c r="V115" s="41">
        <v>24.176000252366066</v>
      </c>
      <c r="W115" s="41">
        <v>52.636000618338585</v>
      </c>
      <c r="X115" s="41">
        <v>221.77899941056967</v>
      </c>
      <c r="Y115" s="27"/>
      <c r="Z115" s="27" t="s">
        <v>27</v>
      </c>
      <c r="AA115" s="27" t="s">
        <v>27</v>
      </c>
      <c r="AB115" s="27" t="s">
        <v>27</v>
      </c>
      <c r="AC115" s="27" t="s">
        <v>27</v>
      </c>
      <c r="AD115" s="27" t="s">
        <v>27</v>
      </c>
      <c r="AE115" s="27" t="s">
        <v>27</v>
      </c>
      <c r="AF115" s="44">
        <f t="shared" si="7"/>
        <v>322.32700070179999</v>
      </c>
    </row>
    <row r="116" spans="1:32" ht="15" customHeight="1">
      <c r="A116" s="3">
        <v>109</v>
      </c>
      <c r="B116" s="8" t="s">
        <v>135</v>
      </c>
      <c r="C116" s="23" t="s">
        <v>151</v>
      </c>
      <c r="D116" s="44">
        <f t="shared" si="6"/>
        <v>625.61740170389567</v>
      </c>
      <c r="E116" s="27" t="s">
        <v>27</v>
      </c>
      <c r="F116" s="41">
        <v>188.97639024859666</v>
      </c>
      <c r="G116" s="41">
        <v>28.379873899698257</v>
      </c>
      <c r="H116" s="41">
        <v>55.590439198091623</v>
      </c>
      <c r="I116" s="41">
        <v>64.196120627894999</v>
      </c>
      <c r="J116" s="48">
        <v>74.130729692511181</v>
      </c>
      <c r="K116" s="13"/>
      <c r="L116" s="27" t="s">
        <v>27</v>
      </c>
      <c r="M116" s="27" t="s">
        <v>27</v>
      </c>
      <c r="N116" s="41">
        <v>74.71150771927833</v>
      </c>
      <c r="O116" s="41">
        <v>39.062376898884771</v>
      </c>
      <c r="P116" s="41">
        <v>57.466852842740714</v>
      </c>
      <c r="Q116" s="48">
        <v>43.103110576199079</v>
      </c>
      <c r="R116" s="13"/>
      <c r="S116" s="27" t="s">
        <v>27</v>
      </c>
      <c r="T116" s="41">
        <v>29.317999958992004</v>
      </c>
      <c r="U116" s="41">
        <v>3.7799999713897705</v>
      </c>
      <c r="V116" s="41">
        <v>27.291000179946423</v>
      </c>
      <c r="W116" s="41">
        <v>86.876999631524086</v>
      </c>
      <c r="X116" s="41">
        <v>357.63600332289934</v>
      </c>
      <c r="Y116" s="27"/>
      <c r="Z116" s="27" t="s">
        <v>27</v>
      </c>
      <c r="AA116" s="27" t="s">
        <v>27</v>
      </c>
      <c r="AB116" s="41">
        <v>6.2619999423623085</v>
      </c>
      <c r="AC116" s="41">
        <v>5.3200001418590546</v>
      </c>
      <c r="AD116" s="41">
        <v>13.548999959602952</v>
      </c>
      <c r="AE116" s="41">
        <v>69.789000034332275</v>
      </c>
      <c r="AF116" s="44">
        <f t="shared" si="7"/>
        <v>599.82200314290822</v>
      </c>
    </row>
    <row r="117" spans="1:32" ht="15" customHeight="1">
      <c r="A117" s="3">
        <v>110</v>
      </c>
      <c r="B117" s="8" t="s">
        <v>136</v>
      </c>
      <c r="C117" s="23" t="s">
        <v>150</v>
      </c>
      <c r="D117" s="44">
        <f t="shared" si="6"/>
        <v>349.31986196155509</v>
      </c>
      <c r="E117" s="27" t="s">
        <v>27</v>
      </c>
      <c r="F117" s="41">
        <v>65.692209687232975</v>
      </c>
      <c r="G117" s="41">
        <v>62.235602190494539</v>
      </c>
      <c r="H117" s="41">
        <v>118.05804812161624</v>
      </c>
      <c r="I117" s="41">
        <v>41.04769938895479</v>
      </c>
      <c r="J117" s="48">
        <v>62.286302573256549</v>
      </c>
      <c r="K117" s="13"/>
      <c r="L117" s="27" t="s">
        <v>27</v>
      </c>
      <c r="M117" s="27" t="s">
        <v>27</v>
      </c>
      <c r="N117" s="27" t="s">
        <v>27</v>
      </c>
      <c r="O117" s="27" t="s">
        <v>27</v>
      </c>
      <c r="P117" s="27" t="s">
        <v>27</v>
      </c>
      <c r="Q117" s="48" t="s">
        <v>27</v>
      </c>
      <c r="R117" s="13"/>
      <c r="S117" s="27" t="s">
        <v>27</v>
      </c>
      <c r="T117" s="41">
        <v>14.421999931335449</v>
      </c>
      <c r="U117" s="41">
        <v>23.064000114798546</v>
      </c>
      <c r="V117" s="41">
        <v>62.165000975131989</v>
      </c>
      <c r="W117" s="41">
        <v>85.452998949214816</v>
      </c>
      <c r="X117" s="41">
        <v>393.2779857814312</v>
      </c>
      <c r="Y117" s="27"/>
      <c r="Z117" s="27" t="s">
        <v>27</v>
      </c>
      <c r="AA117" s="27" t="s">
        <v>27</v>
      </c>
      <c r="AB117" s="27" t="s">
        <v>27</v>
      </c>
      <c r="AC117" s="27" t="s">
        <v>27</v>
      </c>
      <c r="AD117" s="27" t="s">
        <v>27</v>
      </c>
      <c r="AE117" s="27" t="s">
        <v>27</v>
      </c>
      <c r="AF117" s="44">
        <f t="shared" si="7"/>
        <v>578.381985751912</v>
      </c>
    </row>
    <row r="118" spans="1:32" ht="15" customHeight="1">
      <c r="A118" s="3">
        <v>111</v>
      </c>
      <c r="B118" s="8" t="s">
        <v>137</v>
      </c>
      <c r="C118" s="23" t="s">
        <v>150</v>
      </c>
      <c r="D118" s="44">
        <f t="shared" si="6"/>
        <v>602.68433951680697</v>
      </c>
      <c r="E118" s="41">
        <v>195.47680327892303</v>
      </c>
      <c r="F118" s="41">
        <v>150.54196022358536</v>
      </c>
      <c r="G118" s="27" t="s">
        <v>27</v>
      </c>
      <c r="H118" s="41">
        <v>59.923958216365428</v>
      </c>
      <c r="I118" s="41">
        <v>69.259408347725866</v>
      </c>
      <c r="J118" s="48">
        <v>127.48220945020736</v>
      </c>
      <c r="K118" s="13"/>
      <c r="L118" s="27" t="s">
        <v>27</v>
      </c>
      <c r="M118" s="27" t="s">
        <v>27</v>
      </c>
      <c r="N118" s="27" t="s">
        <v>27</v>
      </c>
      <c r="O118" s="27" t="s">
        <v>27</v>
      </c>
      <c r="P118" s="27" t="s">
        <v>27</v>
      </c>
      <c r="Q118" s="48" t="s">
        <v>27</v>
      </c>
      <c r="R118" s="13"/>
      <c r="S118" s="41">
        <v>12.44100022315979</v>
      </c>
      <c r="T118" s="41">
        <v>28.111999437212944</v>
      </c>
      <c r="U118" s="27" t="s">
        <v>27</v>
      </c>
      <c r="V118" s="41">
        <v>55.971000891178846</v>
      </c>
      <c r="W118" s="41">
        <v>97.865998864173889</v>
      </c>
      <c r="X118" s="41">
        <v>631.847002889961</v>
      </c>
      <c r="Y118" s="27"/>
      <c r="Z118" s="27" t="s">
        <v>27</v>
      </c>
      <c r="AA118" s="27" t="s">
        <v>27</v>
      </c>
      <c r="AB118" s="27" t="s">
        <v>27</v>
      </c>
      <c r="AC118" s="27" t="s">
        <v>27</v>
      </c>
      <c r="AD118" s="27" t="s">
        <v>27</v>
      </c>
      <c r="AE118" s="27" t="s">
        <v>27</v>
      </c>
      <c r="AF118" s="44">
        <f t="shared" si="7"/>
        <v>826.23700230568647</v>
      </c>
    </row>
    <row r="119" spans="1:32" ht="15" customHeight="1">
      <c r="A119" s="3">
        <v>112</v>
      </c>
      <c r="B119" s="8" t="s">
        <v>138</v>
      </c>
      <c r="C119" s="23" t="s">
        <v>150</v>
      </c>
      <c r="D119" s="44">
        <f t="shared" si="6"/>
        <v>207.34389546343618</v>
      </c>
      <c r="E119" s="41">
        <v>21.08240008354187</v>
      </c>
      <c r="F119" s="27" t="s">
        <v>27</v>
      </c>
      <c r="G119" s="41">
        <v>79.851266318172222</v>
      </c>
      <c r="H119" s="41">
        <v>55.923289563655857</v>
      </c>
      <c r="I119" s="41">
        <v>21.61256221318245</v>
      </c>
      <c r="J119" s="48">
        <v>28.874377284883803</v>
      </c>
      <c r="K119" s="13"/>
      <c r="L119" s="27" t="s">
        <v>27</v>
      </c>
      <c r="M119" s="27" t="s">
        <v>27</v>
      </c>
      <c r="N119" s="27" t="s">
        <v>27</v>
      </c>
      <c r="O119" s="27" t="s">
        <v>27</v>
      </c>
      <c r="P119" s="27" t="s">
        <v>27</v>
      </c>
      <c r="Q119" s="48" t="s">
        <v>27</v>
      </c>
      <c r="R119" s="13"/>
      <c r="S119" s="41">
        <v>0.72200000286102295</v>
      </c>
      <c r="T119" s="27" t="s">
        <v>27</v>
      </c>
      <c r="U119" s="41">
        <v>19.369000062346458</v>
      </c>
      <c r="V119" s="41">
        <v>17.693000257015228</v>
      </c>
      <c r="W119" s="41">
        <v>43.323000431060791</v>
      </c>
      <c r="X119" s="41">
        <v>178.05599976703525</v>
      </c>
      <c r="Y119" s="27"/>
      <c r="Z119" s="27" t="s">
        <v>27</v>
      </c>
      <c r="AA119" s="27" t="s">
        <v>27</v>
      </c>
      <c r="AB119" s="27" t="s">
        <v>27</v>
      </c>
      <c r="AC119" s="27" t="s">
        <v>27</v>
      </c>
      <c r="AD119" s="27" t="s">
        <v>27</v>
      </c>
      <c r="AE119" s="27" t="s">
        <v>27</v>
      </c>
      <c r="AF119" s="44">
        <f t="shared" si="7"/>
        <v>259.16300052031875</v>
      </c>
    </row>
    <row r="120" spans="1:32" ht="15" customHeight="1">
      <c r="A120" s="3">
        <v>113</v>
      </c>
      <c r="B120" s="8" t="s">
        <v>139</v>
      </c>
      <c r="C120" s="23" t="s">
        <v>150</v>
      </c>
      <c r="D120" s="44">
        <f t="shared" si="6"/>
        <v>420.66188909384806</v>
      </c>
      <c r="E120" s="27" t="s">
        <v>27</v>
      </c>
      <c r="F120" s="41">
        <v>138.18241934491695</v>
      </c>
      <c r="G120" s="41">
        <v>76.946053762167693</v>
      </c>
      <c r="H120" s="41">
        <v>42.450233270108697</v>
      </c>
      <c r="I120" s="41">
        <v>65.926302811123435</v>
      </c>
      <c r="J120" s="48">
        <v>97.156879905531312</v>
      </c>
      <c r="K120" s="13"/>
      <c r="L120" s="27" t="s">
        <v>27</v>
      </c>
      <c r="M120" s="27" t="s">
        <v>27</v>
      </c>
      <c r="N120" s="27" t="s">
        <v>27</v>
      </c>
      <c r="O120" s="27" t="s">
        <v>27</v>
      </c>
      <c r="P120" s="27" t="s">
        <v>27</v>
      </c>
      <c r="Q120" s="48" t="s">
        <v>27</v>
      </c>
      <c r="R120" s="13"/>
      <c r="S120" s="27" t="s">
        <v>27</v>
      </c>
      <c r="T120" s="41">
        <v>26.344999838620424</v>
      </c>
      <c r="U120" s="41">
        <v>27.23400004580617</v>
      </c>
      <c r="V120" s="41">
        <v>30.482000276446342</v>
      </c>
      <c r="W120" s="41">
        <v>79.673998652026057</v>
      </c>
      <c r="X120" s="41">
        <v>436.73199518024921</v>
      </c>
      <c r="Y120" s="27"/>
      <c r="Z120" s="27" t="s">
        <v>27</v>
      </c>
      <c r="AA120" s="27" t="s">
        <v>27</v>
      </c>
      <c r="AB120" s="27" t="s">
        <v>27</v>
      </c>
      <c r="AC120" s="27" t="s">
        <v>27</v>
      </c>
      <c r="AD120" s="27" t="s">
        <v>27</v>
      </c>
      <c r="AE120" s="27" t="s">
        <v>27</v>
      </c>
      <c r="AF120" s="44">
        <f t="shared" si="7"/>
        <v>600.46699399314821</v>
      </c>
    </row>
    <row r="121" spans="1:32" ht="15" customHeight="1">
      <c r="A121" s="3">
        <v>114</v>
      </c>
      <c r="B121" s="8" t="s">
        <v>140</v>
      </c>
      <c r="C121" s="23" t="s">
        <v>151</v>
      </c>
      <c r="D121" s="44">
        <f t="shared" si="6"/>
        <v>3662.293172460053</v>
      </c>
      <c r="E121" s="41">
        <v>925.65716406249999</v>
      </c>
      <c r="F121" s="41">
        <v>240.41501945936679</v>
      </c>
      <c r="G121" s="41">
        <v>103.30510574191808</v>
      </c>
      <c r="H121" s="41">
        <v>226.28492721538245</v>
      </c>
      <c r="I121" s="41">
        <v>155.54265774142743</v>
      </c>
      <c r="J121" s="48">
        <v>163.98062460345432</v>
      </c>
      <c r="K121" s="13"/>
      <c r="L121" s="41">
        <v>351.97588191664221</v>
      </c>
      <c r="M121" s="41">
        <v>102.30236488544941</v>
      </c>
      <c r="N121" s="41">
        <v>408.49764279825428</v>
      </c>
      <c r="O121" s="41">
        <v>497.2493135790229</v>
      </c>
      <c r="P121" s="41">
        <v>221.93705482977629</v>
      </c>
      <c r="Q121" s="48">
        <v>265.14541562685838</v>
      </c>
      <c r="R121" s="13"/>
      <c r="S121" s="41">
        <v>21.822999954223633</v>
      </c>
      <c r="T121" s="41">
        <v>24.048000603914261</v>
      </c>
      <c r="U121" s="41">
        <v>22.479999840259552</v>
      </c>
      <c r="V121" s="41">
        <v>52.6049999371171</v>
      </c>
      <c r="W121" s="41">
        <v>147.77399873733521</v>
      </c>
      <c r="X121" s="41">
        <v>634.21502134203911</v>
      </c>
      <c r="Y121" s="27"/>
      <c r="Z121" s="41">
        <v>7.3560000658035278</v>
      </c>
      <c r="AA121" s="41">
        <v>7.4220000207424164</v>
      </c>
      <c r="AB121" s="41">
        <v>18.438000125344843</v>
      </c>
      <c r="AC121" s="41">
        <v>31.906000141985714</v>
      </c>
      <c r="AD121" s="41">
        <v>33.578000046312809</v>
      </c>
      <c r="AE121" s="41">
        <v>325.37599226087332</v>
      </c>
      <c r="AF121" s="44">
        <f t="shared" si="7"/>
        <v>1327.0210130759515</v>
      </c>
    </row>
    <row r="122" spans="1:32" ht="15" customHeight="1">
      <c r="A122" s="3">
        <v>115</v>
      </c>
      <c r="B122" s="8" t="s">
        <v>141</v>
      </c>
      <c r="C122" s="23" t="s">
        <v>150</v>
      </c>
      <c r="D122" s="44">
        <f t="shared" si="6"/>
        <v>375.51997626795321</v>
      </c>
      <c r="E122" s="27" t="s">
        <v>27</v>
      </c>
      <c r="F122" s="41">
        <v>150.24791813316941</v>
      </c>
      <c r="G122" s="41">
        <v>101.66578656722605</v>
      </c>
      <c r="H122" s="41">
        <v>55.976114058785143</v>
      </c>
      <c r="I122" s="41">
        <v>27.234074749678374</v>
      </c>
      <c r="J122" s="48">
        <v>40.396082759094242</v>
      </c>
      <c r="K122" s="13"/>
      <c r="L122" s="27" t="s">
        <v>27</v>
      </c>
      <c r="M122" s="27" t="s">
        <v>27</v>
      </c>
      <c r="N122" s="27" t="s">
        <v>27</v>
      </c>
      <c r="O122" s="27" t="s">
        <v>27</v>
      </c>
      <c r="P122" s="27" t="s">
        <v>27</v>
      </c>
      <c r="Q122" s="48" t="s">
        <v>27</v>
      </c>
      <c r="R122" s="13"/>
      <c r="S122" s="27" t="s">
        <v>27</v>
      </c>
      <c r="T122" s="41">
        <v>24.828999623656273</v>
      </c>
      <c r="U122" s="41">
        <v>20.427000150084496</v>
      </c>
      <c r="V122" s="41">
        <v>42.040999595075846</v>
      </c>
      <c r="W122" s="41">
        <v>71.042999356985092</v>
      </c>
      <c r="X122" s="41">
        <v>293.66900034993887</v>
      </c>
      <c r="Y122" s="27"/>
      <c r="Z122" s="27" t="s">
        <v>27</v>
      </c>
      <c r="AA122" s="27" t="s">
        <v>27</v>
      </c>
      <c r="AB122" s="27" t="s">
        <v>27</v>
      </c>
      <c r="AC122" s="27" t="s">
        <v>27</v>
      </c>
      <c r="AD122" s="27" t="s">
        <v>27</v>
      </c>
      <c r="AE122" s="27" t="s">
        <v>27</v>
      </c>
      <c r="AF122" s="44">
        <f t="shared" si="7"/>
        <v>452.00899907574058</v>
      </c>
    </row>
    <row r="123" spans="1:32" ht="15" customHeight="1">
      <c r="A123" s="3">
        <v>116</v>
      </c>
      <c r="B123" s="8" t="s">
        <v>142</v>
      </c>
      <c r="C123" s="23" t="s">
        <v>151</v>
      </c>
      <c r="D123" s="44">
        <f t="shared" si="6"/>
        <v>522.52515035010913</v>
      </c>
      <c r="E123" s="27" t="s">
        <v>27</v>
      </c>
      <c r="F123" s="27" t="s">
        <v>27</v>
      </c>
      <c r="G123" s="41">
        <v>168.00795980954169</v>
      </c>
      <c r="H123" s="41">
        <v>25.258514168828725</v>
      </c>
      <c r="I123" s="41">
        <v>93.007052712917329</v>
      </c>
      <c r="J123" s="48">
        <v>90.39415448195696</v>
      </c>
      <c r="K123" s="13"/>
      <c r="L123" s="27" t="s">
        <v>27</v>
      </c>
      <c r="M123" s="27" t="s">
        <v>27</v>
      </c>
      <c r="N123" s="41">
        <v>56.477138544082642</v>
      </c>
      <c r="O123" s="41">
        <v>65.045492316260933</v>
      </c>
      <c r="P123" s="41">
        <v>7.7735810452178118</v>
      </c>
      <c r="Q123" s="48">
        <v>16.561257271303052</v>
      </c>
      <c r="R123" s="13"/>
      <c r="S123" s="27" t="s">
        <v>27</v>
      </c>
      <c r="T123" s="27" t="s">
        <v>27</v>
      </c>
      <c r="U123" s="41">
        <v>20.210999548435211</v>
      </c>
      <c r="V123" s="41">
        <v>12.252000108361244</v>
      </c>
      <c r="W123" s="41">
        <v>135.92999976873398</v>
      </c>
      <c r="X123" s="41">
        <v>457.56600594520569</v>
      </c>
      <c r="Y123" s="27"/>
      <c r="Z123" s="27" t="s">
        <v>27</v>
      </c>
      <c r="AA123" s="27" t="s">
        <v>27</v>
      </c>
      <c r="AB123" s="41">
        <v>5.0240000486373901</v>
      </c>
      <c r="AC123" s="41">
        <v>6.076000027358532</v>
      </c>
      <c r="AD123" s="41">
        <v>4.213000014424324</v>
      </c>
      <c r="AE123" s="41">
        <v>45.104999732226133</v>
      </c>
      <c r="AF123" s="44">
        <f t="shared" si="7"/>
        <v>686.3770051933825</v>
      </c>
    </row>
    <row r="124" spans="1:32" ht="15" customHeight="1">
      <c r="A124" s="3">
        <v>117</v>
      </c>
      <c r="B124" s="8" t="s">
        <v>143</v>
      </c>
      <c r="C124" s="23" t="s">
        <v>150</v>
      </c>
      <c r="D124" s="44">
        <f t="shared" si="6"/>
        <v>503.34049431360836</v>
      </c>
      <c r="E124" s="27" t="s">
        <v>27</v>
      </c>
      <c r="F124" s="41">
        <v>130.30999857902526</v>
      </c>
      <c r="G124" s="41">
        <v>91.361738949567084</v>
      </c>
      <c r="H124" s="41">
        <v>156.72187116922066</v>
      </c>
      <c r="I124" s="41">
        <v>51.741204046368601</v>
      </c>
      <c r="J124" s="48">
        <v>73.205681569426787</v>
      </c>
      <c r="K124" s="13"/>
      <c r="L124" s="27" t="s">
        <v>27</v>
      </c>
      <c r="M124" s="27" t="s">
        <v>27</v>
      </c>
      <c r="N124" s="27" t="s">
        <v>27</v>
      </c>
      <c r="O124" s="27" t="s">
        <v>27</v>
      </c>
      <c r="P124" s="27" t="s">
        <v>27</v>
      </c>
      <c r="Q124" s="48" t="s">
        <v>27</v>
      </c>
      <c r="R124" s="13"/>
      <c r="S124" s="27" t="s">
        <v>27</v>
      </c>
      <c r="T124" s="41">
        <v>10.302000045776367</v>
      </c>
      <c r="U124" s="41">
        <v>27.700999721884727</v>
      </c>
      <c r="V124" s="41">
        <v>67.111999331042171</v>
      </c>
      <c r="W124" s="41">
        <v>92.576000601053238</v>
      </c>
      <c r="X124" s="41">
        <v>420.48901270329952</v>
      </c>
      <c r="Y124" s="27"/>
      <c r="Z124" s="27" t="s">
        <v>27</v>
      </c>
      <c r="AA124" s="27" t="s">
        <v>27</v>
      </c>
      <c r="AB124" s="27" t="s">
        <v>27</v>
      </c>
      <c r="AC124" s="27" t="s">
        <v>27</v>
      </c>
      <c r="AD124" s="27" t="s">
        <v>27</v>
      </c>
      <c r="AE124" s="27" t="s">
        <v>27</v>
      </c>
      <c r="AF124" s="44">
        <f t="shared" si="7"/>
        <v>618.18001240305603</v>
      </c>
    </row>
    <row r="125" spans="1:32" ht="15" customHeight="1">
      <c r="A125" s="3">
        <v>118</v>
      </c>
      <c r="B125" s="8" t="s">
        <v>144</v>
      </c>
      <c r="C125" s="23" t="s">
        <v>151</v>
      </c>
      <c r="D125" s="44">
        <f t="shared" si="6"/>
        <v>1451.0787188371919</v>
      </c>
      <c r="E125" s="41">
        <v>653.86518999719624</v>
      </c>
      <c r="F125" s="41">
        <v>1.1638200178742408</v>
      </c>
      <c r="G125" s="41">
        <v>58.893735673487186</v>
      </c>
      <c r="H125" s="41">
        <v>216.88681928682328</v>
      </c>
      <c r="I125" s="41">
        <v>62.761955933094022</v>
      </c>
      <c r="J125" s="48">
        <v>118.0815551613854</v>
      </c>
      <c r="K125" s="13"/>
      <c r="L125" s="41">
        <v>116.80136850357056</v>
      </c>
      <c r="M125" s="27" t="s">
        <v>27</v>
      </c>
      <c r="N125" s="41">
        <v>32.344204662531617</v>
      </c>
      <c r="O125" s="41">
        <v>131.44221644971148</v>
      </c>
      <c r="P125" s="41">
        <v>30.220539245743304</v>
      </c>
      <c r="Q125" s="48">
        <v>28.617313905774605</v>
      </c>
      <c r="R125" s="13"/>
      <c r="S125" s="41">
        <v>24.369999915361404</v>
      </c>
      <c r="T125" s="41">
        <v>0.16300000250339508</v>
      </c>
      <c r="U125" s="41">
        <v>16.026000052690506</v>
      </c>
      <c r="V125" s="41">
        <v>78.570999704301357</v>
      </c>
      <c r="W125" s="41">
        <v>82.649999558925629</v>
      </c>
      <c r="X125" s="41">
        <v>560.04298916459084</v>
      </c>
      <c r="Y125" s="27"/>
      <c r="Z125" s="41">
        <v>3.5729999542236328</v>
      </c>
      <c r="AA125" s="27" t="s">
        <v>27</v>
      </c>
      <c r="AB125" s="41">
        <v>2.9889999628067017</v>
      </c>
      <c r="AC125" s="41">
        <v>15.302000151947141</v>
      </c>
      <c r="AD125" s="41">
        <v>14.138000024482608</v>
      </c>
      <c r="AE125" s="41">
        <v>71.096001163125038</v>
      </c>
      <c r="AF125" s="44">
        <f t="shared" si="7"/>
        <v>868.92098965495825</v>
      </c>
    </row>
    <row r="126" spans="1:32" ht="15" customHeight="1">
      <c r="A126" s="3">
        <v>119</v>
      </c>
      <c r="B126" s="8" t="s">
        <v>145</v>
      </c>
      <c r="C126" s="23" t="s">
        <v>150</v>
      </c>
      <c r="D126" s="44">
        <f t="shared" si="6"/>
        <v>323.54399218102998</v>
      </c>
      <c r="E126" s="27" t="s">
        <v>27</v>
      </c>
      <c r="F126" s="41">
        <v>185.80243240439893</v>
      </c>
      <c r="G126" s="41">
        <v>15.000926679134368</v>
      </c>
      <c r="H126" s="41">
        <v>71.217794872149824</v>
      </c>
      <c r="I126" s="41">
        <v>20.060137069731951</v>
      </c>
      <c r="J126" s="48">
        <v>31.462701155614891</v>
      </c>
      <c r="K126" s="13"/>
      <c r="L126" s="27" t="s">
        <v>27</v>
      </c>
      <c r="M126" s="27" t="s">
        <v>27</v>
      </c>
      <c r="N126" s="27" t="s">
        <v>27</v>
      </c>
      <c r="O126" s="27" t="s">
        <v>27</v>
      </c>
      <c r="P126" s="27" t="s">
        <v>27</v>
      </c>
      <c r="Q126" s="48" t="s">
        <v>27</v>
      </c>
      <c r="R126" s="13"/>
      <c r="S126" s="27" t="s">
        <v>27</v>
      </c>
      <c r="T126" s="41">
        <v>32.431999891996384</v>
      </c>
      <c r="U126" s="41">
        <v>7.3539998531341553</v>
      </c>
      <c r="V126" s="41">
        <v>50.114999853074551</v>
      </c>
      <c r="W126" s="41">
        <v>53.245000161230564</v>
      </c>
      <c r="X126" s="41">
        <v>231.2190008815378</v>
      </c>
      <c r="Y126" s="27"/>
      <c r="Z126" s="27" t="s">
        <v>27</v>
      </c>
      <c r="AA126" s="27" t="s">
        <v>27</v>
      </c>
      <c r="AB126" s="27" t="s">
        <v>27</v>
      </c>
      <c r="AC126" s="27" t="s">
        <v>27</v>
      </c>
      <c r="AD126" s="27" t="s">
        <v>27</v>
      </c>
      <c r="AE126" s="27" t="s">
        <v>27</v>
      </c>
      <c r="AF126" s="44">
        <f t="shared" si="7"/>
        <v>374.36500064097345</v>
      </c>
    </row>
    <row r="127" spans="1:32" ht="15" customHeight="1">
      <c r="A127" s="3">
        <v>120</v>
      </c>
      <c r="B127" s="8" t="s">
        <v>146</v>
      </c>
      <c r="C127" s="23" t="s">
        <v>151</v>
      </c>
      <c r="D127" s="44">
        <f t="shared" si="6"/>
        <v>1069.3458977068494</v>
      </c>
      <c r="E127" s="41">
        <v>256.39105637168882</v>
      </c>
      <c r="F127" s="41">
        <v>386.44189779073002</v>
      </c>
      <c r="G127" s="41">
        <v>47.021780193075536</v>
      </c>
      <c r="H127" s="41">
        <v>112.87626436331868</v>
      </c>
      <c r="I127" s="41">
        <v>48.670315174445513</v>
      </c>
      <c r="J127" s="48">
        <v>34.048188060222529</v>
      </c>
      <c r="K127" s="13"/>
      <c r="L127" s="27" t="s">
        <v>27</v>
      </c>
      <c r="M127" s="27" t="s">
        <v>27</v>
      </c>
      <c r="N127" s="41">
        <v>55.47430070489645</v>
      </c>
      <c r="O127" s="41">
        <v>59.366532081632407</v>
      </c>
      <c r="P127" s="41">
        <v>33.715425964340568</v>
      </c>
      <c r="Q127" s="48">
        <v>35.340137002498885</v>
      </c>
      <c r="R127" s="13"/>
      <c r="S127" s="41">
        <v>7.6750001907348633</v>
      </c>
      <c r="T127" s="41">
        <v>19.718000158667564</v>
      </c>
      <c r="U127" s="41">
        <v>7.759000027552247</v>
      </c>
      <c r="V127" s="41">
        <v>36.362999998033047</v>
      </c>
      <c r="W127" s="41">
        <v>56.535000070929527</v>
      </c>
      <c r="X127" s="41">
        <v>149.30900011956692</v>
      </c>
      <c r="Y127" s="27"/>
      <c r="Z127" s="27" t="s">
        <v>27</v>
      </c>
      <c r="AA127" s="27" t="s">
        <v>27</v>
      </c>
      <c r="AB127" s="41">
        <v>2.5080000311136246</v>
      </c>
      <c r="AC127" s="41">
        <v>7.0269998515723273</v>
      </c>
      <c r="AD127" s="41">
        <v>7.0139999501407146</v>
      </c>
      <c r="AE127" s="41">
        <v>52.916000545024872</v>
      </c>
      <c r="AF127" s="44">
        <f t="shared" si="7"/>
        <v>346.8240009433357</v>
      </c>
    </row>
    <row r="128" spans="1:32" s="36" customFormat="1" ht="15.75">
      <c r="A128" s="28"/>
      <c r="B128" s="29"/>
      <c r="C128" s="30"/>
      <c r="D128" s="45"/>
      <c r="E128" s="31"/>
      <c r="F128" s="31"/>
      <c r="G128" s="31"/>
      <c r="H128" s="31"/>
      <c r="I128" s="31"/>
      <c r="J128" s="49"/>
      <c r="K128" s="32"/>
      <c r="L128" s="33"/>
      <c r="M128" s="33"/>
      <c r="N128" s="33"/>
      <c r="O128" s="33"/>
      <c r="P128" s="33"/>
      <c r="Q128" s="49"/>
      <c r="R128" s="32"/>
      <c r="S128" s="34"/>
      <c r="T128" s="34"/>
      <c r="U128" s="34"/>
      <c r="V128" s="34"/>
      <c r="W128" s="34"/>
      <c r="X128" s="35"/>
      <c r="Y128" s="35"/>
      <c r="Z128" s="34"/>
      <c r="AA128" s="34"/>
      <c r="AB128" s="34"/>
      <c r="AC128" s="34"/>
      <c r="AD128" s="34"/>
      <c r="AE128" s="35"/>
      <c r="AF128" s="45"/>
    </row>
    <row r="129" spans="1:32" ht="15.75">
      <c r="A129" s="3"/>
      <c r="B129" s="53" t="s">
        <v>147</v>
      </c>
      <c r="C129" s="54"/>
      <c r="D129" s="44">
        <f t="shared" ref="D129:J129" si="8">SUM(D8:D127)</f>
        <v>129823.22767099262</v>
      </c>
      <c r="E129" s="44">
        <f t="shared" si="8"/>
        <v>18080.305769035218</v>
      </c>
      <c r="F129" s="44">
        <f t="shared" si="8"/>
        <v>19113.300604218581</v>
      </c>
      <c r="G129" s="44">
        <f t="shared" si="8"/>
        <v>7904.5050344336159</v>
      </c>
      <c r="H129" s="44">
        <f t="shared" si="8"/>
        <v>13575.637245494476</v>
      </c>
      <c r="I129" s="44">
        <f t="shared" si="8"/>
        <v>6559.6640453428445</v>
      </c>
      <c r="J129" s="44">
        <f t="shared" si="8"/>
        <v>9398.0818120121494</v>
      </c>
      <c r="K129" s="55"/>
      <c r="L129" s="44">
        <f t="shared" ref="L129:Q129" si="9">SUM(L8:L127)</f>
        <v>16817.804338429647</v>
      </c>
      <c r="M129" s="44">
        <f t="shared" si="9"/>
        <v>2088.7002030618787</v>
      </c>
      <c r="N129" s="44">
        <f t="shared" si="9"/>
        <v>15389.188153184195</v>
      </c>
      <c r="O129" s="44">
        <f t="shared" si="9"/>
        <v>10165.394499243943</v>
      </c>
      <c r="P129" s="44">
        <f t="shared" si="9"/>
        <v>4570.831038686888</v>
      </c>
      <c r="Q129" s="44">
        <f t="shared" si="9"/>
        <v>6159.8149278491692</v>
      </c>
      <c r="R129" s="55"/>
      <c r="S129" s="44">
        <f t="shared" ref="S129:AF129" si="10">SUM(S8:S127)</f>
        <v>553.02600175142288</v>
      </c>
      <c r="T129" s="44">
        <f t="shared" si="10"/>
        <v>2334.9439972524997</v>
      </c>
      <c r="U129" s="44">
        <f t="shared" si="10"/>
        <v>1728.3500005565584</v>
      </c>
      <c r="V129" s="44">
        <f t="shared" si="10"/>
        <v>6160.3830088730901</v>
      </c>
      <c r="W129" s="44">
        <f t="shared" si="10"/>
        <v>8959.9890030709794</v>
      </c>
      <c r="X129" s="44">
        <f t="shared" si="10"/>
        <v>45964.463052420295</v>
      </c>
      <c r="Y129" s="44"/>
      <c r="Z129" s="44">
        <f t="shared" si="10"/>
        <v>209.36200030893087</v>
      </c>
      <c r="AA129" s="44">
        <f t="shared" si="10"/>
        <v>64.880000069737434</v>
      </c>
      <c r="AB129" s="44">
        <f t="shared" si="10"/>
        <v>782.87199996039271</v>
      </c>
      <c r="AC129" s="44">
        <f t="shared" si="10"/>
        <v>1018.5960001240019</v>
      </c>
      <c r="AD129" s="44">
        <f t="shared" si="10"/>
        <v>956.02099988423288</v>
      </c>
      <c r="AE129" s="44">
        <f t="shared" si="10"/>
        <v>9287.8388849757612</v>
      </c>
      <c r="AF129" s="44">
        <f t="shared" si="10"/>
        <v>78020.724949247902</v>
      </c>
    </row>
    <row r="130" spans="1:32" ht="15.75">
      <c r="A130" s="3"/>
      <c r="B130" s="56" t="s">
        <v>160</v>
      </c>
      <c r="C130" s="54"/>
      <c r="D130" s="44"/>
      <c r="E130" s="57">
        <f>E129/$D$129</f>
        <v>0.13926865086774481</v>
      </c>
      <c r="F130" s="57">
        <f t="shared" ref="F130:Q130" si="11">F129/$D$129</f>
        <v>0.14722558472091668</v>
      </c>
      <c r="G130" s="57">
        <f t="shared" si="11"/>
        <v>6.0886677802109358E-2</v>
      </c>
      <c r="H130" s="57">
        <f t="shared" si="11"/>
        <v>0.10457017198724125</v>
      </c>
      <c r="I130" s="57">
        <f t="shared" si="11"/>
        <v>5.0527661058981044E-2</v>
      </c>
      <c r="J130" s="57">
        <f t="shared" si="11"/>
        <v>7.2391373875170056E-2</v>
      </c>
      <c r="K130" s="57"/>
      <c r="L130" s="57">
        <f t="shared" si="11"/>
        <v>0.12954387778010371</v>
      </c>
      <c r="M130" s="57">
        <f t="shared" si="11"/>
        <v>1.6088801985074761E-2</v>
      </c>
      <c r="N130" s="57">
        <f t="shared" si="11"/>
        <v>0.11853955897772459</v>
      </c>
      <c r="O130" s="57">
        <f t="shared" si="11"/>
        <v>7.8301816104940927E-2</v>
      </c>
      <c r="P130" s="57">
        <f t="shared" si="11"/>
        <v>3.52081143003979E-2</v>
      </c>
      <c r="Q130" s="57">
        <f t="shared" si="11"/>
        <v>4.7447710539594776E-2</v>
      </c>
      <c r="R130" s="58"/>
      <c r="S130" s="57">
        <f>S129/$AF$129</f>
        <v>7.0881935807590047E-3</v>
      </c>
      <c r="T130" s="57">
        <f t="shared" ref="T130:AE130" si="12">T129/$AF$129</f>
        <v>2.9927227653567295E-2</v>
      </c>
      <c r="U130" s="57">
        <f t="shared" si="12"/>
        <v>2.2152447336023107E-2</v>
      </c>
      <c r="V130" s="57">
        <f t="shared" si="12"/>
        <v>7.8958289773395321E-2</v>
      </c>
      <c r="W130" s="57">
        <f t="shared" si="12"/>
        <v>0.11484114008040054</v>
      </c>
      <c r="X130" s="57">
        <f t="shared" si="12"/>
        <v>0.58913145298662573</v>
      </c>
      <c r="Y130" s="57"/>
      <c r="Z130" s="57">
        <f t="shared" si="12"/>
        <v>2.6834152136514986E-3</v>
      </c>
      <c r="AA130" s="57">
        <f t="shared" si="12"/>
        <v>8.3157391977505403E-4</v>
      </c>
      <c r="AB130" s="57">
        <f t="shared" si="12"/>
        <v>1.0034154392562323E-2</v>
      </c>
      <c r="AC130" s="57">
        <f t="shared" si="12"/>
        <v>1.3055454185879374E-2</v>
      </c>
      <c r="AD130" s="57">
        <f t="shared" si="12"/>
        <v>1.2253423696154064E-2</v>
      </c>
      <c r="AE130" s="57">
        <f t="shared" si="12"/>
        <v>0.11904322718120672</v>
      </c>
      <c r="AF130" s="57"/>
    </row>
  </sheetData>
  <mergeCells count="4">
    <mergeCell ref="Z5:AE5"/>
    <mergeCell ref="E5:J5"/>
    <mergeCell ref="L5:Q5"/>
    <mergeCell ref="S5:X5"/>
  </mergeCells>
  <phoneticPr fontId="18" type="noConversion"/>
  <pageMargins left="0.5" right="0.5" top="0.6" bottom="0.25" header="0.22" footer="0"/>
  <pageSetup paperSize="5" pageOrder="overThenDown" orientation="landscape" r:id="rId1"/>
  <headerFooter alignWithMargins="0">
    <oddHeader>Page &amp;P&amp;R&amp;F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A9477B1EAFA4D83B3DB2E29B543D3" ma:contentTypeVersion="4" ma:contentTypeDescription="Create a new document." ma:contentTypeScope="" ma:versionID="ab5dcfd92a9f80f8434de1f369a703c8">
  <xsd:schema xmlns:xsd="http://www.w3.org/2001/XMLSchema" xmlns:xs="http://www.w3.org/2001/XMLSchema" xmlns:p="http://schemas.microsoft.com/office/2006/metadata/properties" xmlns:ns1="http://schemas.microsoft.com/sharepoint/v3" xmlns:ns3="9c16dc54-5a24-4afd-a61c-664ec7eab416" targetNamespace="http://schemas.microsoft.com/office/2006/metadata/properties" ma:root="true" ma:fieldsID="9bec7aaf70063ea9faaaf00d9715fdd2" ns1:_="" ns3:_="">
    <xsd:import namespace="http://schemas.microsoft.com/sharepoint/v3"/>
    <xsd:import namespace="9c16dc54-5a24-4afd-a61c-664ec7eab41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6dc54-5a24-4afd-a61c-664ec7eab41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 ma:index="6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93E5610-1351-49DF-9E1C-38B167A0C482}"/>
</file>

<file path=customXml/itemProps2.xml><?xml version="1.0" encoding="utf-8"?>
<ds:datastoreItem xmlns:ds="http://schemas.openxmlformats.org/officeDocument/2006/customXml" ds:itemID="{E35164E4-D302-4389-ACF9-7409CC1F195C}"/>
</file>

<file path=customXml/itemProps3.xml><?xml version="1.0" encoding="utf-8"?>
<ds:datastoreItem xmlns:ds="http://schemas.openxmlformats.org/officeDocument/2006/customXml" ds:itemID="{42D3EE40-F388-4F04-A250-5A1B207BC6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Curr</vt:lpstr>
      <vt:lpstr>Curr!Print_Titles</vt:lpstr>
    </vt:vector>
  </TitlesOfParts>
  <Company>Commonwealth of Kentucky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;#DVMT;#</dc:subject>
  <dc:creator>Enter your name here</dc:creator>
  <cp:lastModifiedBy>Sanford, Gretchen (KYTC)</cp:lastModifiedBy>
  <cp:lastPrinted>2006-06-09T23:40:39Z</cp:lastPrinted>
  <dcterms:created xsi:type="dcterms:W3CDTF">2000-09-06T17:52:56Z</dcterms:created>
  <dcterms:modified xsi:type="dcterms:W3CDTF">2013-08-20T20:15:05Z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0x0101007A5A9477B1EAFA4D83B3DB2E29B543D3</vt:lpwstr>
  </property>
</Properties>
</file>