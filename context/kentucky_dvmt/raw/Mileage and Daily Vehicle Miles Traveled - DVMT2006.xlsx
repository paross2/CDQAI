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65" yWindow="210" windowWidth="16155" windowHeight="9615"/>
  </bookViews>
  <sheets>
    <sheet name="Curr" sheetId="6" r:id="rId1"/>
  </sheets>
  <definedNames>
    <definedName name="_xlnm._FilterDatabase" localSheetId="0" hidden="1">Curr!$A$1:$AF$141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J129" i="6"/>
  <c r="T129"/>
  <c r="U129"/>
  <c r="V129"/>
  <c r="W129"/>
  <c r="X129"/>
  <c r="S129"/>
  <c r="Z129"/>
  <c r="AA129"/>
  <c r="AB129"/>
  <c r="AC129"/>
  <c r="AD129"/>
  <c r="AE129"/>
  <c r="F129"/>
  <c r="G129"/>
  <c r="H129"/>
  <c r="I129"/>
  <c r="E129"/>
  <c r="L129"/>
  <c r="M129"/>
  <c r="N129"/>
  <c r="O129"/>
  <c r="P129"/>
  <c r="Q129"/>
  <c r="AF8"/>
  <c r="AF9"/>
  <c r="AF10"/>
  <c r="AF129" s="1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D8"/>
  <c r="D9"/>
  <c r="D10"/>
  <c r="D11"/>
  <c r="D129" s="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I130" l="1"/>
  <c r="AA130"/>
  <c r="G130"/>
  <c r="Q130"/>
  <c r="P130"/>
  <c r="M130"/>
  <c r="F130"/>
  <c r="O130"/>
  <c r="N130"/>
  <c r="L130"/>
  <c r="H130"/>
  <c r="E130"/>
  <c r="S130"/>
  <c r="U130"/>
  <c r="AD130"/>
  <c r="Z130"/>
  <c r="W130"/>
  <c r="X130"/>
  <c r="V130"/>
  <c r="T130"/>
  <c r="AB130"/>
  <c r="AE130"/>
  <c r="AC130"/>
</calcChain>
</file>

<file path=xl/sharedStrings.xml><?xml version="1.0" encoding="utf-8"?>
<sst xmlns="http://schemas.openxmlformats.org/spreadsheetml/2006/main" count="372" uniqueCount="162">
  <si>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</si>
  <si>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</si>
  <si>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</si>
  <si>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</si>
  <si>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</si>
  <si>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</si>
  <si>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</si>
  <si>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</si>
  <si>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</si>
  <si>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</si>
  <si>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</si>
  <si>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</si>
  <si>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</si>
  <si>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</si>
  <si>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</si>
  <si>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</si>
  <si>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</si>
  <si>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</si>
  <si>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</si>
  <si>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</si>
  <si>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</si>
  <si>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</si>
  <si>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</si>
  <si>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</si>
  <si>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</si>
  <si>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</si>
  <si>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</si>
  <si>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</si>
  <si>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</si>
  <si>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</si>
  <si>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</si>
  <si>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</si>
  <si>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</si>
  <si>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</si>
  <si>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</si>
  <si>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</si>
  <si>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</si>
  <si>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</si>
  <si>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</si>
  <si>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</si>
  <si>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</si>
  <si>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</si>
  <si>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</si>
  <si>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</si>
  <si>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</si>
  <si>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</si>
  <si>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</si>
  <si>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</si>
  <si>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</si>
  <si>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</si>
  <si>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</si>
  <si>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</si>
  <si>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</si>
  <si>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</si>
  <si>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</si>
  <si>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</si>
  <si>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</si>
  <si>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</si>
  <si>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</si>
  <si>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</si>
  <si>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</si>
  <si>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</si>
  <si>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</si>
  <si>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</si>
  <si>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</si>
  <si>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</si>
  <si>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</si>
  <si>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</si>
  <si>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</si>
  <si>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</si>
  <si>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</si>
  <si>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</si>
  <si>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</si>
  <si>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</si>
  <si>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</si>
  <si>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</si>
  <si>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</si>
  <si>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</si>
  <si>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</si>
  <si>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</si>
  <si>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</si>
  <si>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</si>
  <si>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</si>
  <si>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</si>
  <si>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</si>
  <si>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</si>
  <si>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</si>
  <si>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</si>
  <si>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</si>
  <si>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</si>
  <si>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</si>
  <si>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</si>
  <si>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</si>
  <si>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</si>
  <si>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</si>
  <si>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</si>
  <si>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</si>
  <si>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</si>
  <si>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</si>
  <si>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</si>
  <si>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</si>
  <si>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</si>
  <si>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</si>
  <si>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</si>
  <si>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</si>
  <si>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</si>
  <si>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</si>
  <si>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</si>
  <si>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</si>
  <si>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</si>
  <si>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</si>
  <si>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</si>
  <si>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</si>
  <si>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</si>
  <si>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</si>
  <si>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</si>
  <si>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</si>
  <si>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</si>
  <si>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</si>
  <si>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</si>
  <si>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</si>
  <si>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</si>
  <si>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</si>
  <si>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</si>
  <si>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</si>
  <si>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</si>
  <si>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</si>
  <si>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</si>
  <si>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</si>
  <si>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</si>
  <si>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</si>
  <si>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</si>
  <si>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</si>
  <si>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</si>
  <si>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</si>
  <si>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</si>
  <si>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</si>
  <si>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</si>
  <si>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</si>
  <si>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</si>
  <si>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</si>
  <si>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</si>
  <si>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</si>
  <si>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</si>
  <si>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</si>
  <si>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</si>
  <si>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</si>
  <si>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</si>
  <si>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</si>
  <si>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</si>
  <si>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</si>
  <si>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</si>
  <si>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</si>
  <si>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</si>
  <si>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</si>
  <si>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</si>
  <si>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</si>
  <si>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</si>
  <si>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</si>
  <si>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</si>
  <si>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2006 DVMT (in thousands) and Mileage by County and Functional Class</t>
  </si>
  <si>
    <t/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</si>
</sst>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20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3" fillId="0" borderId="0" xfId="0" applyNumberFormat="1" applyFont="1"/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4" applyNumberFormat="1" applyFont="1" applyFill="1" applyBorder="1" applyAlignment="1">
      <alignment horizontal="right" wrapText="1"/>
    </xf>
    <xf numFmtId="3" fontId="4" fillId="0" borderId="0" xfId="4" applyNumberFormat="1" applyFont="1" applyFill="1" applyBorder="1" applyAlignment="1">
      <alignment horizontal="right" wrapText="1"/>
    </xf>
    <xf numFmtId="0" fontId="0" fillId="0" borderId="0" xfId="0" applyBorder="1"/>
    <xf numFmtId="0" fontId="16" fillId="0" borderId="0" xfId="0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0" fontId="3" fillId="2" borderId="0" xfId="0" applyFont="1" applyFill="1" applyAlignment="1">
      <alignment horizontal="right"/>
    </xf>
    <xf numFmtId="3" fontId="3" fillId="2" borderId="0" xfId="0" applyNumberFormat="1" applyFont="1" applyFill="1"/>
    <xf numFmtId="3" fontId="3" fillId="2" borderId="0" xfId="0" applyNumberFormat="1" applyFont="1" applyFill="1" applyBorder="1"/>
    <xf numFmtId="3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/>
    <xf numFmtId="3" fontId="0" fillId="2" borderId="0" xfId="0" applyNumberFormat="1" applyFill="1" applyBorder="1"/>
    <xf numFmtId="1" fontId="3" fillId="2" borderId="0" xfId="0" quotePrefix="1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14" fillId="2" borderId="0" xfId="0" applyNumberFormat="1" applyFont="1" applyFill="1"/>
    <xf numFmtId="0" fontId="3" fillId="2" borderId="0" xfId="0" applyFont="1" applyFill="1"/>
    <xf numFmtId="0" fontId="10" fillId="2" borderId="0" xfId="0" applyFont="1" applyFill="1"/>
    <xf numFmtId="3" fontId="15" fillId="2" borderId="0" xfId="0" applyNumberFormat="1" applyFont="1" applyFill="1"/>
    <xf numFmtId="0" fontId="7" fillId="2" borderId="0" xfId="0" applyFont="1" applyFill="1" applyAlignment="1">
      <alignment horizontal="right"/>
    </xf>
    <xf numFmtId="165" fontId="7" fillId="2" borderId="0" xfId="0" applyNumberFormat="1" applyFont="1" applyFill="1"/>
    <xf numFmtId="3" fontId="7" fillId="2" borderId="0" xfId="0" applyNumberFormat="1" applyFont="1" applyFill="1"/>
    <xf numFmtId="3" fontId="17" fillId="2" borderId="0" xfId="0" applyNumberFormat="1" applyFont="1" applyFill="1"/>
    <xf numFmtId="0" fontId="18" fillId="3" borderId="2" xfId="3" applyFont="1" applyFill="1" applyBorder="1" applyAlignment="1">
      <alignment horizontal="center"/>
    </xf>
    <xf numFmtId="0" fontId="4" fillId="0" borderId="0" xfId="3"/>
    <xf numFmtId="2" fontId="18" fillId="0" borderId="1" xfId="3" applyNumberFormat="1" applyFont="1" applyFill="1" applyBorder="1" applyAlignment="1">
      <alignment horizontal="right" wrapText="1"/>
    </xf>
    <xf numFmtId="3" fontId="2" fillId="0" borderId="0" xfId="0" applyNumberFormat="1" applyFont="1" applyAlignment="1">
      <alignment horizontal="center"/>
    </xf>
  </cellXfs>
  <cellStyles count="5">
    <cellStyle name="Normal" xfId="0" builtinId="0"/>
    <cellStyle name="Normal_2000_1" xfId="1"/>
    <cellStyle name="Normal_Curr" xfId="2"/>
    <cellStyle name="Normal_Curr_1" xfId="3"/>
    <cellStyle name="Normal_VM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4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J129" sqref="J129"/>
    </sheetView>
  </sheetViews>
  <sheetFormatPr defaultRowHeight="15"/>
  <cols>
    <col min="1" max="1" width="5.140625" customWidth="1"/>
    <col min="2" max="2" width="18.28515625" customWidth="1"/>
    <col min="3" max="3" width="5.7109375" style="24" customWidth="1"/>
    <col min="4" max="4" width="11.5703125" style="16" customWidth="1"/>
    <col min="5" max="10" width="9.7109375" style="9" customWidth="1"/>
    <col min="11" max="11" width="5.7109375" style="11" customWidth="1"/>
    <col min="12" max="17" width="9.7109375" style="9" customWidth="1"/>
    <col min="18" max="18" width="5.7109375" style="14" customWidth="1"/>
    <col min="19" max="24" width="9.7109375" style="2" customWidth="1"/>
    <col min="25" max="25" width="4.140625" style="2" customWidth="1"/>
    <col min="26" max="31" width="9.7109375" style="2" customWidth="1"/>
    <col min="32" max="32" width="13.7109375" style="10" customWidth="1"/>
  </cols>
  <sheetData>
    <row r="1" spans="1:32" ht="15.75">
      <c r="A1" s="25"/>
      <c r="B1" s="37"/>
      <c r="C1" s="17"/>
      <c r="D1" s="15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160</v>
      </c>
      <c r="B2" s="3"/>
      <c r="C2" s="18"/>
      <c r="D2" s="15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147</v>
      </c>
      <c r="B3" s="3"/>
      <c r="C3" s="18"/>
      <c r="D3" s="15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39">
        <v>39259</v>
      </c>
      <c r="C4" s="19"/>
      <c r="D4" s="15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0" t="s">
        <v>152</v>
      </c>
      <c r="D5" s="47">
        <v>2006</v>
      </c>
      <c r="E5" s="60" t="s">
        <v>0</v>
      </c>
      <c r="F5" s="60"/>
      <c r="G5" s="60"/>
      <c r="H5" s="60"/>
      <c r="I5" s="60"/>
      <c r="J5" s="60"/>
      <c r="K5" s="12"/>
      <c r="L5" s="60" t="s">
        <v>1</v>
      </c>
      <c r="M5" s="60"/>
      <c r="N5" s="60"/>
      <c r="O5" s="60"/>
      <c r="P5" s="60"/>
      <c r="Q5" s="60"/>
      <c r="R5" s="12"/>
      <c r="S5" s="60" t="s">
        <v>2</v>
      </c>
      <c r="T5" s="60"/>
      <c r="U5" s="60"/>
      <c r="V5" s="60"/>
      <c r="W5" s="60"/>
      <c r="X5" s="60"/>
      <c r="Y5" s="26"/>
      <c r="Z5" s="60" t="s">
        <v>3</v>
      </c>
      <c r="AA5" s="60"/>
      <c r="AB5" s="60"/>
      <c r="AC5" s="60"/>
      <c r="AD5" s="60"/>
      <c r="AE5" s="60"/>
      <c r="AF5" s="1"/>
    </row>
    <row r="6" spans="1:32" s="7" customFormat="1" ht="15.75">
      <c r="A6" s="4"/>
      <c r="B6" s="5" t="s">
        <v>4</v>
      </c>
      <c r="C6" s="21" t="s">
        <v>153</v>
      </c>
      <c r="D6" s="40" t="s">
        <v>156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43" t="s">
        <v>10</v>
      </c>
      <c r="K6" s="12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43" t="s">
        <v>10</v>
      </c>
      <c r="R6" s="12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40" t="s">
        <v>13</v>
      </c>
    </row>
    <row r="7" spans="1:32" ht="15" customHeight="1">
      <c r="A7" s="3"/>
      <c r="B7" s="8"/>
      <c r="C7" s="22"/>
      <c r="D7" s="48" t="s">
        <v>154</v>
      </c>
      <c r="E7" s="57" t="s">
        <v>14</v>
      </c>
      <c r="F7" s="57" t="s">
        <v>15</v>
      </c>
      <c r="G7" s="57" t="s">
        <v>16</v>
      </c>
      <c r="H7" s="57" t="s">
        <v>17</v>
      </c>
      <c r="I7" s="57" t="s">
        <v>18</v>
      </c>
      <c r="J7" s="44" t="s">
        <v>148</v>
      </c>
      <c r="K7" s="12"/>
      <c r="L7" s="57" t="s">
        <v>19</v>
      </c>
      <c r="M7" s="57" t="s">
        <v>20</v>
      </c>
      <c r="N7" s="57" t="s">
        <v>21</v>
      </c>
      <c r="O7" s="57" t="s">
        <v>22</v>
      </c>
      <c r="P7" s="57" t="s">
        <v>23</v>
      </c>
      <c r="Q7" s="44" t="s">
        <v>25</v>
      </c>
      <c r="R7" s="12"/>
      <c r="S7" s="57">
        <v>1</v>
      </c>
      <c r="T7" s="57" t="s">
        <v>15</v>
      </c>
      <c r="U7" s="57" t="s">
        <v>16</v>
      </c>
      <c r="V7" s="57" t="s">
        <v>17</v>
      </c>
      <c r="W7" s="57" t="s">
        <v>18</v>
      </c>
      <c r="X7" s="57" t="s">
        <v>24</v>
      </c>
      <c r="Y7" s="38"/>
      <c r="Z7" s="57" t="s">
        <v>19</v>
      </c>
      <c r="AA7" s="57" t="s">
        <v>20</v>
      </c>
      <c r="AB7" s="57" t="s">
        <v>21</v>
      </c>
      <c r="AC7" s="57" t="s">
        <v>22</v>
      </c>
      <c r="AD7" s="57" t="s">
        <v>23</v>
      </c>
      <c r="AE7" s="57" t="s">
        <v>25</v>
      </c>
      <c r="AF7" s="40" t="s">
        <v>155</v>
      </c>
    </row>
    <row r="8" spans="1:32" ht="15" customHeight="1">
      <c r="A8" s="3">
        <v>1</v>
      </c>
      <c r="B8" s="8" t="s">
        <v>26</v>
      </c>
      <c r="C8" s="23" t="s">
        <v>149</v>
      </c>
      <c r="D8" s="41">
        <f t="shared" ref="D8:D39" si="0">SUM(E8:J8)+SUM(L8:Q8)</f>
        <v>588.1238835838368</v>
      </c>
      <c r="E8" s="58"/>
      <c r="F8" s="59">
        <v>203.04122306242584</v>
      </c>
      <c r="G8" s="59">
        <v>24.924160417318344</v>
      </c>
      <c r="H8" s="59">
        <v>156.43191437081992</v>
      </c>
      <c r="I8" s="59">
        <v>77.210772050261497</v>
      </c>
      <c r="J8" s="45">
        <v>126.51581368301119</v>
      </c>
      <c r="K8" s="13"/>
      <c r="L8" s="58"/>
      <c r="M8" s="58"/>
      <c r="N8" s="58"/>
      <c r="O8" s="58"/>
      <c r="P8" s="58"/>
      <c r="Q8" s="45" t="s">
        <v>161</v>
      </c>
      <c r="R8" s="13"/>
      <c r="S8" s="58"/>
      <c r="T8" s="59">
        <v>30.57199988514185</v>
      </c>
      <c r="U8" s="59">
        <v>9.0400001406669617</v>
      </c>
      <c r="V8" s="59">
        <v>73.522000163793564</v>
      </c>
      <c r="W8" s="59">
        <v>114.40300089120865</v>
      </c>
      <c r="X8" s="59">
        <v>645.92498037219048</v>
      </c>
      <c r="Y8" s="27"/>
      <c r="Z8" s="58"/>
      <c r="AA8" s="58"/>
      <c r="AB8" s="58"/>
      <c r="AC8" s="58"/>
      <c r="AD8" s="58"/>
      <c r="AE8" s="58"/>
      <c r="AF8" s="41">
        <f t="shared" ref="AF8:AF39" si="1">SUM(S8:AE8)</f>
        <v>873.4619814530015</v>
      </c>
    </row>
    <row r="9" spans="1:32" ht="15" customHeight="1">
      <c r="A9" s="3">
        <v>2</v>
      </c>
      <c r="B9" s="8" t="s">
        <v>27</v>
      </c>
      <c r="C9" s="23" t="s">
        <v>149</v>
      </c>
      <c r="D9" s="41">
        <f t="shared" si="0"/>
        <v>420.19898318621438</v>
      </c>
      <c r="E9" s="58"/>
      <c r="F9" s="59">
        <v>78.821948069334027</v>
      </c>
      <c r="G9" s="59">
        <v>51.255575723707679</v>
      </c>
      <c r="H9" s="59">
        <v>119.01952885216474</v>
      </c>
      <c r="I9" s="59">
        <v>63.535102665424347</v>
      </c>
      <c r="J9" s="45">
        <v>107.56682787558361</v>
      </c>
      <c r="K9" s="13"/>
      <c r="L9" s="58"/>
      <c r="M9" s="58"/>
      <c r="N9" s="58"/>
      <c r="O9" s="58"/>
      <c r="P9" s="58"/>
      <c r="Q9" s="45" t="s">
        <v>161</v>
      </c>
      <c r="R9" s="13"/>
      <c r="S9" s="58"/>
      <c r="T9" s="59">
        <v>17.179000407457352</v>
      </c>
      <c r="U9" s="59">
        <v>10.578999936580658</v>
      </c>
      <c r="V9" s="59">
        <v>53.60600009560585</v>
      </c>
      <c r="W9" s="59">
        <v>88.253999248147011</v>
      </c>
      <c r="X9" s="59">
        <v>527.4690085798502</v>
      </c>
      <c r="Y9" s="27"/>
      <c r="Z9" s="58"/>
      <c r="AA9" s="58"/>
      <c r="AB9" s="58"/>
      <c r="AC9" s="58"/>
      <c r="AD9" s="58"/>
      <c r="AE9" s="58"/>
      <c r="AF9" s="41">
        <f t="shared" si="1"/>
        <v>697.08700826764107</v>
      </c>
    </row>
    <row r="10" spans="1:32" ht="15" customHeight="1">
      <c r="A10" s="3">
        <v>3</v>
      </c>
      <c r="B10" s="8" t="s">
        <v>28</v>
      </c>
      <c r="C10" s="23" t="s">
        <v>150</v>
      </c>
      <c r="D10" s="41">
        <f t="shared" si="0"/>
        <v>650.07177892302934</v>
      </c>
      <c r="E10" s="58"/>
      <c r="F10" s="59">
        <v>302.26309286028146</v>
      </c>
      <c r="G10" s="59">
        <v>26.144882703781128</v>
      </c>
      <c r="H10" s="59">
        <v>58.005591620147229</v>
      </c>
      <c r="I10" s="59">
        <v>25.134377894252538</v>
      </c>
      <c r="J10" s="45">
        <v>47.54949608807253</v>
      </c>
      <c r="K10" s="13"/>
      <c r="L10" s="58"/>
      <c r="M10" s="58"/>
      <c r="N10" s="59">
        <v>68.655623523950581</v>
      </c>
      <c r="O10" s="58"/>
      <c r="P10" s="59">
        <v>71.012391990467904</v>
      </c>
      <c r="Q10" s="45">
        <v>51.306322242075929</v>
      </c>
      <c r="R10" s="13"/>
      <c r="S10" s="58"/>
      <c r="T10" s="59">
        <v>21.006000034511089</v>
      </c>
      <c r="U10" s="59">
        <v>4.5870001316070557</v>
      </c>
      <c r="V10" s="59">
        <v>37.531999915838242</v>
      </c>
      <c r="W10" s="59">
        <v>35.126999765634537</v>
      </c>
      <c r="X10" s="59">
        <v>234.05700113717467</v>
      </c>
      <c r="Y10" s="27"/>
      <c r="Z10" s="58"/>
      <c r="AA10" s="58"/>
      <c r="AB10" s="59">
        <v>3.5759999752044678</v>
      </c>
      <c r="AC10" s="58"/>
      <c r="AD10" s="59">
        <v>8.8789998516440392</v>
      </c>
      <c r="AE10" s="59">
        <v>55.891001164913177</v>
      </c>
      <c r="AF10" s="41">
        <f t="shared" si="1"/>
        <v>400.65500197652727</v>
      </c>
    </row>
    <row r="11" spans="1:32" ht="15" customHeight="1">
      <c r="A11" s="3">
        <v>4</v>
      </c>
      <c r="B11" s="8" t="s">
        <v>29</v>
      </c>
      <c r="C11" s="23" t="s">
        <v>149</v>
      </c>
      <c r="D11" s="41">
        <f t="shared" si="0"/>
        <v>265.66915704712233</v>
      </c>
      <c r="E11" s="58"/>
      <c r="F11" s="59">
        <v>136.79037885314227</v>
      </c>
      <c r="G11" s="59">
        <v>15.382969842731953</v>
      </c>
      <c r="H11" s="59">
        <v>52.058927847038952</v>
      </c>
      <c r="I11" s="59">
        <v>23.3765920047611</v>
      </c>
      <c r="J11" s="45">
        <v>38.060288499448092</v>
      </c>
      <c r="K11" s="13"/>
      <c r="L11" s="58"/>
      <c r="M11" s="58"/>
      <c r="N11" s="58"/>
      <c r="O11" s="58"/>
      <c r="P11" s="58"/>
      <c r="Q11" s="45" t="s">
        <v>161</v>
      </c>
      <c r="R11" s="13"/>
      <c r="S11" s="58"/>
      <c r="T11" s="59">
        <v>25.233999863266945</v>
      </c>
      <c r="U11" s="59">
        <v>8.6889998875558376</v>
      </c>
      <c r="V11" s="59">
        <v>25.191999984905124</v>
      </c>
      <c r="W11" s="59">
        <v>65.533000405877829</v>
      </c>
      <c r="X11" s="59">
        <v>289.42000284790993</v>
      </c>
      <c r="Y11" s="27"/>
      <c r="Z11" s="58"/>
      <c r="AA11" s="58"/>
      <c r="AB11" s="58"/>
      <c r="AC11" s="58"/>
      <c r="AD11" s="58"/>
      <c r="AE11" s="58"/>
      <c r="AF11" s="41">
        <f t="shared" si="1"/>
        <v>414.06800298951566</v>
      </c>
    </row>
    <row r="12" spans="1:32" ht="15" customHeight="1">
      <c r="A12" s="3">
        <v>5</v>
      </c>
      <c r="B12" s="8" t="s">
        <v>30</v>
      </c>
      <c r="C12" s="23" t="s">
        <v>150</v>
      </c>
      <c r="D12" s="41">
        <f t="shared" si="0"/>
        <v>1508.0188367820431</v>
      </c>
      <c r="E12" s="59">
        <v>293.43802966952325</v>
      </c>
      <c r="F12" s="59">
        <v>136.54399909973145</v>
      </c>
      <c r="G12" s="59">
        <v>222.17558645749091</v>
      </c>
      <c r="H12" s="59">
        <v>209.68559230538457</v>
      </c>
      <c r="I12" s="59">
        <v>111.41667510029673</v>
      </c>
      <c r="J12" s="45">
        <v>156.10648518551875</v>
      </c>
      <c r="K12" s="13"/>
      <c r="L12" s="58"/>
      <c r="M12" s="59">
        <v>39.812851138651368</v>
      </c>
      <c r="N12" s="59">
        <v>139.83583960704505</v>
      </c>
      <c r="O12" s="59">
        <v>71.264489922918386</v>
      </c>
      <c r="P12" s="59">
        <v>66.727041376654057</v>
      </c>
      <c r="Q12" s="45">
        <v>61.012246918828453</v>
      </c>
      <c r="R12" s="13"/>
      <c r="S12" s="59">
        <v>8.4379999041557312</v>
      </c>
      <c r="T12" s="59">
        <v>17.928999900817871</v>
      </c>
      <c r="U12" s="59">
        <v>30.101000394672155</v>
      </c>
      <c r="V12" s="59">
        <v>81.26100018620491</v>
      </c>
      <c r="W12" s="59">
        <v>127.37300030887127</v>
      </c>
      <c r="X12" s="59">
        <v>677.77497434616089</v>
      </c>
      <c r="Y12" s="27"/>
      <c r="Z12" s="58"/>
      <c r="AA12" s="59">
        <v>4.4280001223087311</v>
      </c>
      <c r="AB12" s="59">
        <v>8.080000028014183</v>
      </c>
      <c r="AC12" s="59">
        <v>10.524999795481563</v>
      </c>
      <c r="AD12" s="59">
        <v>14.760999886319041</v>
      </c>
      <c r="AE12" s="59">
        <v>94.929997086524963</v>
      </c>
      <c r="AF12" s="41">
        <f t="shared" si="1"/>
        <v>1075.6009719595313</v>
      </c>
    </row>
    <row r="13" spans="1:32" ht="15" customHeight="1">
      <c r="A13" s="3">
        <v>6</v>
      </c>
      <c r="B13" s="8" t="s">
        <v>31</v>
      </c>
      <c r="C13" s="23" t="s">
        <v>149</v>
      </c>
      <c r="D13" s="41">
        <f t="shared" si="0"/>
        <v>491.79865443748912</v>
      </c>
      <c r="E13" s="59">
        <v>244.14185424947738</v>
      </c>
      <c r="F13" s="58"/>
      <c r="G13" s="59">
        <v>34.662108820557592</v>
      </c>
      <c r="H13" s="59">
        <v>119.67904127314686</v>
      </c>
      <c r="I13" s="59">
        <v>36.344799786642191</v>
      </c>
      <c r="J13" s="45">
        <v>56.970850307665124</v>
      </c>
      <c r="K13" s="13"/>
      <c r="L13" s="58"/>
      <c r="M13" s="58"/>
      <c r="N13" s="58"/>
      <c r="O13" s="58"/>
      <c r="P13" s="58"/>
      <c r="Q13" s="45" t="s">
        <v>161</v>
      </c>
      <c r="R13" s="13"/>
      <c r="S13" s="59">
        <v>13.308000087738037</v>
      </c>
      <c r="T13" s="58"/>
      <c r="U13" s="59">
        <v>12.541999936103821</v>
      </c>
      <c r="V13" s="59">
        <v>51.969999887049198</v>
      </c>
      <c r="W13" s="59">
        <v>61.857000086456537</v>
      </c>
      <c r="X13" s="59">
        <v>317.1719987988472</v>
      </c>
      <c r="Y13" s="27"/>
      <c r="Z13" s="58"/>
      <c r="AA13" s="58"/>
      <c r="AB13" s="58"/>
      <c r="AC13" s="58"/>
      <c r="AD13" s="58"/>
      <c r="AE13" s="58"/>
      <c r="AF13" s="41">
        <f t="shared" si="1"/>
        <v>456.84899879619479</v>
      </c>
    </row>
    <row r="14" spans="1:32" ht="15" customHeight="1">
      <c r="A14" s="3">
        <v>7</v>
      </c>
      <c r="B14" s="8" t="s">
        <v>32</v>
      </c>
      <c r="C14" s="23" t="s">
        <v>150</v>
      </c>
      <c r="D14" s="41">
        <f t="shared" si="0"/>
        <v>779.27846998268546</v>
      </c>
      <c r="E14" s="58"/>
      <c r="F14" s="59">
        <v>386.47507636427878</v>
      </c>
      <c r="G14" s="58"/>
      <c r="H14" s="59">
        <v>137.21616954863072</v>
      </c>
      <c r="I14" s="59">
        <v>25.775078162506222</v>
      </c>
      <c r="J14" s="45">
        <v>53.056155982082075</v>
      </c>
      <c r="K14" s="13"/>
      <c r="L14" s="58"/>
      <c r="M14" s="58"/>
      <c r="N14" s="59">
        <v>43.615795420169832</v>
      </c>
      <c r="O14" s="59">
        <v>62.76193722808361</v>
      </c>
      <c r="P14" s="59">
        <v>35.536621907800438</v>
      </c>
      <c r="Q14" s="45">
        <v>34.841635369133755</v>
      </c>
      <c r="R14" s="13"/>
      <c r="S14" s="58"/>
      <c r="T14" s="59">
        <v>32.530000105500221</v>
      </c>
      <c r="U14" s="58"/>
      <c r="V14" s="59">
        <v>97.838999606668949</v>
      </c>
      <c r="W14" s="59">
        <v>44.256000019609928</v>
      </c>
      <c r="X14" s="59">
        <v>297.00800210237503</v>
      </c>
      <c r="Y14" s="27"/>
      <c r="Z14" s="58"/>
      <c r="AA14" s="58"/>
      <c r="AB14" s="59">
        <v>2.000999927520752</v>
      </c>
      <c r="AC14" s="59">
        <v>7.7429998945444822</v>
      </c>
      <c r="AD14" s="59">
        <v>11.372999988496304</v>
      </c>
      <c r="AE14" s="59">
        <v>68.2800013422966</v>
      </c>
      <c r="AF14" s="41">
        <f t="shared" si="1"/>
        <v>561.03000298701227</v>
      </c>
    </row>
    <row r="15" spans="1:32" ht="15" customHeight="1">
      <c r="A15" s="3">
        <v>8</v>
      </c>
      <c r="B15" s="8" t="s">
        <v>33</v>
      </c>
      <c r="C15" s="23" t="s">
        <v>151</v>
      </c>
      <c r="D15" s="41">
        <f t="shared" si="0"/>
        <v>3956.9448499662185</v>
      </c>
      <c r="E15" s="59">
        <v>708.88074753284457</v>
      </c>
      <c r="F15" s="58"/>
      <c r="G15" s="58"/>
      <c r="H15" s="59">
        <v>148.91865441150964</v>
      </c>
      <c r="I15" s="59">
        <v>75.274102889224892</v>
      </c>
      <c r="J15" s="45">
        <v>68.687823326598334</v>
      </c>
      <c r="K15" s="13"/>
      <c r="L15" s="59">
        <v>1570.8320057902336</v>
      </c>
      <c r="M15" s="58"/>
      <c r="N15" s="59">
        <v>402.25989712791147</v>
      </c>
      <c r="O15" s="59">
        <v>643.0016248157583</v>
      </c>
      <c r="P15" s="59">
        <v>116.41407287824154</v>
      </c>
      <c r="Q15" s="45">
        <v>222.67592119389644</v>
      </c>
      <c r="R15" s="13"/>
      <c r="S15" s="59">
        <v>17.338000118732452</v>
      </c>
      <c r="T15" s="58"/>
      <c r="U15" s="58"/>
      <c r="V15" s="59">
        <v>59.036000605672598</v>
      </c>
      <c r="W15" s="59">
        <v>46.952999867498875</v>
      </c>
      <c r="X15" s="59">
        <v>204.2460033595562</v>
      </c>
      <c r="Y15" s="27"/>
      <c r="Z15" s="59">
        <v>16.644999980926514</v>
      </c>
      <c r="AA15" s="58"/>
      <c r="AB15" s="59">
        <v>13.979000063613057</v>
      </c>
      <c r="AC15" s="59">
        <v>48.542999910190701</v>
      </c>
      <c r="AD15" s="59">
        <v>22.046000182628632</v>
      </c>
      <c r="AE15" s="59">
        <v>314.40700478851795</v>
      </c>
      <c r="AF15" s="41">
        <f t="shared" si="1"/>
        <v>743.19300887733698</v>
      </c>
    </row>
    <row r="16" spans="1:32" ht="15" customHeight="1">
      <c r="A16" s="3">
        <v>9</v>
      </c>
      <c r="B16" s="8" t="s">
        <v>34</v>
      </c>
      <c r="C16" s="23" t="s">
        <v>150</v>
      </c>
      <c r="D16" s="41">
        <f t="shared" si="0"/>
        <v>568.02691208120063</v>
      </c>
      <c r="E16" s="58"/>
      <c r="F16" s="59">
        <v>189.42339382521436</v>
      </c>
      <c r="G16" s="59">
        <v>78.395593502402306</v>
      </c>
      <c r="H16" s="59">
        <v>32.95032773035765</v>
      </c>
      <c r="I16" s="59">
        <v>53.081765464782713</v>
      </c>
      <c r="J16" s="45">
        <v>37.708054842654377</v>
      </c>
      <c r="K16" s="13"/>
      <c r="L16" s="58"/>
      <c r="M16" s="58"/>
      <c r="N16" s="59">
        <v>86.784772663459179</v>
      </c>
      <c r="O16" s="59">
        <v>44.843579656030983</v>
      </c>
      <c r="P16" s="59">
        <v>23.720916951708496</v>
      </c>
      <c r="Q16" s="45">
        <v>21.118507444590644</v>
      </c>
      <c r="R16" s="13"/>
      <c r="S16" s="58"/>
      <c r="T16" s="59">
        <v>20.353000104427338</v>
      </c>
      <c r="U16" s="59">
        <v>29.186000145971775</v>
      </c>
      <c r="V16" s="59">
        <v>25.367999792098999</v>
      </c>
      <c r="W16" s="59">
        <v>67.840999573469162</v>
      </c>
      <c r="X16" s="59">
        <v>175.52999441884458</v>
      </c>
      <c r="Y16" s="27"/>
      <c r="Z16" s="58"/>
      <c r="AA16" s="58"/>
      <c r="AB16" s="59">
        <v>5.8959998972713947</v>
      </c>
      <c r="AC16" s="59">
        <v>5.7860000608488917</v>
      </c>
      <c r="AD16" s="59">
        <v>8.980999942868948</v>
      </c>
      <c r="AE16" s="59">
        <v>45.969000816345215</v>
      </c>
      <c r="AF16" s="41">
        <f t="shared" si="1"/>
        <v>384.9099947521463</v>
      </c>
    </row>
    <row r="17" spans="1:32" ht="15" customHeight="1">
      <c r="A17" s="3">
        <v>10</v>
      </c>
      <c r="B17" s="8" t="s">
        <v>35</v>
      </c>
      <c r="C17" s="23" t="s">
        <v>151</v>
      </c>
      <c r="D17" s="41">
        <f t="shared" si="0"/>
        <v>1440.6648118518801</v>
      </c>
      <c r="E17" s="59">
        <v>215.86596462744475</v>
      </c>
      <c r="F17" s="59">
        <v>163.88431094810366</v>
      </c>
      <c r="G17" s="58"/>
      <c r="H17" s="59">
        <v>111.54293269775808</v>
      </c>
      <c r="I17" s="59">
        <v>31.041931978262962</v>
      </c>
      <c r="J17" s="45">
        <v>44.95587702155467</v>
      </c>
      <c r="K17" s="13"/>
      <c r="L17" s="58"/>
      <c r="M17" s="58"/>
      <c r="N17" s="59">
        <v>489.40438530259951</v>
      </c>
      <c r="O17" s="59">
        <v>142.33744469489156</v>
      </c>
      <c r="P17" s="59">
        <v>99.639102077342571</v>
      </c>
      <c r="Q17" s="45">
        <v>141.99286250392234</v>
      </c>
      <c r="R17" s="13"/>
      <c r="S17" s="59">
        <v>10.694999992847443</v>
      </c>
      <c r="T17" s="59">
        <v>12.390999652445316</v>
      </c>
      <c r="U17" s="58"/>
      <c r="V17" s="59">
        <v>30.657000087201595</v>
      </c>
      <c r="W17" s="59">
        <v>34.277000151574612</v>
      </c>
      <c r="X17" s="59">
        <v>191.00000212900341</v>
      </c>
      <c r="Y17" s="27"/>
      <c r="Z17" s="58"/>
      <c r="AA17" s="58"/>
      <c r="AB17" s="59">
        <v>22.958000211045146</v>
      </c>
      <c r="AC17" s="59">
        <v>21.968000095337629</v>
      </c>
      <c r="AD17" s="59">
        <v>25.040000025182962</v>
      </c>
      <c r="AE17" s="59">
        <v>239.25499703362584</v>
      </c>
      <c r="AF17" s="41">
        <f t="shared" si="1"/>
        <v>588.24099937826395</v>
      </c>
    </row>
    <row r="18" spans="1:32" ht="15" customHeight="1">
      <c r="A18" s="3">
        <v>11</v>
      </c>
      <c r="B18" s="8" t="s">
        <v>36</v>
      </c>
      <c r="C18" s="23" t="s">
        <v>150</v>
      </c>
      <c r="D18" s="41">
        <f t="shared" si="0"/>
        <v>734.03648219898685</v>
      </c>
      <c r="E18" s="58"/>
      <c r="F18" s="59">
        <v>130.00542007886247</v>
      </c>
      <c r="G18" s="59">
        <v>96.305497763752939</v>
      </c>
      <c r="H18" s="59">
        <v>31.299739675313234</v>
      </c>
      <c r="I18" s="59">
        <v>37.699887400031088</v>
      </c>
      <c r="J18" s="45">
        <v>50.344575875388571</v>
      </c>
      <c r="K18" s="13"/>
      <c r="L18" s="58"/>
      <c r="M18" s="58"/>
      <c r="N18" s="59">
        <v>254.8670423092544</v>
      </c>
      <c r="O18" s="59">
        <v>35.417041339453313</v>
      </c>
      <c r="P18" s="59">
        <v>43.85047091729939</v>
      </c>
      <c r="Q18" s="45">
        <v>54.246806839631404</v>
      </c>
      <c r="R18" s="13"/>
      <c r="S18" s="58"/>
      <c r="T18" s="59">
        <v>11.272999838925898</v>
      </c>
      <c r="U18" s="59">
        <v>26.234999924898148</v>
      </c>
      <c r="V18" s="59">
        <v>13.703999951481819</v>
      </c>
      <c r="W18" s="59">
        <v>37.538000419735909</v>
      </c>
      <c r="X18" s="59">
        <v>200.50800001621246</v>
      </c>
      <c r="Y18" s="27"/>
      <c r="Z18" s="58"/>
      <c r="AA18" s="58"/>
      <c r="AB18" s="59">
        <v>17.188999813050032</v>
      </c>
      <c r="AC18" s="59">
        <v>6.7550000976771116</v>
      </c>
      <c r="AD18" s="59">
        <v>10.140999995172024</v>
      </c>
      <c r="AE18" s="59">
        <v>86.779002167284489</v>
      </c>
      <c r="AF18" s="41">
        <f t="shared" si="1"/>
        <v>410.12200222443789</v>
      </c>
    </row>
    <row r="19" spans="1:32" ht="15" customHeight="1">
      <c r="A19" s="3">
        <v>12</v>
      </c>
      <c r="B19" s="8" t="s">
        <v>37</v>
      </c>
      <c r="C19" s="23" t="s">
        <v>149</v>
      </c>
      <c r="D19" s="41">
        <f t="shared" si="0"/>
        <v>280.29365717512974</v>
      </c>
      <c r="E19" s="58"/>
      <c r="F19" s="59">
        <v>147.61694060897827</v>
      </c>
      <c r="G19" s="58"/>
      <c r="H19" s="59">
        <v>82.848347848415372</v>
      </c>
      <c r="I19" s="59">
        <v>18.260049153327941</v>
      </c>
      <c r="J19" s="45">
        <v>31.568319564408178</v>
      </c>
      <c r="K19" s="13"/>
      <c r="L19" s="58"/>
      <c r="M19" s="58"/>
      <c r="N19" s="58"/>
      <c r="O19" s="58"/>
      <c r="P19" s="58"/>
      <c r="Q19" s="45" t="s">
        <v>161</v>
      </c>
      <c r="R19" s="13"/>
      <c r="S19" s="58"/>
      <c r="T19" s="59">
        <v>19.857000350952148</v>
      </c>
      <c r="U19" s="58"/>
      <c r="V19" s="59">
        <v>61.440000645816326</v>
      </c>
      <c r="W19" s="59">
        <v>47.580000281333923</v>
      </c>
      <c r="X19" s="59">
        <v>229.33300393819809</v>
      </c>
      <c r="Y19" s="27"/>
      <c r="Z19" s="58"/>
      <c r="AA19" s="58"/>
      <c r="AB19" s="58"/>
      <c r="AC19" s="58"/>
      <c r="AD19" s="58"/>
      <c r="AE19" s="58"/>
      <c r="AF19" s="41">
        <f t="shared" si="1"/>
        <v>358.21000521630049</v>
      </c>
    </row>
    <row r="20" spans="1:32" ht="15" customHeight="1">
      <c r="A20" s="3">
        <v>13</v>
      </c>
      <c r="B20" s="8" t="s">
        <v>38</v>
      </c>
      <c r="C20" s="23" t="s">
        <v>149</v>
      </c>
      <c r="D20" s="41">
        <f t="shared" si="0"/>
        <v>450.2521230007402</v>
      </c>
      <c r="E20" s="58"/>
      <c r="F20" s="59">
        <v>206.63889540815353</v>
      </c>
      <c r="G20" s="58"/>
      <c r="H20" s="59">
        <v>120.50863598413207</v>
      </c>
      <c r="I20" s="59">
        <v>66.075112240314482</v>
      </c>
      <c r="J20" s="45">
        <v>57.029479368140159</v>
      </c>
      <c r="K20" s="13"/>
      <c r="L20" s="58"/>
      <c r="M20" s="58"/>
      <c r="N20" s="58"/>
      <c r="O20" s="58"/>
      <c r="P20" s="58"/>
      <c r="Q20" s="45" t="s">
        <v>161</v>
      </c>
      <c r="R20" s="13"/>
      <c r="S20" s="58"/>
      <c r="T20" s="59">
        <v>27.505000233650208</v>
      </c>
      <c r="U20" s="58"/>
      <c r="V20" s="59">
        <v>76.195000019855797</v>
      </c>
      <c r="W20" s="59">
        <v>125.94900044798851</v>
      </c>
      <c r="X20" s="59">
        <v>340.79098987579346</v>
      </c>
      <c r="Y20" s="27"/>
      <c r="Z20" s="58"/>
      <c r="AA20" s="58"/>
      <c r="AB20" s="58"/>
      <c r="AC20" s="58"/>
      <c r="AD20" s="58"/>
      <c r="AE20" s="58"/>
      <c r="AF20" s="41">
        <f t="shared" si="1"/>
        <v>570.43999057728797</v>
      </c>
    </row>
    <row r="21" spans="1:32" ht="15" customHeight="1">
      <c r="A21" s="3">
        <v>14</v>
      </c>
      <c r="B21" s="8" t="s">
        <v>39</v>
      </c>
      <c r="C21" s="23" t="s">
        <v>149</v>
      </c>
      <c r="D21" s="41">
        <f t="shared" si="0"/>
        <v>459.81197792414207</v>
      </c>
      <c r="E21" s="58"/>
      <c r="F21" s="59">
        <v>156.8228282932788</v>
      </c>
      <c r="G21" s="59">
        <v>49.299071740984914</v>
      </c>
      <c r="H21" s="59">
        <v>89.263586328886447</v>
      </c>
      <c r="I21" s="59">
        <v>60.859332684502007</v>
      </c>
      <c r="J21" s="45">
        <v>103.56715887648991</v>
      </c>
      <c r="K21" s="13"/>
      <c r="L21" s="58"/>
      <c r="M21" s="58"/>
      <c r="N21" s="58"/>
      <c r="O21" s="58"/>
      <c r="P21" s="58"/>
      <c r="Q21" s="45" t="s">
        <v>161</v>
      </c>
      <c r="R21" s="13"/>
      <c r="S21" s="58"/>
      <c r="T21" s="59">
        <v>31.811000289395452</v>
      </c>
      <c r="U21" s="59">
        <v>17.596999943256378</v>
      </c>
      <c r="V21" s="59">
        <v>65.528000187128782</v>
      </c>
      <c r="W21" s="59">
        <v>126.80199943482876</v>
      </c>
      <c r="X21" s="59">
        <v>654.26598740369081</v>
      </c>
      <c r="Y21" s="27"/>
      <c r="Z21" s="58"/>
      <c r="AA21" s="58"/>
      <c r="AB21" s="58"/>
      <c r="AC21" s="58"/>
      <c r="AD21" s="58"/>
      <c r="AE21" s="58"/>
      <c r="AF21" s="41">
        <f t="shared" si="1"/>
        <v>896.00398725830019</v>
      </c>
    </row>
    <row r="22" spans="1:32" ht="15" customHeight="1">
      <c r="A22" s="3">
        <v>15</v>
      </c>
      <c r="B22" s="8" t="s">
        <v>40</v>
      </c>
      <c r="C22" s="23" t="s">
        <v>157</v>
      </c>
      <c r="D22" s="41">
        <f t="shared" si="0"/>
        <v>2380.7932421598998</v>
      </c>
      <c r="E22" s="59">
        <v>720.72928985595706</v>
      </c>
      <c r="F22" s="59">
        <v>8.1327998638153076</v>
      </c>
      <c r="G22" s="59">
        <v>158.26291238640621</v>
      </c>
      <c r="H22" s="59">
        <v>62.927964305877687</v>
      </c>
      <c r="I22" s="59">
        <v>45.303291579365734</v>
      </c>
      <c r="J22" s="45">
        <v>74.649939964473973</v>
      </c>
      <c r="K22" s="13"/>
      <c r="L22" s="59">
        <v>658.73726062321668</v>
      </c>
      <c r="M22" s="58"/>
      <c r="N22" s="59">
        <v>336.07579163390398</v>
      </c>
      <c r="O22" s="59">
        <v>118.39082816833258</v>
      </c>
      <c r="P22" s="59">
        <v>43.88128448724747</v>
      </c>
      <c r="Q22" s="45">
        <v>153.70187929130296</v>
      </c>
      <c r="R22" s="13"/>
      <c r="S22" s="59">
        <v>12.27400016784668</v>
      </c>
      <c r="T22" s="59">
        <v>0.29899999499320984</v>
      </c>
      <c r="U22" s="59">
        <v>24.109999891370535</v>
      </c>
      <c r="V22" s="59">
        <v>19.843999862670898</v>
      </c>
      <c r="W22" s="59">
        <v>47.55600069463253</v>
      </c>
      <c r="X22" s="59">
        <v>307.28700594604015</v>
      </c>
      <c r="Y22" s="27"/>
      <c r="Z22" s="59">
        <v>7.598000168800354</v>
      </c>
      <c r="AA22" s="58"/>
      <c r="AB22" s="59">
        <v>26.609000196680427</v>
      </c>
      <c r="AC22" s="59">
        <v>16.520999982953072</v>
      </c>
      <c r="AD22" s="59">
        <v>10.614000141620636</v>
      </c>
      <c r="AE22" s="59">
        <v>252.87099923938513</v>
      </c>
      <c r="AF22" s="41">
        <f t="shared" si="1"/>
        <v>725.58300628699362</v>
      </c>
    </row>
    <row r="23" spans="1:32" ht="15" customHeight="1">
      <c r="A23" s="3">
        <v>16</v>
      </c>
      <c r="B23" s="8" t="s">
        <v>41</v>
      </c>
      <c r="C23" s="23" t="s">
        <v>149</v>
      </c>
      <c r="D23" s="41">
        <f t="shared" si="0"/>
        <v>451.05375474324052</v>
      </c>
      <c r="E23" s="58"/>
      <c r="F23" s="59">
        <v>148.37924773529173</v>
      </c>
      <c r="G23" s="58"/>
      <c r="H23" s="59">
        <v>191.63788048329948</v>
      </c>
      <c r="I23" s="59">
        <v>40.50980791032314</v>
      </c>
      <c r="J23" s="45">
        <v>70.52681861432616</v>
      </c>
      <c r="K23" s="13"/>
      <c r="L23" s="58"/>
      <c r="M23" s="58"/>
      <c r="N23" s="58"/>
      <c r="O23" s="58"/>
      <c r="P23" s="58"/>
      <c r="Q23" s="45" t="s">
        <v>161</v>
      </c>
      <c r="R23" s="13"/>
      <c r="S23" s="58"/>
      <c r="T23" s="59">
        <v>17.786000415682793</v>
      </c>
      <c r="U23" s="58"/>
      <c r="V23" s="59">
        <v>90.914999723434448</v>
      </c>
      <c r="W23" s="59">
        <v>92.148000106215477</v>
      </c>
      <c r="X23" s="59">
        <v>470.66099515557289</v>
      </c>
      <c r="Y23" s="27"/>
      <c r="Z23" s="58"/>
      <c r="AA23" s="58"/>
      <c r="AB23" s="58"/>
      <c r="AC23" s="58"/>
      <c r="AD23" s="58"/>
      <c r="AE23" s="58"/>
      <c r="AF23" s="41">
        <f t="shared" si="1"/>
        <v>671.50999540090561</v>
      </c>
    </row>
    <row r="24" spans="1:32" ht="15" customHeight="1">
      <c r="A24" s="3">
        <v>17</v>
      </c>
      <c r="B24" s="8" t="s">
        <v>42</v>
      </c>
      <c r="C24" s="23" t="s">
        <v>150</v>
      </c>
      <c r="D24" s="41">
        <f t="shared" si="0"/>
        <v>478.41790687838545</v>
      </c>
      <c r="E24" s="59">
        <v>44.080927811622622</v>
      </c>
      <c r="F24" s="59">
        <v>134.85132112652065</v>
      </c>
      <c r="G24" s="58"/>
      <c r="H24" s="59">
        <v>117.31479792292416</v>
      </c>
      <c r="I24" s="59">
        <v>21.616678068280219</v>
      </c>
      <c r="J24" s="45">
        <v>46.477884273543445</v>
      </c>
      <c r="K24" s="13"/>
      <c r="L24" s="58"/>
      <c r="M24" s="58"/>
      <c r="N24" s="59">
        <v>13.041360079050063</v>
      </c>
      <c r="O24" s="59">
        <v>77.109895261153582</v>
      </c>
      <c r="P24" s="59">
        <v>3.9682219806537034</v>
      </c>
      <c r="Q24" s="45">
        <v>19.956820354636982</v>
      </c>
      <c r="R24" s="13"/>
      <c r="S24" s="59">
        <v>2.5469999313354492</v>
      </c>
      <c r="T24" s="59">
        <v>19.36700014770031</v>
      </c>
      <c r="U24" s="58"/>
      <c r="V24" s="59">
        <v>75.201000735163689</v>
      </c>
      <c r="W24" s="59">
        <v>66.792000353336334</v>
      </c>
      <c r="X24" s="59">
        <v>375.58199682459235</v>
      </c>
      <c r="Y24" s="27"/>
      <c r="Z24" s="58"/>
      <c r="AA24" s="58"/>
      <c r="AB24" s="59">
        <v>1.4160000085830688</v>
      </c>
      <c r="AC24" s="59">
        <v>14.865999933332205</v>
      </c>
      <c r="AD24" s="59">
        <v>1.9769999869167805</v>
      </c>
      <c r="AE24" s="59">
        <v>51.567998677492142</v>
      </c>
      <c r="AF24" s="41">
        <f t="shared" si="1"/>
        <v>609.31599659845233</v>
      </c>
    </row>
    <row r="25" spans="1:32" ht="15" customHeight="1">
      <c r="A25" s="3">
        <v>18</v>
      </c>
      <c r="B25" s="8" t="s">
        <v>43</v>
      </c>
      <c r="C25" s="23" t="s">
        <v>150</v>
      </c>
      <c r="D25" s="41">
        <f t="shared" si="0"/>
        <v>848.13734643206067</v>
      </c>
      <c r="E25" s="58"/>
      <c r="F25" s="59">
        <v>208.14659659957886</v>
      </c>
      <c r="G25" s="58"/>
      <c r="H25" s="59">
        <v>123.54326283478737</v>
      </c>
      <c r="I25" s="59">
        <v>55.845637680266051</v>
      </c>
      <c r="J25" s="45">
        <v>150.33980631861075</v>
      </c>
      <c r="K25" s="13"/>
      <c r="L25" s="58"/>
      <c r="M25" s="58"/>
      <c r="N25" s="59">
        <v>119.62896501186491</v>
      </c>
      <c r="O25" s="59">
        <v>78.194986570782959</v>
      </c>
      <c r="P25" s="59">
        <v>48.836434939220545</v>
      </c>
      <c r="Q25" s="45">
        <v>63.601656476949252</v>
      </c>
      <c r="R25" s="13"/>
      <c r="S25" s="58"/>
      <c r="T25" s="59">
        <v>31.73900032043457</v>
      </c>
      <c r="U25" s="58"/>
      <c r="V25" s="59">
        <v>35.744999885559082</v>
      </c>
      <c r="W25" s="59">
        <v>82.01200083270669</v>
      </c>
      <c r="X25" s="59">
        <v>763.29500991106033</v>
      </c>
      <c r="Y25" s="27"/>
      <c r="Z25" s="58"/>
      <c r="AA25" s="58"/>
      <c r="AB25" s="59">
        <v>8.2650000229477882</v>
      </c>
      <c r="AC25" s="59">
        <v>9.1869999058544636</v>
      </c>
      <c r="AD25" s="59">
        <v>10.827999986708164</v>
      </c>
      <c r="AE25" s="59">
        <v>99.100003123283386</v>
      </c>
      <c r="AF25" s="41">
        <f t="shared" si="1"/>
        <v>1040.1710139885545</v>
      </c>
    </row>
    <row r="26" spans="1:32" ht="15" customHeight="1">
      <c r="A26" s="3">
        <v>19</v>
      </c>
      <c r="B26" s="8" t="s">
        <v>44</v>
      </c>
      <c r="C26" s="23" t="s">
        <v>151</v>
      </c>
      <c r="D26" s="41">
        <f t="shared" si="0"/>
        <v>2201.8266398764472</v>
      </c>
      <c r="E26" s="58"/>
      <c r="F26" s="59">
        <v>188.93912178322674</v>
      </c>
      <c r="G26" s="59">
        <v>9.826303066909313</v>
      </c>
      <c r="H26" s="59">
        <v>33.909864631138745</v>
      </c>
      <c r="I26" s="59">
        <v>30.844646724879741</v>
      </c>
      <c r="J26" s="45">
        <v>46.297846002702585</v>
      </c>
      <c r="K26" s="13"/>
      <c r="L26" s="59">
        <v>839.7056926393509</v>
      </c>
      <c r="M26" s="59">
        <v>35.947000712156296</v>
      </c>
      <c r="N26" s="59">
        <v>615.52383123263712</v>
      </c>
      <c r="O26" s="59">
        <v>142.98700590489432</v>
      </c>
      <c r="P26" s="59">
        <v>119.46002093876898</v>
      </c>
      <c r="Q26" s="45">
        <v>138.38530623978212</v>
      </c>
      <c r="R26" s="13"/>
      <c r="S26" s="58"/>
      <c r="T26" s="59">
        <v>15.940000139176846</v>
      </c>
      <c r="U26" s="59">
        <v>4.5280000269412994</v>
      </c>
      <c r="V26" s="59">
        <v>26.42399986833334</v>
      </c>
      <c r="W26" s="59">
        <v>30.09500016272068</v>
      </c>
      <c r="X26" s="59">
        <v>182.06699961423874</v>
      </c>
      <c r="Y26" s="27"/>
      <c r="Z26" s="59">
        <v>9.5339998006820679</v>
      </c>
      <c r="AA26" s="59">
        <v>0.69800001382827759</v>
      </c>
      <c r="AB26" s="59">
        <v>32.670000000856817</v>
      </c>
      <c r="AC26" s="59">
        <v>20.680000053718686</v>
      </c>
      <c r="AD26" s="59">
        <v>31.793999839574099</v>
      </c>
      <c r="AE26" s="59">
        <v>241.68699756264687</v>
      </c>
      <c r="AF26" s="41">
        <f t="shared" si="1"/>
        <v>596.11699708271772</v>
      </c>
    </row>
    <row r="27" spans="1:32" ht="15" customHeight="1">
      <c r="A27" s="3">
        <v>20</v>
      </c>
      <c r="B27" s="8" t="s">
        <v>45</v>
      </c>
      <c r="C27" s="23" t="s">
        <v>149</v>
      </c>
      <c r="D27" s="41">
        <f t="shared" si="0"/>
        <v>154.14828882070367</v>
      </c>
      <c r="E27" s="58"/>
      <c r="F27" s="59">
        <v>32.914496982812878</v>
      </c>
      <c r="G27" s="59">
        <v>19.162926551699638</v>
      </c>
      <c r="H27" s="59">
        <v>62.405744378536937</v>
      </c>
      <c r="I27" s="59">
        <v>15.822420714616776</v>
      </c>
      <c r="J27" s="45">
        <v>23.842700193037455</v>
      </c>
      <c r="K27" s="13"/>
      <c r="L27" s="58"/>
      <c r="M27" s="58"/>
      <c r="N27" s="58"/>
      <c r="O27" s="58"/>
      <c r="P27" s="58"/>
      <c r="Q27" s="45" t="s">
        <v>161</v>
      </c>
      <c r="R27" s="13"/>
      <c r="S27" s="58"/>
      <c r="T27" s="59">
        <v>12.654999613761902</v>
      </c>
      <c r="U27" s="59">
        <v>19.18999969959259</v>
      </c>
      <c r="V27" s="59">
        <v>38.91299955919385</v>
      </c>
      <c r="W27" s="59">
        <v>56.029999315738678</v>
      </c>
      <c r="X27" s="59">
        <v>209.8020042181015</v>
      </c>
      <c r="Y27" s="27"/>
      <c r="Z27" s="58"/>
      <c r="AA27" s="58"/>
      <c r="AB27" s="58"/>
      <c r="AC27" s="58"/>
      <c r="AD27" s="58"/>
      <c r="AE27" s="58"/>
      <c r="AF27" s="41">
        <f t="shared" si="1"/>
        <v>336.59000240638852</v>
      </c>
    </row>
    <row r="28" spans="1:32" ht="15" customHeight="1">
      <c r="A28" s="3">
        <v>21</v>
      </c>
      <c r="B28" s="8" t="s">
        <v>46</v>
      </c>
      <c r="C28" s="23" t="s">
        <v>149</v>
      </c>
      <c r="D28" s="41">
        <f t="shared" si="0"/>
        <v>696.03513859744248</v>
      </c>
      <c r="E28" s="59">
        <v>410.24587500000001</v>
      </c>
      <c r="F28" s="58"/>
      <c r="G28" s="58"/>
      <c r="H28" s="59">
        <v>246.75028843367099</v>
      </c>
      <c r="I28" s="59">
        <v>13.794986989304423</v>
      </c>
      <c r="J28" s="45">
        <v>25.24398817446701</v>
      </c>
      <c r="K28" s="13"/>
      <c r="L28" s="58"/>
      <c r="M28" s="58"/>
      <c r="N28" s="58"/>
      <c r="O28" s="58"/>
      <c r="P28" s="58"/>
      <c r="Q28" s="45" t="s">
        <v>161</v>
      </c>
      <c r="R28" s="13"/>
      <c r="S28" s="59">
        <v>14.625</v>
      </c>
      <c r="T28" s="58"/>
      <c r="U28" s="58"/>
      <c r="V28" s="59">
        <v>62.711000010371208</v>
      </c>
      <c r="W28" s="59">
        <v>26.465000048279762</v>
      </c>
      <c r="X28" s="59">
        <v>151.45800223387778</v>
      </c>
      <c r="Y28" s="27"/>
      <c r="Z28" s="58"/>
      <c r="AA28" s="58"/>
      <c r="AB28" s="58"/>
      <c r="AC28" s="58"/>
      <c r="AD28" s="58"/>
      <c r="AE28" s="58"/>
      <c r="AF28" s="41">
        <f t="shared" si="1"/>
        <v>255.25900229252875</v>
      </c>
    </row>
    <row r="29" spans="1:32" ht="15" customHeight="1">
      <c r="A29" s="3">
        <v>22</v>
      </c>
      <c r="B29" s="8" t="s">
        <v>47</v>
      </c>
      <c r="C29" s="23" t="s">
        <v>149</v>
      </c>
      <c r="D29" s="41">
        <f t="shared" si="0"/>
        <v>1115.0380763064154</v>
      </c>
      <c r="E29" s="59">
        <v>499.05093222951888</v>
      </c>
      <c r="F29" s="59">
        <v>100.85420219373702</v>
      </c>
      <c r="G29" s="59">
        <v>68.39815349914133</v>
      </c>
      <c r="H29" s="59">
        <v>233.78528346357123</v>
      </c>
      <c r="I29" s="59">
        <v>66.936906794607637</v>
      </c>
      <c r="J29" s="45">
        <v>146.01259812583922</v>
      </c>
      <c r="K29" s="13"/>
      <c r="L29" s="58"/>
      <c r="M29" s="58"/>
      <c r="N29" s="58"/>
      <c r="O29" s="58"/>
      <c r="P29" s="58"/>
      <c r="Q29" s="45" t="s">
        <v>161</v>
      </c>
      <c r="R29" s="13"/>
      <c r="S29" s="59">
        <v>32.147000432014465</v>
      </c>
      <c r="T29" s="59">
        <v>19.104000426828861</v>
      </c>
      <c r="U29" s="59">
        <v>11.721000082790852</v>
      </c>
      <c r="V29" s="59">
        <v>71.389999864622951</v>
      </c>
      <c r="W29" s="59">
        <v>94.969999849796295</v>
      </c>
      <c r="X29" s="59">
        <v>725.53298571705818</v>
      </c>
      <c r="Y29" s="27"/>
      <c r="Z29" s="58"/>
      <c r="AA29" s="58"/>
      <c r="AB29" s="58"/>
      <c r="AC29" s="58"/>
      <c r="AD29" s="58"/>
      <c r="AE29" s="58"/>
      <c r="AF29" s="41">
        <f t="shared" si="1"/>
        <v>954.86498637311161</v>
      </c>
    </row>
    <row r="30" spans="1:32" ht="15" customHeight="1">
      <c r="A30" s="3">
        <v>23</v>
      </c>
      <c r="B30" s="8" t="s">
        <v>48</v>
      </c>
      <c r="C30" s="23" t="s">
        <v>149</v>
      </c>
      <c r="D30" s="41">
        <f t="shared" si="0"/>
        <v>423.18926920639785</v>
      </c>
      <c r="E30" s="58"/>
      <c r="F30" s="59">
        <v>119.43720552557707</v>
      </c>
      <c r="G30" s="58"/>
      <c r="H30" s="59">
        <v>128.4805830436498</v>
      </c>
      <c r="I30" s="59">
        <v>60.887903985142707</v>
      </c>
      <c r="J30" s="45">
        <v>114.38357665202828</v>
      </c>
      <c r="K30" s="13"/>
      <c r="L30" s="58"/>
      <c r="M30" s="58"/>
      <c r="N30" s="58"/>
      <c r="O30" s="58"/>
      <c r="P30" s="58"/>
      <c r="Q30" s="45" t="s">
        <v>161</v>
      </c>
      <c r="R30" s="13"/>
      <c r="S30" s="58"/>
      <c r="T30" s="59">
        <v>23.715000301599503</v>
      </c>
      <c r="U30" s="58"/>
      <c r="V30" s="59">
        <v>72.472000762820244</v>
      </c>
      <c r="W30" s="59">
        <v>87.648999333381653</v>
      </c>
      <c r="X30" s="59">
        <v>573.53999631106853</v>
      </c>
      <c r="Y30" s="27"/>
      <c r="Z30" s="58"/>
      <c r="AA30" s="58"/>
      <c r="AB30" s="58"/>
      <c r="AC30" s="58"/>
      <c r="AD30" s="58"/>
      <c r="AE30" s="58"/>
      <c r="AF30" s="41">
        <f t="shared" si="1"/>
        <v>757.37599670886993</v>
      </c>
    </row>
    <row r="31" spans="1:32" ht="15" customHeight="1">
      <c r="A31" s="3">
        <v>24</v>
      </c>
      <c r="B31" s="8" t="s">
        <v>49</v>
      </c>
      <c r="C31" s="23" t="s">
        <v>157</v>
      </c>
      <c r="D31" s="41">
        <f t="shared" si="0"/>
        <v>2227.1209946372956</v>
      </c>
      <c r="E31" s="59">
        <v>446.73259129524229</v>
      </c>
      <c r="F31" s="59">
        <v>263.55020784515142</v>
      </c>
      <c r="G31" s="59">
        <v>15.971739780902862</v>
      </c>
      <c r="H31" s="59">
        <v>182.28001692703367</v>
      </c>
      <c r="I31" s="59">
        <v>75.847276504069569</v>
      </c>
      <c r="J31" s="45">
        <v>105.24765530503305</v>
      </c>
      <c r="K31" s="13"/>
      <c r="L31" s="59">
        <v>95.627701377868647</v>
      </c>
      <c r="M31" s="59">
        <v>67.71664938497544</v>
      </c>
      <c r="N31" s="59">
        <v>483.25713188862801</v>
      </c>
      <c r="O31" s="59">
        <v>230.16921925002336</v>
      </c>
      <c r="P31" s="59">
        <v>64.250700596854088</v>
      </c>
      <c r="Q31" s="45">
        <v>196.47010448151312</v>
      </c>
      <c r="R31" s="13"/>
      <c r="S31" s="59">
        <v>20.365999698638916</v>
      </c>
      <c r="T31" s="59">
        <v>35.761000692844391</v>
      </c>
      <c r="U31" s="59">
        <v>6.5849999189376831</v>
      </c>
      <c r="V31" s="59">
        <v>98.450000636279583</v>
      </c>
      <c r="W31" s="59">
        <v>137.52899986505508</v>
      </c>
      <c r="X31" s="59">
        <v>609.59499262273312</v>
      </c>
      <c r="Y31" s="27"/>
      <c r="Z31" s="59">
        <v>3.1770000457763672</v>
      </c>
      <c r="AA31" s="59">
        <v>4.6970000267028809</v>
      </c>
      <c r="AB31" s="59">
        <v>36.965999968349934</v>
      </c>
      <c r="AC31" s="59">
        <v>33.734999850392342</v>
      </c>
      <c r="AD31" s="59">
        <v>12.672000095248222</v>
      </c>
      <c r="AE31" s="59">
        <v>284.53701017796993</v>
      </c>
      <c r="AF31" s="41">
        <f t="shared" si="1"/>
        <v>1284.0700035989285</v>
      </c>
    </row>
    <row r="32" spans="1:32" ht="15" customHeight="1">
      <c r="A32" s="3">
        <v>25</v>
      </c>
      <c r="B32" s="8" t="s">
        <v>50</v>
      </c>
      <c r="C32" s="23" t="s">
        <v>150</v>
      </c>
      <c r="D32" s="41">
        <f t="shared" si="0"/>
        <v>1248.4047148846994</v>
      </c>
      <c r="E32" s="59">
        <v>418.70584252548218</v>
      </c>
      <c r="F32" s="59">
        <v>214.26243015527726</v>
      </c>
      <c r="G32" s="59">
        <v>57.838790285587308</v>
      </c>
      <c r="H32" s="59">
        <v>95.380257033884519</v>
      </c>
      <c r="I32" s="59">
        <v>51.70616499829292</v>
      </c>
      <c r="J32" s="45">
        <v>44.449376234676386</v>
      </c>
      <c r="K32" s="13"/>
      <c r="L32" s="59">
        <v>82.492003440856934</v>
      </c>
      <c r="M32" s="58"/>
      <c r="N32" s="59">
        <v>63.169067574560643</v>
      </c>
      <c r="O32" s="59">
        <v>141.78659475064276</v>
      </c>
      <c r="P32" s="59">
        <v>21.471087240830062</v>
      </c>
      <c r="Q32" s="45">
        <v>57.143100644608438</v>
      </c>
      <c r="R32" s="13"/>
      <c r="S32" s="59">
        <v>12.76800012588501</v>
      </c>
      <c r="T32" s="59">
        <v>17.802999973297119</v>
      </c>
      <c r="U32" s="59">
        <v>9.4749999642372131</v>
      </c>
      <c r="V32" s="59">
        <v>40.321999579668045</v>
      </c>
      <c r="W32" s="59">
        <v>59.999999508261681</v>
      </c>
      <c r="X32" s="59">
        <v>194.79600335657597</v>
      </c>
      <c r="Y32" s="27"/>
      <c r="Z32" s="59">
        <v>2.0120000839233398</v>
      </c>
      <c r="AA32" s="58"/>
      <c r="AB32" s="59">
        <v>3.4460000246763229</v>
      </c>
      <c r="AC32" s="59">
        <v>15.051999997347593</v>
      </c>
      <c r="AD32" s="59">
        <v>6.2160000614821911</v>
      </c>
      <c r="AE32" s="59">
        <v>105.18499671667814</v>
      </c>
      <c r="AF32" s="41">
        <f t="shared" si="1"/>
        <v>467.07499939203262</v>
      </c>
    </row>
    <row r="33" spans="1:32" ht="15" customHeight="1">
      <c r="A33" s="3">
        <v>26</v>
      </c>
      <c r="B33" s="8" t="s">
        <v>51</v>
      </c>
      <c r="C33" s="23" t="s">
        <v>149</v>
      </c>
      <c r="D33" s="41">
        <f t="shared" si="0"/>
        <v>645.58629923474973</v>
      </c>
      <c r="E33" s="58"/>
      <c r="F33" s="59">
        <v>180.1512559530735</v>
      </c>
      <c r="G33" s="59">
        <v>118.12142402148247</v>
      </c>
      <c r="H33" s="59">
        <v>168.57406127870084</v>
      </c>
      <c r="I33" s="59">
        <v>68.571322099432351</v>
      </c>
      <c r="J33" s="45">
        <v>110.16823588206051</v>
      </c>
      <c r="K33" s="13"/>
      <c r="L33" s="58"/>
      <c r="M33" s="58"/>
      <c r="N33" s="58"/>
      <c r="O33" s="58"/>
      <c r="P33" s="58"/>
      <c r="Q33" s="45" t="s">
        <v>161</v>
      </c>
      <c r="R33" s="13"/>
      <c r="S33" s="58"/>
      <c r="T33" s="59">
        <v>25.336000263690948</v>
      </c>
      <c r="U33" s="59">
        <v>16.161999672651291</v>
      </c>
      <c r="V33" s="59">
        <v>87.604000441730022</v>
      </c>
      <c r="W33" s="59">
        <v>89.268999703228474</v>
      </c>
      <c r="X33" s="59">
        <v>518.77500475943089</v>
      </c>
      <c r="Y33" s="27"/>
      <c r="Z33" s="58"/>
      <c r="AA33" s="58"/>
      <c r="AB33" s="58"/>
      <c r="AC33" s="58"/>
      <c r="AD33" s="58"/>
      <c r="AE33" s="58"/>
      <c r="AF33" s="41">
        <f t="shared" si="1"/>
        <v>737.14600484073162</v>
      </c>
    </row>
    <row r="34" spans="1:32" ht="15" customHeight="1">
      <c r="A34" s="3">
        <v>27</v>
      </c>
      <c r="B34" s="8" t="s">
        <v>52</v>
      </c>
      <c r="C34" s="23" t="s">
        <v>149</v>
      </c>
      <c r="D34" s="41">
        <f t="shared" si="0"/>
        <v>290.73547608619208</v>
      </c>
      <c r="E34" s="58"/>
      <c r="F34" s="59">
        <v>99.104393977507954</v>
      </c>
      <c r="G34" s="59">
        <v>53.569790709018704</v>
      </c>
      <c r="H34" s="59">
        <v>27.447124841868877</v>
      </c>
      <c r="I34" s="59">
        <v>56.979882267564534</v>
      </c>
      <c r="J34" s="45">
        <v>53.634284290232038</v>
      </c>
      <c r="K34" s="13"/>
      <c r="L34" s="58"/>
      <c r="M34" s="58"/>
      <c r="N34" s="58"/>
      <c r="O34" s="58"/>
      <c r="P34" s="58"/>
      <c r="Q34" s="45" t="s">
        <v>161</v>
      </c>
      <c r="R34" s="13"/>
      <c r="S34" s="58"/>
      <c r="T34" s="59">
        <v>21.308000005781651</v>
      </c>
      <c r="U34" s="59">
        <v>12.8160001039505</v>
      </c>
      <c r="V34" s="59">
        <v>6.4370002150535583</v>
      </c>
      <c r="W34" s="59">
        <v>79.000000387430191</v>
      </c>
      <c r="X34" s="59">
        <v>262.6949919462204</v>
      </c>
      <c r="Y34" s="27"/>
      <c r="Z34" s="58"/>
      <c r="AA34" s="58"/>
      <c r="AB34" s="58"/>
      <c r="AC34" s="58"/>
      <c r="AD34" s="58"/>
      <c r="AE34" s="58"/>
      <c r="AF34" s="41">
        <f t="shared" si="1"/>
        <v>382.2559926584363</v>
      </c>
    </row>
    <row r="35" spans="1:32" ht="15" customHeight="1">
      <c r="A35" s="3">
        <v>28</v>
      </c>
      <c r="B35" s="8" t="s">
        <v>53</v>
      </c>
      <c r="C35" s="23" t="s">
        <v>149</v>
      </c>
      <c r="D35" s="41">
        <f t="shared" si="0"/>
        <v>226.83372189682495</v>
      </c>
      <c r="E35" s="58"/>
      <c r="F35" s="59">
        <v>119.68991056470573</v>
      </c>
      <c r="G35" s="58"/>
      <c r="H35" s="59">
        <v>27.968542921349407</v>
      </c>
      <c r="I35" s="59">
        <v>27.90476947413385</v>
      </c>
      <c r="J35" s="45">
        <v>51.270498936635988</v>
      </c>
      <c r="K35" s="13"/>
      <c r="L35" s="58"/>
      <c r="M35" s="58"/>
      <c r="N35" s="58"/>
      <c r="O35" s="58"/>
      <c r="P35" s="58"/>
      <c r="Q35" s="45" t="s">
        <v>161</v>
      </c>
      <c r="R35" s="13"/>
      <c r="S35" s="58"/>
      <c r="T35" s="59">
        <v>30.511999607086182</v>
      </c>
      <c r="U35" s="58"/>
      <c r="V35" s="59">
        <v>34.813999868929386</v>
      </c>
      <c r="W35" s="59">
        <v>84.440001193434</v>
      </c>
      <c r="X35" s="59">
        <v>408.94199216365814</v>
      </c>
      <c r="Y35" s="27"/>
      <c r="Z35" s="58"/>
      <c r="AA35" s="58"/>
      <c r="AB35" s="58"/>
      <c r="AC35" s="58"/>
      <c r="AD35" s="58"/>
      <c r="AE35" s="58"/>
      <c r="AF35" s="41">
        <f t="shared" si="1"/>
        <v>558.70799283310771</v>
      </c>
    </row>
    <row r="36" spans="1:32" ht="15" customHeight="1">
      <c r="A36" s="3">
        <v>29</v>
      </c>
      <c r="B36" s="8" t="s">
        <v>54</v>
      </c>
      <c r="C36" s="23" t="s">
        <v>149</v>
      </c>
      <c r="D36" s="41">
        <f t="shared" si="0"/>
        <v>213.94050600156694</v>
      </c>
      <c r="E36" s="58"/>
      <c r="F36" s="58"/>
      <c r="G36" s="59">
        <v>120.92507211655378</v>
      </c>
      <c r="H36" s="59">
        <v>17.967872327566148</v>
      </c>
      <c r="I36" s="59">
        <v>27.333937197685241</v>
      </c>
      <c r="J36" s="45">
        <v>47.713624359761781</v>
      </c>
      <c r="K36" s="13"/>
      <c r="L36" s="58"/>
      <c r="M36" s="58"/>
      <c r="N36" s="58"/>
      <c r="O36" s="58"/>
      <c r="P36" s="58"/>
      <c r="Q36" s="45" t="s">
        <v>161</v>
      </c>
      <c r="R36" s="13"/>
      <c r="S36" s="58"/>
      <c r="T36" s="58"/>
      <c r="U36" s="59">
        <v>36.235999666154385</v>
      </c>
      <c r="V36" s="59">
        <v>12.437000036239624</v>
      </c>
      <c r="W36" s="59">
        <v>72.55400013923645</v>
      </c>
      <c r="X36" s="59">
        <v>350.65401405096054</v>
      </c>
      <c r="Y36" s="27"/>
      <c r="Z36" s="58"/>
      <c r="AA36" s="58"/>
      <c r="AB36" s="58"/>
      <c r="AC36" s="58"/>
      <c r="AD36" s="58"/>
      <c r="AE36" s="58"/>
      <c r="AF36" s="41">
        <f t="shared" si="1"/>
        <v>471.881013892591</v>
      </c>
    </row>
    <row r="37" spans="1:32" ht="15" customHeight="1">
      <c r="A37" s="3">
        <v>30</v>
      </c>
      <c r="B37" s="8" t="s">
        <v>55</v>
      </c>
      <c r="C37" s="23" t="s">
        <v>151</v>
      </c>
      <c r="D37" s="41">
        <f t="shared" si="0"/>
        <v>2084.0596156457455</v>
      </c>
      <c r="E37" s="58"/>
      <c r="F37" s="59">
        <v>299.81722539627555</v>
      </c>
      <c r="G37" s="59">
        <v>101.19687095612288</v>
      </c>
      <c r="H37" s="59">
        <v>167.15859897506238</v>
      </c>
      <c r="I37" s="59">
        <v>62.507468249380587</v>
      </c>
      <c r="J37" s="45">
        <v>120.5447414598822</v>
      </c>
      <c r="K37" s="13"/>
      <c r="L37" s="58"/>
      <c r="M37" s="59">
        <v>230.29931408166885</v>
      </c>
      <c r="N37" s="59">
        <v>481.15020125645401</v>
      </c>
      <c r="O37" s="59">
        <v>229.05769091287254</v>
      </c>
      <c r="P37" s="59">
        <v>209.66896431478858</v>
      </c>
      <c r="Q37" s="45">
        <v>182.65854004323779</v>
      </c>
      <c r="R37" s="13"/>
      <c r="S37" s="58"/>
      <c r="T37" s="59">
        <v>39.793000996112823</v>
      </c>
      <c r="U37" s="59">
        <v>16.613000094890594</v>
      </c>
      <c r="V37" s="59">
        <v>50.547000452876091</v>
      </c>
      <c r="W37" s="59">
        <v>76.587999999523163</v>
      </c>
      <c r="X37" s="59">
        <v>546.53798975050449</v>
      </c>
      <c r="Y37" s="27"/>
      <c r="Z37" s="58"/>
      <c r="AA37" s="59">
        <v>10.212000012397766</v>
      </c>
      <c r="AB37" s="59">
        <v>31.492999948561192</v>
      </c>
      <c r="AC37" s="59">
        <v>28.22200021892786</v>
      </c>
      <c r="AD37" s="59">
        <v>48.695999950170517</v>
      </c>
      <c r="AE37" s="59">
        <v>292.97999714314938</v>
      </c>
      <c r="AF37" s="41">
        <f t="shared" si="1"/>
        <v>1141.6819885671139</v>
      </c>
    </row>
    <row r="38" spans="1:32" ht="15" customHeight="1">
      <c r="A38" s="3">
        <v>31</v>
      </c>
      <c r="B38" s="8" t="s">
        <v>56</v>
      </c>
      <c r="C38" s="23" t="s">
        <v>149</v>
      </c>
      <c r="D38" s="41">
        <f t="shared" si="0"/>
        <v>334.07000471115521</v>
      </c>
      <c r="E38" s="59">
        <v>87.512400698661807</v>
      </c>
      <c r="F38" s="58"/>
      <c r="G38" s="59">
        <v>90.028611907109621</v>
      </c>
      <c r="H38" s="59">
        <v>75.714241689532997</v>
      </c>
      <c r="I38" s="59">
        <v>28.062800305604934</v>
      </c>
      <c r="J38" s="45">
        <v>52.751950110245851</v>
      </c>
      <c r="K38" s="13"/>
      <c r="L38" s="58"/>
      <c r="M38" s="58"/>
      <c r="N38" s="58"/>
      <c r="O38" s="58"/>
      <c r="P38" s="58"/>
      <c r="Q38" s="45" t="s">
        <v>161</v>
      </c>
      <c r="R38" s="13"/>
      <c r="S38" s="59">
        <v>2.628000020980835</v>
      </c>
      <c r="T38" s="58"/>
      <c r="U38" s="59">
        <v>20.029999990016222</v>
      </c>
      <c r="V38" s="59">
        <v>60.787000514566898</v>
      </c>
      <c r="W38" s="59">
        <v>53.277000427246094</v>
      </c>
      <c r="X38" s="59">
        <v>314.4380039870739</v>
      </c>
      <c r="Y38" s="27"/>
      <c r="Z38" s="58"/>
      <c r="AA38" s="58"/>
      <c r="AB38" s="58"/>
      <c r="AC38" s="58"/>
      <c r="AD38" s="58"/>
      <c r="AE38" s="58"/>
      <c r="AF38" s="41">
        <f t="shared" si="1"/>
        <v>451.16000493988395</v>
      </c>
    </row>
    <row r="39" spans="1:32" ht="15" customHeight="1">
      <c r="A39" s="3">
        <v>32</v>
      </c>
      <c r="B39" s="8" t="s">
        <v>57</v>
      </c>
      <c r="C39" s="23" t="s">
        <v>149</v>
      </c>
      <c r="D39" s="41">
        <f t="shared" si="0"/>
        <v>136.45954412772596</v>
      </c>
      <c r="E39" s="58"/>
      <c r="F39" s="58"/>
      <c r="G39" s="59">
        <v>46.402835624784231</v>
      </c>
      <c r="H39" s="59">
        <v>18.837935073375704</v>
      </c>
      <c r="I39" s="59">
        <v>23.912090839385986</v>
      </c>
      <c r="J39" s="45">
        <v>47.306682590180039</v>
      </c>
      <c r="K39" s="13"/>
      <c r="L39" s="58"/>
      <c r="M39" s="58"/>
      <c r="N39" s="58"/>
      <c r="O39" s="58"/>
      <c r="P39" s="58"/>
      <c r="Q39" s="45" t="s">
        <v>161</v>
      </c>
      <c r="R39" s="13"/>
      <c r="S39" s="58"/>
      <c r="T39" s="58"/>
      <c r="U39" s="59">
        <v>18.519000172615051</v>
      </c>
      <c r="V39" s="59">
        <v>24.89300012588501</v>
      </c>
      <c r="W39" s="59">
        <v>65.870999455451965</v>
      </c>
      <c r="X39" s="59">
        <v>355.81900059711188</v>
      </c>
      <c r="Y39" s="27"/>
      <c r="Z39" s="58"/>
      <c r="AA39" s="58"/>
      <c r="AB39" s="58"/>
      <c r="AC39" s="58"/>
      <c r="AD39" s="58"/>
      <c r="AE39" s="58"/>
      <c r="AF39" s="41">
        <f t="shared" si="1"/>
        <v>465.10200035106391</v>
      </c>
    </row>
    <row r="40" spans="1:32" ht="15" customHeight="1">
      <c r="A40" s="3">
        <v>33</v>
      </c>
      <c r="B40" s="8" t="s">
        <v>58</v>
      </c>
      <c r="C40" s="23" t="s">
        <v>149</v>
      </c>
      <c r="D40" s="41">
        <f t="shared" ref="D40:D71" si="2">SUM(E40:J40)+SUM(L40:Q40)</f>
        <v>332.74284550455423</v>
      </c>
      <c r="E40" s="58"/>
      <c r="F40" s="58"/>
      <c r="G40" s="59">
        <v>98.887580787368123</v>
      </c>
      <c r="H40" s="59">
        <v>111.28494478701055</v>
      </c>
      <c r="I40" s="59">
        <v>53.564632649958135</v>
      </c>
      <c r="J40" s="45">
        <v>69.00568728021743</v>
      </c>
      <c r="K40" s="13"/>
      <c r="L40" s="58"/>
      <c r="M40" s="58"/>
      <c r="N40" s="58"/>
      <c r="O40" s="58"/>
      <c r="P40" s="58"/>
      <c r="Q40" s="45" t="s">
        <v>161</v>
      </c>
      <c r="R40" s="13"/>
      <c r="S40" s="58"/>
      <c r="T40" s="58"/>
      <c r="U40" s="59">
        <v>9.4799998831003904</v>
      </c>
      <c r="V40" s="59">
        <v>51.545999146997929</v>
      </c>
      <c r="W40" s="59">
        <v>62.468999445438385</v>
      </c>
      <c r="X40" s="59">
        <v>303.36100825667381</v>
      </c>
      <c r="Y40" s="27"/>
      <c r="Z40" s="58"/>
      <c r="AA40" s="58"/>
      <c r="AB40" s="58"/>
      <c r="AC40" s="58"/>
      <c r="AD40" s="58"/>
      <c r="AE40" s="58"/>
      <c r="AF40" s="41">
        <f t="shared" ref="AF40:AF71" si="3">SUM(S40:AE40)</f>
        <v>426.85600673221052</v>
      </c>
    </row>
    <row r="41" spans="1:32" ht="15" customHeight="1">
      <c r="A41" s="3">
        <v>34</v>
      </c>
      <c r="B41" s="8" t="s">
        <v>59</v>
      </c>
      <c r="C41" s="23" t="s">
        <v>158</v>
      </c>
      <c r="D41" s="41">
        <f t="shared" si="2"/>
        <v>7608.683553185876</v>
      </c>
      <c r="E41" s="59">
        <v>1357.5814495019913</v>
      </c>
      <c r="F41" s="59">
        <v>298.33926195335386</v>
      </c>
      <c r="G41" s="59">
        <v>172.28409969601034</v>
      </c>
      <c r="H41" s="59">
        <v>105.83329375766218</v>
      </c>
      <c r="I41" s="59">
        <v>76.552334374845032</v>
      </c>
      <c r="J41" s="45">
        <v>45.061466328150594</v>
      </c>
      <c r="K41" s="13"/>
      <c r="L41" s="59">
        <v>528.39107655453677</v>
      </c>
      <c r="M41" s="59">
        <v>849.56867652606968</v>
      </c>
      <c r="N41" s="59">
        <v>1824.0391010406688</v>
      </c>
      <c r="O41" s="59">
        <v>1171.762649895519</v>
      </c>
      <c r="P41" s="59">
        <v>647.98641370531914</v>
      </c>
      <c r="Q41" s="45">
        <v>531.28372985174951</v>
      </c>
      <c r="R41" s="13"/>
      <c r="S41" s="59">
        <v>27.51200008392334</v>
      </c>
      <c r="T41" s="59">
        <v>13.632000163197517</v>
      </c>
      <c r="U41" s="59">
        <v>27.394999668002129</v>
      </c>
      <c r="V41" s="59">
        <v>33.565000236034393</v>
      </c>
      <c r="W41" s="59">
        <v>52.033999353647232</v>
      </c>
      <c r="X41" s="59">
        <v>141.38100132346153</v>
      </c>
      <c r="Y41" s="27"/>
      <c r="Z41" s="59">
        <v>7.7489997744560242</v>
      </c>
      <c r="AA41" s="59">
        <v>13.763999938964844</v>
      </c>
      <c r="AB41" s="59">
        <v>55.6990000102669</v>
      </c>
      <c r="AC41" s="59">
        <v>76.926999814808369</v>
      </c>
      <c r="AD41" s="59">
        <v>102.63500015717</v>
      </c>
      <c r="AE41" s="59">
        <v>670.91002443432808</v>
      </c>
      <c r="AF41" s="41">
        <f t="shared" si="3"/>
        <v>1223.2030249582604</v>
      </c>
    </row>
    <row r="42" spans="1:32" ht="15" customHeight="1">
      <c r="A42" s="3">
        <v>35</v>
      </c>
      <c r="B42" s="8" t="s">
        <v>60</v>
      </c>
      <c r="C42" s="23" t="s">
        <v>149</v>
      </c>
      <c r="D42" s="41">
        <f t="shared" si="2"/>
        <v>379.94680016014911</v>
      </c>
      <c r="E42" s="58"/>
      <c r="F42" s="59">
        <v>17.242406304478646</v>
      </c>
      <c r="G42" s="59">
        <v>142.1286913923025</v>
      </c>
      <c r="H42" s="59">
        <v>101.48237364720926</v>
      </c>
      <c r="I42" s="59">
        <v>44.389351741056892</v>
      </c>
      <c r="J42" s="45">
        <v>74.70397707510179</v>
      </c>
      <c r="K42" s="13"/>
      <c r="L42" s="58"/>
      <c r="M42" s="58"/>
      <c r="N42" s="58"/>
      <c r="O42" s="58"/>
      <c r="P42" s="58"/>
      <c r="Q42" s="45" t="s">
        <v>161</v>
      </c>
      <c r="R42" s="13"/>
      <c r="S42" s="58"/>
      <c r="T42" s="59">
        <v>5.4230000972747803</v>
      </c>
      <c r="U42" s="59">
        <v>34.783000281080604</v>
      </c>
      <c r="V42" s="59">
        <v>44.822999529540539</v>
      </c>
      <c r="W42" s="59">
        <v>69.557000955566764</v>
      </c>
      <c r="X42" s="59">
        <v>394.97099884599447</v>
      </c>
      <c r="Y42" s="27"/>
      <c r="Z42" s="58"/>
      <c r="AA42" s="58"/>
      <c r="AB42" s="58"/>
      <c r="AC42" s="58"/>
      <c r="AD42" s="58"/>
      <c r="AE42" s="58"/>
      <c r="AF42" s="41">
        <f t="shared" si="3"/>
        <v>549.55699970945716</v>
      </c>
    </row>
    <row r="43" spans="1:32" ht="15" customHeight="1">
      <c r="A43" s="3">
        <v>36</v>
      </c>
      <c r="B43" s="8" t="s">
        <v>61</v>
      </c>
      <c r="C43" s="23" t="s">
        <v>149</v>
      </c>
      <c r="D43" s="41">
        <f t="shared" si="2"/>
        <v>1345.9837983848577</v>
      </c>
      <c r="E43" s="58"/>
      <c r="F43" s="59">
        <v>722.79613216447831</v>
      </c>
      <c r="G43" s="59">
        <v>61.093100086078046</v>
      </c>
      <c r="H43" s="59">
        <v>319.59847864939275</v>
      </c>
      <c r="I43" s="59">
        <v>112.60557364201546</v>
      </c>
      <c r="J43" s="45">
        <v>129.8905138428932</v>
      </c>
      <c r="K43" s="13"/>
      <c r="L43" s="58"/>
      <c r="M43" s="58"/>
      <c r="N43" s="58"/>
      <c r="O43" s="58"/>
      <c r="P43" s="58"/>
      <c r="Q43" s="45" t="s">
        <v>161</v>
      </c>
      <c r="R43" s="13"/>
      <c r="S43" s="58"/>
      <c r="T43" s="59">
        <v>52.379001009277999</v>
      </c>
      <c r="U43" s="59">
        <v>6.8069999627768993</v>
      </c>
      <c r="V43" s="59">
        <v>102.72899978607893</v>
      </c>
      <c r="W43" s="59">
        <v>113.11799943447113</v>
      </c>
      <c r="X43" s="59">
        <v>520.18299634754658</v>
      </c>
      <c r="Y43" s="27"/>
      <c r="Z43" s="58"/>
      <c r="AA43" s="58"/>
      <c r="AB43" s="58"/>
      <c r="AC43" s="58"/>
      <c r="AD43" s="58"/>
      <c r="AE43" s="58"/>
      <c r="AF43" s="41">
        <f t="shared" si="3"/>
        <v>795.21599654015154</v>
      </c>
    </row>
    <row r="44" spans="1:32" ht="15" customHeight="1">
      <c r="A44" s="3">
        <v>37</v>
      </c>
      <c r="B44" s="8" t="s">
        <v>62</v>
      </c>
      <c r="C44" s="23" t="s">
        <v>150</v>
      </c>
      <c r="D44" s="41">
        <f t="shared" si="2"/>
        <v>1514.0154915939861</v>
      </c>
      <c r="E44" s="59">
        <v>500.02679786682131</v>
      </c>
      <c r="F44" s="59">
        <v>103.8176377799511</v>
      </c>
      <c r="G44" s="59">
        <v>142.25269371408223</v>
      </c>
      <c r="H44" s="59">
        <v>0.14094400027394294</v>
      </c>
      <c r="I44" s="59">
        <v>62.354560154400765</v>
      </c>
      <c r="J44" s="45">
        <v>43.172734062654754</v>
      </c>
      <c r="K44" s="13"/>
      <c r="L44" s="58"/>
      <c r="M44" s="58"/>
      <c r="N44" s="59">
        <v>343.7631078121662</v>
      </c>
      <c r="O44" s="59">
        <v>171.23464897756278</v>
      </c>
      <c r="P44" s="59">
        <v>62.83000338367745</v>
      </c>
      <c r="Q44" s="45">
        <v>84.422363842395626</v>
      </c>
      <c r="R44" s="13"/>
      <c r="S44" s="59">
        <v>13.127999901771545</v>
      </c>
      <c r="T44" s="59">
        <v>5.2500000298023224</v>
      </c>
      <c r="U44" s="59">
        <v>35.811000555753708</v>
      </c>
      <c r="V44" s="59">
        <v>0.18400000035762787</v>
      </c>
      <c r="W44" s="59">
        <v>73.532000415027142</v>
      </c>
      <c r="X44" s="59">
        <v>191.11600139539223</v>
      </c>
      <c r="Y44" s="27"/>
      <c r="Z44" s="58"/>
      <c r="AA44" s="58"/>
      <c r="AB44" s="59">
        <v>16.539000026881695</v>
      </c>
      <c r="AC44" s="59">
        <v>16.59000002592802</v>
      </c>
      <c r="AD44" s="59">
        <v>16.620000077411532</v>
      </c>
      <c r="AE44" s="59">
        <v>146.87899616546929</v>
      </c>
      <c r="AF44" s="41">
        <f t="shared" si="3"/>
        <v>515.64899859379511</v>
      </c>
    </row>
    <row r="45" spans="1:32" ht="15" customHeight="1">
      <c r="A45" s="3">
        <v>38</v>
      </c>
      <c r="B45" s="8" t="s">
        <v>63</v>
      </c>
      <c r="C45" s="23" t="s">
        <v>149</v>
      </c>
      <c r="D45" s="41">
        <f t="shared" si="2"/>
        <v>192.07682519278239</v>
      </c>
      <c r="E45" s="58"/>
      <c r="F45" s="59">
        <v>37.646676158100369</v>
      </c>
      <c r="G45" s="59">
        <v>21.600188370108604</v>
      </c>
      <c r="H45" s="59">
        <v>75.002857843101026</v>
      </c>
      <c r="I45" s="59">
        <v>24.937952079683541</v>
      </c>
      <c r="J45" s="45">
        <v>32.889150741788853</v>
      </c>
      <c r="K45" s="13"/>
      <c r="L45" s="58"/>
      <c r="M45" s="58"/>
      <c r="N45" s="58"/>
      <c r="O45" s="58"/>
      <c r="P45" s="58"/>
      <c r="Q45" s="45" t="s">
        <v>161</v>
      </c>
      <c r="R45" s="13"/>
      <c r="S45" s="58"/>
      <c r="T45" s="59">
        <v>8.1159998625516891</v>
      </c>
      <c r="U45" s="59">
        <v>25.109000325202942</v>
      </c>
      <c r="V45" s="59">
        <v>41.117999840527773</v>
      </c>
      <c r="W45" s="59">
        <v>55.656999811530113</v>
      </c>
      <c r="X45" s="59">
        <v>216.89099691994488</v>
      </c>
      <c r="Y45" s="27"/>
      <c r="Z45" s="58"/>
      <c r="AA45" s="58"/>
      <c r="AB45" s="58"/>
      <c r="AC45" s="58"/>
      <c r="AD45" s="58"/>
      <c r="AE45" s="58"/>
      <c r="AF45" s="41">
        <f t="shared" si="3"/>
        <v>346.8909967597574</v>
      </c>
    </row>
    <row r="46" spans="1:32" ht="15" customHeight="1">
      <c r="A46" s="3">
        <v>39</v>
      </c>
      <c r="B46" s="8" t="s">
        <v>64</v>
      </c>
      <c r="C46" s="23" t="s">
        <v>149</v>
      </c>
      <c r="D46" s="41">
        <f t="shared" si="2"/>
        <v>662.64025744138905</v>
      </c>
      <c r="E46" s="59">
        <v>480.54442138671874</v>
      </c>
      <c r="F46" s="59">
        <v>5.7177558992803093</v>
      </c>
      <c r="G46" s="58"/>
      <c r="H46" s="59">
        <v>134.91430113708972</v>
      </c>
      <c r="I46" s="59">
        <v>18.949002142906188</v>
      </c>
      <c r="J46" s="45">
        <v>22.514776875394119</v>
      </c>
      <c r="K46" s="13"/>
      <c r="L46" s="58"/>
      <c r="M46" s="58"/>
      <c r="N46" s="58"/>
      <c r="O46" s="58"/>
      <c r="P46" s="58"/>
      <c r="Q46" s="45" t="s">
        <v>161</v>
      </c>
      <c r="R46" s="13"/>
      <c r="S46" s="59">
        <v>16.457000732421875</v>
      </c>
      <c r="T46" s="59">
        <v>2.0849999636411667</v>
      </c>
      <c r="U46" s="58"/>
      <c r="V46" s="59">
        <v>46.729999460279942</v>
      </c>
      <c r="W46" s="59">
        <v>23.944000139832497</v>
      </c>
      <c r="X46" s="59">
        <v>104.06400112807751</v>
      </c>
      <c r="Y46" s="27"/>
      <c r="Z46" s="58"/>
      <c r="AA46" s="58"/>
      <c r="AB46" s="58"/>
      <c r="AC46" s="58"/>
      <c r="AD46" s="58"/>
      <c r="AE46" s="58"/>
      <c r="AF46" s="41">
        <f t="shared" si="3"/>
        <v>193.28000142425299</v>
      </c>
    </row>
    <row r="47" spans="1:32" ht="15" customHeight="1">
      <c r="A47" s="3">
        <v>40</v>
      </c>
      <c r="B47" s="8" t="s">
        <v>65</v>
      </c>
      <c r="C47" s="23" t="s">
        <v>149</v>
      </c>
      <c r="D47" s="41">
        <f t="shared" si="2"/>
        <v>401.58774855649847</v>
      </c>
      <c r="E47" s="58"/>
      <c r="F47" s="59">
        <v>227.49544963992386</v>
      </c>
      <c r="G47" s="59">
        <v>72.214573009289808</v>
      </c>
      <c r="H47" s="59">
        <v>16.563060180544852</v>
      </c>
      <c r="I47" s="59">
        <v>39.14713548642397</v>
      </c>
      <c r="J47" s="45">
        <v>46.167530240315926</v>
      </c>
      <c r="K47" s="13"/>
      <c r="L47" s="58"/>
      <c r="M47" s="58"/>
      <c r="N47" s="58"/>
      <c r="O47" s="58"/>
      <c r="P47" s="58"/>
      <c r="Q47" s="45" t="s">
        <v>161</v>
      </c>
      <c r="R47" s="13"/>
      <c r="S47" s="58"/>
      <c r="T47" s="59">
        <v>18.027000268921256</v>
      </c>
      <c r="U47" s="59">
        <v>27.866999980062246</v>
      </c>
      <c r="V47" s="59">
        <v>8.2230000793933868</v>
      </c>
      <c r="W47" s="59">
        <v>64.980000913143158</v>
      </c>
      <c r="X47" s="59">
        <v>253.03999638557434</v>
      </c>
      <c r="Y47" s="27"/>
      <c r="Z47" s="58"/>
      <c r="AA47" s="58"/>
      <c r="AB47" s="58"/>
      <c r="AC47" s="58"/>
      <c r="AD47" s="58"/>
      <c r="AE47" s="58"/>
      <c r="AF47" s="41">
        <f t="shared" si="3"/>
        <v>372.13699762709439</v>
      </c>
    </row>
    <row r="48" spans="1:32" ht="15" customHeight="1">
      <c r="A48" s="3">
        <v>41</v>
      </c>
      <c r="B48" s="8" t="s">
        <v>66</v>
      </c>
      <c r="C48" s="23" t="s">
        <v>149</v>
      </c>
      <c r="D48" s="41">
        <f t="shared" si="2"/>
        <v>1283.4174157523614</v>
      </c>
      <c r="E48" s="59">
        <v>932.41234739685058</v>
      </c>
      <c r="F48" s="58"/>
      <c r="G48" s="59">
        <v>84.32668850794434</v>
      </c>
      <c r="H48" s="59">
        <v>140.34304522598535</v>
      </c>
      <c r="I48" s="59">
        <v>46.071952682852746</v>
      </c>
      <c r="J48" s="45">
        <v>80.263381938728415</v>
      </c>
      <c r="K48" s="13"/>
      <c r="L48" s="58"/>
      <c r="M48" s="58"/>
      <c r="N48" s="58"/>
      <c r="O48" s="58"/>
      <c r="P48" s="58"/>
      <c r="Q48" s="45" t="s">
        <v>161</v>
      </c>
      <c r="R48" s="13"/>
      <c r="S48" s="59">
        <v>23.023999691009521</v>
      </c>
      <c r="T48" s="58"/>
      <c r="U48" s="59">
        <v>21.800999794155359</v>
      </c>
      <c r="V48" s="59">
        <v>61.490000773221254</v>
      </c>
      <c r="W48" s="59">
        <v>44.121999621391296</v>
      </c>
      <c r="X48" s="59">
        <v>311.98199753463268</v>
      </c>
      <c r="Y48" s="27"/>
      <c r="Z48" s="58"/>
      <c r="AA48" s="58"/>
      <c r="AB48" s="58"/>
      <c r="AC48" s="58"/>
      <c r="AD48" s="58"/>
      <c r="AE48" s="58"/>
      <c r="AF48" s="41">
        <f t="shared" si="3"/>
        <v>462.41899741441011</v>
      </c>
    </row>
    <row r="49" spans="1:32" ht="15" customHeight="1">
      <c r="A49" s="3">
        <v>42</v>
      </c>
      <c r="B49" s="8" t="s">
        <v>67</v>
      </c>
      <c r="C49" s="23" t="s">
        <v>150</v>
      </c>
      <c r="D49" s="41">
        <f t="shared" si="2"/>
        <v>1111.2300349481543</v>
      </c>
      <c r="E49" s="58"/>
      <c r="F49" s="59">
        <v>353.83176641380788</v>
      </c>
      <c r="G49" s="59">
        <v>48.889129610538482</v>
      </c>
      <c r="H49" s="59">
        <v>194.64309164154528</v>
      </c>
      <c r="I49" s="59">
        <v>107.11111688501389</v>
      </c>
      <c r="J49" s="45">
        <v>130.59191103657363</v>
      </c>
      <c r="K49" s="13"/>
      <c r="L49" s="58"/>
      <c r="M49" s="59">
        <v>47.952862619280815</v>
      </c>
      <c r="N49" s="59">
        <v>100.70991328185052</v>
      </c>
      <c r="O49" s="59">
        <v>68.901238179191949</v>
      </c>
      <c r="P49" s="59">
        <v>20.639279353797434</v>
      </c>
      <c r="Q49" s="45">
        <v>37.959725926554476</v>
      </c>
      <c r="R49" s="13"/>
      <c r="S49" s="58"/>
      <c r="T49" s="59">
        <v>43.174000084400177</v>
      </c>
      <c r="U49" s="59">
        <v>18.410999894142151</v>
      </c>
      <c r="V49" s="59">
        <v>107.66199983656406</v>
      </c>
      <c r="W49" s="59">
        <v>182.10499975830317</v>
      </c>
      <c r="X49" s="59">
        <v>726.55998333916068</v>
      </c>
      <c r="Y49" s="27"/>
      <c r="Z49" s="58"/>
      <c r="AA49" s="59">
        <v>3.4569998979568481</v>
      </c>
      <c r="AB49" s="59">
        <v>11.037000047042966</v>
      </c>
      <c r="AC49" s="59">
        <v>11.47199990414083</v>
      </c>
      <c r="AD49" s="59">
        <v>7.351000115275383</v>
      </c>
      <c r="AE49" s="59">
        <v>79.531998217105865</v>
      </c>
      <c r="AF49" s="41">
        <f t="shared" si="3"/>
        <v>1190.7609810940921</v>
      </c>
    </row>
    <row r="50" spans="1:32" ht="15" customHeight="1">
      <c r="A50" s="3">
        <v>43</v>
      </c>
      <c r="B50" s="8" t="s">
        <v>68</v>
      </c>
      <c r="C50" s="23" t="s">
        <v>149</v>
      </c>
      <c r="D50" s="41">
        <f t="shared" si="2"/>
        <v>835.27885813112357</v>
      </c>
      <c r="E50" s="58"/>
      <c r="F50" s="59">
        <v>264.52729459249974</v>
      </c>
      <c r="G50" s="59">
        <v>46.847291290283202</v>
      </c>
      <c r="H50" s="59">
        <v>196.13837514293195</v>
      </c>
      <c r="I50" s="59">
        <v>57.04173209357262</v>
      </c>
      <c r="J50" s="45">
        <v>111.97899756240665</v>
      </c>
      <c r="K50" s="13"/>
      <c r="L50" s="58"/>
      <c r="M50" s="58"/>
      <c r="N50" s="58"/>
      <c r="O50" s="59">
        <v>126.10239271956682</v>
      </c>
      <c r="P50" s="59">
        <v>11.906770639896394</v>
      </c>
      <c r="Q50" s="45">
        <v>20.736004089966158</v>
      </c>
      <c r="R50" s="13"/>
      <c r="S50" s="58"/>
      <c r="T50" s="59">
        <v>31.215999782085419</v>
      </c>
      <c r="U50" s="59">
        <v>17.666999816894531</v>
      </c>
      <c r="V50" s="59">
        <v>112.62299838289618</v>
      </c>
      <c r="W50" s="59">
        <v>98.856000304222107</v>
      </c>
      <c r="X50" s="59">
        <v>630.51001390814781</v>
      </c>
      <c r="Y50" s="27"/>
      <c r="Z50" s="58"/>
      <c r="AA50" s="58"/>
      <c r="AB50" s="58"/>
      <c r="AC50" s="59">
        <v>14.720000065863132</v>
      </c>
      <c r="AD50" s="59">
        <v>4.6119998693466187</v>
      </c>
      <c r="AE50" s="59">
        <v>45.783999800682068</v>
      </c>
      <c r="AF50" s="41">
        <f t="shared" si="3"/>
        <v>955.98801193013787</v>
      </c>
    </row>
    <row r="51" spans="1:32" ht="15" customHeight="1">
      <c r="A51" s="3">
        <v>44</v>
      </c>
      <c r="B51" s="8" t="s">
        <v>69</v>
      </c>
      <c r="C51" s="23" t="s">
        <v>149</v>
      </c>
      <c r="D51" s="41">
        <f t="shared" si="2"/>
        <v>254.61793026792131</v>
      </c>
      <c r="E51" s="58"/>
      <c r="F51" s="59">
        <v>3.2025000000000001</v>
      </c>
      <c r="G51" s="59">
        <v>115.51494047924876</v>
      </c>
      <c r="H51" s="59">
        <v>54.874147442460057</v>
      </c>
      <c r="I51" s="59">
        <v>24.110742882907392</v>
      </c>
      <c r="J51" s="45">
        <v>56.915599463305085</v>
      </c>
      <c r="K51" s="13"/>
      <c r="L51" s="58"/>
      <c r="M51" s="58"/>
      <c r="N51" s="58"/>
      <c r="O51" s="58"/>
      <c r="P51" s="58"/>
      <c r="Q51" s="45" t="s">
        <v>161</v>
      </c>
      <c r="R51" s="13"/>
      <c r="S51" s="58"/>
      <c r="T51" s="59">
        <v>0.75</v>
      </c>
      <c r="U51" s="59">
        <v>30.800999660044909</v>
      </c>
      <c r="V51" s="59">
        <v>32.70900022983551</v>
      </c>
      <c r="W51" s="59">
        <v>65.6869997382164</v>
      </c>
      <c r="X51" s="59">
        <v>425.14198962971568</v>
      </c>
      <c r="Y51" s="27"/>
      <c r="Z51" s="58"/>
      <c r="AA51" s="58"/>
      <c r="AB51" s="58"/>
      <c r="AC51" s="58"/>
      <c r="AD51" s="58"/>
      <c r="AE51" s="58"/>
      <c r="AF51" s="41">
        <f t="shared" si="3"/>
        <v>555.0889892578125</v>
      </c>
    </row>
    <row r="52" spans="1:32" ht="15" customHeight="1">
      <c r="A52" s="3">
        <v>45</v>
      </c>
      <c r="B52" s="8" t="s">
        <v>70</v>
      </c>
      <c r="C52" s="23" t="s">
        <v>151</v>
      </c>
      <c r="D52" s="41">
        <f>SUM(E52:J52)+SUM(L52:Q52)</f>
        <v>923.40010688045777</v>
      </c>
      <c r="E52" s="58"/>
      <c r="F52" s="59">
        <v>255.54561219613626</v>
      </c>
      <c r="G52" s="59">
        <v>19.919999554753304</v>
      </c>
      <c r="H52" s="59">
        <v>98.323147433131936</v>
      </c>
      <c r="I52" s="59">
        <v>44.303334992855788</v>
      </c>
      <c r="J52" s="45">
        <v>89.113429763685474</v>
      </c>
      <c r="K52" s="13"/>
      <c r="L52" s="58"/>
      <c r="M52" s="58"/>
      <c r="N52" s="59">
        <v>211.10852950611709</v>
      </c>
      <c r="O52" s="59">
        <v>88.338763956345616</v>
      </c>
      <c r="P52" s="59">
        <v>42.382012466795743</v>
      </c>
      <c r="Q52" s="45">
        <v>74.365277010636575</v>
      </c>
      <c r="R52" s="13"/>
      <c r="S52" s="58"/>
      <c r="T52" s="59">
        <v>44.541999600827694</v>
      </c>
      <c r="U52" s="59">
        <v>1.9999999552965164</v>
      </c>
      <c r="V52" s="59">
        <v>59.632999531924725</v>
      </c>
      <c r="W52" s="59">
        <v>73.925999619066715</v>
      </c>
      <c r="X52" s="59">
        <v>490.02800079248846</v>
      </c>
      <c r="Y52" s="27"/>
      <c r="Z52" s="58"/>
      <c r="AA52" s="58"/>
      <c r="AB52" s="59">
        <v>11.734000131487846</v>
      </c>
      <c r="AC52" s="59">
        <v>10.569999974220991</v>
      </c>
      <c r="AD52" s="59">
        <v>13.217999886721373</v>
      </c>
      <c r="AE52" s="59">
        <v>143.40299688652158</v>
      </c>
      <c r="AF52" s="41">
        <f t="shared" si="3"/>
        <v>849.05399637855589</v>
      </c>
    </row>
    <row r="53" spans="1:32" ht="15" customHeight="1">
      <c r="A53" s="3">
        <v>46</v>
      </c>
      <c r="B53" s="8" t="s">
        <v>71</v>
      </c>
      <c r="C53" s="23" t="s">
        <v>149</v>
      </c>
      <c r="D53" s="41">
        <f t="shared" si="2"/>
        <v>245.56710243279028</v>
      </c>
      <c r="E53" s="58"/>
      <c r="F53" s="59">
        <v>145.95344797079264</v>
      </c>
      <c r="G53" s="58"/>
      <c r="H53" s="59">
        <v>30.989237983226776</v>
      </c>
      <c r="I53" s="59">
        <v>26.679751887798311</v>
      </c>
      <c r="J53" s="45">
        <v>41.944664590972529</v>
      </c>
      <c r="K53" s="13"/>
      <c r="L53" s="58"/>
      <c r="M53" s="58"/>
      <c r="N53" s="58"/>
      <c r="O53" s="58"/>
      <c r="P53" s="58"/>
      <c r="Q53" s="45" t="s">
        <v>161</v>
      </c>
      <c r="R53" s="13"/>
      <c r="S53" s="58"/>
      <c r="T53" s="59">
        <v>18.752999871969223</v>
      </c>
      <c r="U53" s="58"/>
      <c r="V53" s="59">
        <v>17.431999921798706</v>
      </c>
      <c r="W53" s="59">
        <v>52.851999878883362</v>
      </c>
      <c r="X53" s="59">
        <v>256.75200455635786</v>
      </c>
      <c r="Y53" s="27"/>
      <c r="Z53" s="58"/>
      <c r="AA53" s="58"/>
      <c r="AB53" s="58"/>
      <c r="AC53" s="58"/>
      <c r="AD53" s="58"/>
      <c r="AE53" s="58"/>
      <c r="AF53" s="41">
        <f t="shared" si="3"/>
        <v>345.78900422900915</v>
      </c>
    </row>
    <row r="54" spans="1:32" ht="15" customHeight="1">
      <c r="A54" s="3">
        <v>47</v>
      </c>
      <c r="B54" s="8" t="s">
        <v>72</v>
      </c>
      <c r="C54" s="23" t="s">
        <v>150</v>
      </c>
      <c r="D54" s="41">
        <f t="shared" si="2"/>
        <v>3483.6998566030247</v>
      </c>
      <c r="E54" s="59">
        <v>874.05134321498872</v>
      </c>
      <c r="F54" s="59">
        <v>396.61099624872207</v>
      </c>
      <c r="G54" s="59">
        <v>55.629973737716675</v>
      </c>
      <c r="H54" s="59">
        <v>247.18592157904803</v>
      </c>
      <c r="I54" s="59">
        <v>130.1022513357438</v>
      </c>
      <c r="J54" s="45">
        <v>178.91516680032689</v>
      </c>
      <c r="K54" s="13"/>
      <c r="L54" s="59">
        <v>161.19162670063972</v>
      </c>
      <c r="M54" s="59">
        <v>23.000999081134797</v>
      </c>
      <c r="N54" s="59">
        <v>566.62349714374545</v>
      </c>
      <c r="O54" s="59">
        <v>534.96343840934151</v>
      </c>
      <c r="P54" s="59">
        <v>118.03431572109088</v>
      </c>
      <c r="Q54" s="45">
        <v>197.39032663052598</v>
      </c>
      <c r="R54" s="13"/>
      <c r="S54" s="59">
        <v>21.571000099182129</v>
      </c>
      <c r="T54" s="59">
        <v>37.89100044965744</v>
      </c>
      <c r="U54" s="59">
        <v>9.7049999237060547</v>
      </c>
      <c r="V54" s="59">
        <v>83.937000408768654</v>
      </c>
      <c r="W54" s="59">
        <v>111.02600037865341</v>
      </c>
      <c r="X54" s="59">
        <v>647.09802657365799</v>
      </c>
      <c r="Y54" s="27"/>
      <c r="Z54" s="59">
        <v>3.0759999752044678</v>
      </c>
      <c r="AA54" s="59">
        <v>0.97999995946884155</v>
      </c>
      <c r="AB54" s="59">
        <v>24.064999878406525</v>
      </c>
      <c r="AC54" s="59">
        <v>51.017999954055995</v>
      </c>
      <c r="AD54" s="59">
        <v>35.24699985422194</v>
      </c>
      <c r="AE54" s="59">
        <v>370.44499407708645</v>
      </c>
      <c r="AF54" s="41">
        <f t="shared" si="3"/>
        <v>1396.0590215320699</v>
      </c>
    </row>
    <row r="55" spans="1:32" ht="15" customHeight="1">
      <c r="A55" s="3">
        <v>48</v>
      </c>
      <c r="B55" s="8" t="s">
        <v>73</v>
      </c>
      <c r="C55" s="23" t="s">
        <v>149</v>
      </c>
      <c r="D55" s="41">
        <f t="shared" si="2"/>
        <v>741.27805098218892</v>
      </c>
      <c r="E55" s="58"/>
      <c r="F55" s="59">
        <v>229.78776341725887</v>
      </c>
      <c r="G55" s="59">
        <v>165.82149200056494</v>
      </c>
      <c r="H55" s="59">
        <v>137.98935958000646</v>
      </c>
      <c r="I55" s="59">
        <v>97.397770144283768</v>
      </c>
      <c r="J55" s="45">
        <v>110.28166584007491</v>
      </c>
      <c r="K55" s="13"/>
      <c r="L55" s="58"/>
      <c r="M55" s="58"/>
      <c r="N55" s="58"/>
      <c r="O55" s="58"/>
      <c r="P55" s="58"/>
      <c r="Q55" s="45" t="s">
        <v>161</v>
      </c>
      <c r="R55" s="13"/>
      <c r="S55" s="58"/>
      <c r="T55" s="59">
        <v>39.181999124586582</v>
      </c>
      <c r="U55" s="59">
        <v>38.640999659895897</v>
      </c>
      <c r="V55" s="59">
        <v>59.861001882702112</v>
      </c>
      <c r="W55" s="59">
        <v>76.63800098747015</v>
      </c>
      <c r="X55" s="59">
        <v>379.14499608427286</v>
      </c>
      <c r="Y55" s="27"/>
      <c r="Z55" s="58"/>
      <c r="AA55" s="58"/>
      <c r="AB55" s="58"/>
      <c r="AC55" s="58"/>
      <c r="AD55" s="58"/>
      <c r="AE55" s="58"/>
      <c r="AF55" s="41">
        <f t="shared" si="3"/>
        <v>593.4669977389276</v>
      </c>
    </row>
    <row r="56" spans="1:32" ht="15" customHeight="1">
      <c r="A56" s="3">
        <v>49</v>
      </c>
      <c r="B56" s="8" t="s">
        <v>74</v>
      </c>
      <c r="C56" s="23" t="s">
        <v>150</v>
      </c>
      <c r="D56" s="41">
        <f t="shared" si="2"/>
        <v>367.64121831712174</v>
      </c>
      <c r="E56" s="58"/>
      <c r="F56" s="59">
        <v>60.567577745839955</v>
      </c>
      <c r="G56" s="59">
        <v>57.003500944375993</v>
      </c>
      <c r="H56" s="59">
        <v>70.7063295494318</v>
      </c>
      <c r="I56" s="59">
        <v>41.629387741625308</v>
      </c>
      <c r="J56" s="45">
        <v>57.591714559591679</v>
      </c>
      <c r="K56" s="13"/>
      <c r="L56" s="58"/>
      <c r="M56" s="58"/>
      <c r="N56" s="59">
        <v>28.298192813217639</v>
      </c>
      <c r="O56" s="59">
        <v>19.178275775339454</v>
      </c>
      <c r="P56" s="59">
        <v>18.152970215082167</v>
      </c>
      <c r="Q56" s="45">
        <v>14.513268972617796</v>
      </c>
      <c r="R56" s="13"/>
      <c r="S56" s="58"/>
      <c r="T56" s="59">
        <v>16.966999605298042</v>
      </c>
      <c r="U56" s="59">
        <v>9.16100013256073</v>
      </c>
      <c r="V56" s="59">
        <v>39.180000469088554</v>
      </c>
      <c r="W56" s="59">
        <v>71.814999520778656</v>
      </c>
      <c r="X56" s="59">
        <v>323.34699200186878</v>
      </c>
      <c r="Y56" s="27"/>
      <c r="Z56" s="58"/>
      <c r="AA56" s="58"/>
      <c r="AB56" s="59">
        <v>2.4490000531077385</v>
      </c>
      <c r="AC56" s="59">
        <v>3.411999961361289</v>
      </c>
      <c r="AD56" s="59">
        <v>6.2310000583529472</v>
      </c>
      <c r="AE56" s="59">
        <v>29.714000642299652</v>
      </c>
      <c r="AF56" s="41">
        <f t="shared" si="3"/>
        <v>502.27599244471639</v>
      </c>
    </row>
    <row r="57" spans="1:32" ht="15" customHeight="1">
      <c r="A57" s="3">
        <v>50</v>
      </c>
      <c r="B57" s="8" t="s">
        <v>75</v>
      </c>
      <c r="C57" s="23" t="s">
        <v>149</v>
      </c>
      <c r="D57" s="41">
        <f t="shared" si="2"/>
        <v>1077.3513524131292</v>
      </c>
      <c r="E57" s="59">
        <v>708.67606027698514</v>
      </c>
      <c r="F57" s="58"/>
      <c r="G57" s="58"/>
      <c r="H57" s="59">
        <v>243.28515920681505</v>
      </c>
      <c r="I57" s="59">
        <v>50.176182887032631</v>
      </c>
      <c r="J57" s="45">
        <v>75.213950042296375</v>
      </c>
      <c r="K57" s="13"/>
      <c r="L57" s="58"/>
      <c r="M57" s="58"/>
      <c r="N57" s="58"/>
      <c r="O57" s="58"/>
      <c r="P57" s="58"/>
      <c r="Q57" s="45" t="s">
        <v>161</v>
      </c>
      <c r="R57" s="13"/>
      <c r="S57" s="59">
        <v>20.665999889373779</v>
      </c>
      <c r="T57" s="58"/>
      <c r="U57" s="58"/>
      <c r="V57" s="59">
        <v>113.73399945348501</v>
      </c>
      <c r="W57" s="59">
        <v>112.01800023019314</v>
      </c>
      <c r="X57" s="59">
        <v>496.10000366717577</v>
      </c>
      <c r="Y57" s="27"/>
      <c r="Z57" s="58"/>
      <c r="AA57" s="58"/>
      <c r="AB57" s="58"/>
      <c r="AC57" s="58"/>
      <c r="AD57" s="58"/>
      <c r="AE57" s="58"/>
      <c r="AF57" s="41">
        <f t="shared" si="3"/>
        <v>742.5180032402277</v>
      </c>
    </row>
    <row r="58" spans="1:32" ht="15" customHeight="1">
      <c r="A58" s="3">
        <v>51</v>
      </c>
      <c r="B58" s="8" t="s">
        <v>76</v>
      </c>
      <c r="C58" s="23" t="s">
        <v>151</v>
      </c>
      <c r="D58" s="41">
        <f t="shared" si="2"/>
        <v>1440.1256346951468</v>
      </c>
      <c r="E58" s="58"/>
      <c r="F58" s="59">
        <v>328.49187837719916</v>
      </c>
      <c r="G58" s="59">
        <v>115.55400879248977</v>
      </c>
      <c r="H58" s="59">
        <v>91.771733441114421</v>
      </c>
      <c r="I58" s="59">
        <v>52.94443942320347</v>
      </c>
      <c r="J58" s="45">
        <v>96.236569824342368</v>
      </c>
      <c r="K58" s="13"/>
      <c r="L58" s="58"/>
      <c r="M58" s="59">
        <v>115.28519879049063</v>
      </c>
      <c r="N58" s="59">
        <v>435.26905271592739</v>
      </c>
      <c r="O58" s="59">
        <v>107.12275503358245</v>
      </c>
      <c r="P58" s="59">
        <v>37.514980221062899</v>
      </c>
      <c r="Q58" s="45">
        <v>59.935018075734178</v>
      </c>
      <c r="R58" s="13"/>
      <c r="S58" s="58"/>
      <c r="T58" s="59">
        <v>34.059000372886658</v>
      </c>
      <c r="U58" s="59">
        <v>24.018999978899956</v>
      </c>
      <c r="V58" s="59">
        <v>29.076000034809113</v>
      </c>
      <c r="W58" s="59">
        <v>77.497999310493469</v>
      </c>
      <c r="X58" s="59">
        <v>487.6099903061986</v>
      </c>
      <c r="Y58" s="27"/>
      <c r="Z58" s="58"/>
      <c r="AA58" s="59">
        <v>4.4480001181364059</v>
      </c>
      <c r="AB58" s="59">
        <v>21.827999845147133</v>
      </c>
      <c r="AC58" s="59">
        <v>18.384999834001064</v>
      </c>
      <c r="AD58" s="59">
        <v>14.043000087141991</v>
      </c>
      <c r="AE58" s="59">
        <v>129.53800187259912</v>
      </c>
      <c r="AF58" s="41">
        <f t="shared" si="3"/>
        <v>840.50399176031351</v>
      </c>
    </row>
    <row r="59" spans="1:32" ht="15" customHeight="1">
      <c r="A59" s="3">
        <v>52</v>
      </c>
      <c r="B59" s="8" t="s">
        <v>77</v>
      </c>
      <c r="C59" s="23" t="s">
        <v>149</v>
      </c>
      <c r="D59" s="41">
        <f t="shared" si="2"/>
        <v>764.40929211390471</v>
      </c>
      <c r="E59" s="59">
        <v>464.42500175762177</v>
      </c>
      <c r="F59" s="58"/>
      <c r="G59" s="59">
        <v>97.764638906259094</v>
      </c>
      <c r="H59" s="59">
        <v>104.54058903509379</v>
      </c>
      <c r="I59" s="59">
        <v>52.629666641056538</v>
      </c>
      <c r="J59" s="45">
        <v>45.049395773873471</v>
      </c>
      <c r="K59" s="13"/>
      <c r="L59" s="58"/>
      <c r="M59" s="58"/>
      <c r="N59" s="58"/>
      <c r="O59" s="58"/>
      <c r="P59" s="58"/>
      <c r="Q59" s="45" t="s">
        <v>161</v>
      </c>
      <c r="R59" s="13"/>
      <c r="S59" s="59">
        <v>13.358999967575073</v>
      </c>
      <c r="T59" s="58"/>
      <c r="U59" s="59">
        <v>29.564999936148524</v>
      </c>
      <c r="V59" s="59">
        <v>51.885000616312027</v>
      </c>
      <c r="W59" s="59">
        <v>98.241999551653862</v>
      </c>
      <c r="X59" s="59">
        <v>265.70399513840675</v>
      </c>
      <c r="Y59" s="27"/>
      <c r="Z59" s="58"/>
      <c r="AA59" s="58"/>
      <c r="AB59" s="58"/>
      <c r="AC59" s="58"/>
      <c r="AD59" s="58"/>
      <c r="AE59" s="58"/>
      <c r="AF59" s="41">
        <f t="shared" si="3"/>
        <v>458.75499521009624</v>
      </c>
    </row>
    <row r="60" spans="1:32" ht="15" customHeight="1">
      <c r="A60" s="3">
        <v>53</v>
      </c>
      <c r="B60" s="8" t="s">
        <v>78</v>
      </c>
      <c r="C60" s="23" t="s">
        <v>149</v>
      </c>
      <c r="D60" s="41">
        <f t="shared" si="2"/>
        <v>172.3500800455927</v>
      </c>
      <c r="E60" s="58"/>
      <c r="F60" s="59">
        <v>73.045268560849124</v>
      </c>
      <c r="G60" s="59">
        <v>7.6430229264497758</v>
      </c>
      <c r="H60" s="59">
        <v>49.349368429936469</v>
      </c>
      <c r="I60" s="59">
        <v>12.418647131450474</v>
      </c>
      <c r="J60" s="45">
        <v>29.893772996906836</v>
      </c>
      <c r="K60" s="13"/>
      <c r="L60" s="58"/>
      <c r="M60" s="58"/>
      <c r="N60" s="58"/>
      <c r="O60" s="58"/>
      <c r="P60" s="58"/>
      <c r="Q60" s="45" t="s">
        <v>161</v>
      </c>
      <c r="R60" s="13"/>
      <c r="S60" s="58"/>
      <c r="T60" s="59">
        <v>20.013000655919313</v>
      </c>
      <c r="U60" s="59">
        <v>18.376999661326408</v>
      </c>
      <c r="V60" s="59">
        <v>46.561000388115644</v>
      </c>
      <c r="W60" s="59">
        <v>48.85600058734417</v>
      </c>
      <c r="X60" s="59">
        <v>280.92199763655663</v>
      </c>
      <c r="Y60" s="27"/>
      <c r="Z60" s="58"/>
      <c r="AA60" s="58"/>
      <c r="AB60" s="58"/>
      <c r="AC60" s="58"/>
      <c r="AD60" s="58"/>
      <c r="AE60" s="58"/>
      <c r="AF60" s="41">
        <f t="shared" si="3"/>
        <v>414.72899892926216</v>
      </c>
    </row>
    <row r="61" spans="1:32" ht="15" customHeight="1">
      <c r="A61" s="3">
        <v>54</v>
      </c>
      <c r="B61" s="8" t="s">
        <v>79</v>
      </c>
      <c r="C61" s="23" t="s">
        <v>150</v>
      </c>
      <c r="D61" s="41">
        <f t="shared" si="2"/>
        <v>1634.6009388822613</v>
      </c>
      <c r="E61" s="58"/>
      <c r="F61" s="59">
        <v>613.58641244661806</v>
      </c>
      <c r="G61" s="59">
        <v>88.739673655107623</v>
      </c>
      <c r="H61" s="59">
        <v>255.10402077594026</v>
      </c>
      <c r="I61" s="59">
        <v>103.28219199110195</v>
      </c>
      <c r="J61" s="45">
        <v>157.85423050641438</v>
      </c>
      <c r="K61" s="13"/>
      <c r="L61" s="58"/>
      <c r="M61" s="59">
        <v>52.580600810050967</v>
      </c>
      <c r="N61" s="58"/>
      <c r="O61" s="59">
        <v>213.77413463122025</v>
      </c>
      <c r="P61" s="59">
        <v>74.056179989024997</v>
      </c>
      <c r="Q61" s="45">
        <v>75.623494076782933</v>
      </c>
      <c r="R61" s="13"/>
      <c r="S61" s="58"/>
      <c r="T61" s="59">
        <v>46.648999154567719</v>
      </c>
      <c r="U61" s="59">
        <v>15.266000121831894</v>
      </c>
      <c r="V61" s="59">
        <v>93.298999458551407</v>
      </c>
      <c r="W61" s="59">
        <v>100.30600072816014</v>
      </c>
      <c r="X61" s="59">
        <v>618.96900445222855</v>
      </c>
      <c r="Y61" s="27"/>
      <c r="Z61" s="58"/>
      <c r="AA61" s="59">
        <v>1.9190000295639038</v>
      </c>
      <c r="AB61" s="58"/>
      <c r="AC61" s="59">
        <v>18.078000131994486</v>
      </c>
      <c r="AD61" s="59">
        <v>18.061999969184399</v>
      </c>
      <c r="AE61" s="59">
        <v>125.06300196051598</v>
      </c>
      <c r="AF61" s="41">
        <f t="shared" si="3"/>
        <v>1037.6110060065985</v>
      </c>
    </row>
    <row r="62" spans="1:32" ht="15" customHeight="1">
      <c r="A62" s="3">
        <v>55</v>
      </c>
      <c r="B62" s="8" t="s">
        <v>80</v>
      </c>
      <c r="C62" s="23" t="s">
        <v>149</v>
      </c>
      <c r="D62" s="41">
        <f t="shared" si="2"/>
        <v>298.62540133883294</v>
      </c>
      <c r="E62" s="58"/>
      <c r="F62" s="58"/>
      <c r="G62" s="59">
        <v>159.08672581241279</v>
      </c>
      <c r="H62" s="59">
        <v>38.076314882226285</v>
      </c>
      <c r="I62" s="59">
        <v>35.232441932171582</v>
      </c>
      <c r="J62" s="45">
        <v>66.229918712022283</v>
      </c>
      <c r="K62" s="13"/>
      <c r="L62" s="58"/>
      <c r="M62" s="58"/>
      <c r="N62" s="58"/>
      <c r="O62" s="58"/>
      <c r="P62" s="58"/>
      <c r="Q62" s="45" t="s">
        <v>161</v>
      </c>
      <c r="R62" s="13"/>
      <c r="S62" s="58"/>
      <c r="T62" s="58"/>
      <c r="U62" s="59">
        <v>42.107999905943871</v>
      </c>
      <c r="V62" s="59">
        <v>33.358000375330448</v>
      </c>
      <c r="W62" s="59">
        <v>93.38299997150898</v>
      </c>
      <c r="X62" s="59">
        <v>486.28900330513716</v>
      </c>
      <c r="Y62" s="27"/>
      <c r="Z62" s="58"/>
      <c r="AA62" s="58"/>
      <c r="AB62" s="58"/>
      <c r="AC62" s="58"/>
      <c r="AD62" s="58"/>
      <c r="AE62" s="58"/>
      <c r="AF62" s="41">
        <f t="shared" si="3"/>
        <v>655.13800355792046</v>
      </c>
    </row>
    <row r="63" spans="1:32" ht="15" customHeight="1">
      <c r="A63" s="3">
        <v>56</v>
      </c>
      <c r="B63" s="8" t="s">
        <v>81</v>
      </c>
      <c r="C63" s="23" t="s">
        <v>151</v>
      </c>
      <c r="D63" s="41">
        <f t="shared" si="2"/>
        <v>19665.799760932303</v>
      </c>
      <c r="E63" s="59">
        <v>264.47200751304626</v>
      </c>
      <c r="F63" s="59">
        <v>123.1208005271256</v>
      </c>
      <c r="G63" s="59">
        <v>111.687560349375</v>
      </c>
      <c r="H63" s="59">
        <v>1.1829600596427918</v>
      </c>
      <c r="I63" s="59">
        <v>15.161153690655716</v>
      </c>
      <c r="J63" s="45">
        <v>43.930634433441973</v>
      </c>
      <c r="K63" s="13"/>
      <c r="L63" s="59">
        <v>8798.5942937389464</v>
      </c>
      <c r="M63" s="59">
        <v>499.82334857606889</v>
      </c>
      <c r="N63" s="59">
        <v>4167.632112254083</v>
      </c>
      <c r="O63" s="59">
        <v>2372.4882706266808</v>
      </c>
      <c r="P63" s="59">
        <v>1366.2780612235852</v>
      </c>
      <c r="Q63" s="45">
        <v>1901.4285579396526</v>
      </c>
      <c r="R63" s="13"/>
      <c r="S63" s="59">
        <v>5.0860001444816589</v>
      </c>
      <c r="T63" s="59">
        <v>4.8140000309795141</v>
      </c>
      <c r="U63" s="59">
        <v>7.8870000168681145</v>
      </c>
      <c r="V63" s="59">
        <v>0.55800002813339233</v>
      </c>
      <c r="W63" s="59">
        <v>9.6579997902736068</v>
      </c>
      <c r="X63" s="59">
        <v>132.35800158977509</v>
      </c>
      <c r="Y63" s="27"/>
      <c r="Z63" s="59">
        <v>91.745000123977661</v>
      </c>
      <c r="AA63" s="59">
        <v>12.528999924659729</v>
      </c>
      <c r="AB63" s="59">
        <v>178.34000007621944</v>
      </c>
      <c r="AC63" s="59">
        <v>206.56999996863306</v>
      </c>
      <c r="AD63" s="59">
        <v>226.14399958681315</v>
      </c>
      <c r="AE63" s="59">
        <v>2468.0939967501909</v>
      </c>
      <c r="AF63" s="41">
        <f t="shared" si="3"/>
        <v>3343.7829980310053</v>
      </c>
    </row>
    <row r="64" spans="1:32" ht="15" customHeight="1">
      <c r="A64" s="3">
        <v>57</v>
      </c>
      <c r="B64" s="8" t="s">
        <v>82</v>
      </c>
      <c r="C64" s="23" t="s">
        <v>157</v>
      </c>
      <c r="D64" s="41">
        <f t="shared" si="2"/>
        <v>996.15405692798618</v>
      </c>
      <c r="E64" s="58"/>
      <c r="F64" s="59">
        <v>203.83392790222169</v>
      </c>
      <c r="G64" s="59">
        <v>87.505950056791306</v>
      </c>
      <c r="H64" s="59">
        <v>82.95564294215292</v>
      </c>
      <c r="I64" s="59">
        <v>57.826983432516457</v>
      </c>
      <c r="J64" s="45">
        <v>51.258750607971265</v>
      </c>
      <c r="K64" s="13"/>
      <c r="L64" s="58"/>
      <c r="M64" s="58"/>
      <c r="N64" s="59">
        <v>250.71913756828755</v>
      </c>
      <c r="O64" s="59">
        <v>135.19827070834486</v>
      </c>
      <c r="P64" s="59">
        <v>44.923162345144895</v>
      </c>
      <c r="Q64" s="45">
        <v>81.932231364555292</v>
      </c>
      <c r="R64" s="13"/>
      <c r="S64" s="58"/>
      <c r="T64" s="59">
        <v>8.5430001020431519</v>
      </c>
      <c r="U64" s="59">
        <v>11.469999954104424</v>
      </c>
      <c r="V64" s="59">
        <v>25.721999831497669</v>
      </c>
      <c r="W64" s="59">
        <v>51.82700059004128</v>
      </c>
      <c r="X64" s="59">
        <v>191.157002158463</v>
      </c>
      <c r="Y64" s="27"/>
      <c r="Z64" s="58"/>
      <c r="AA64" s="58"/>
      <c r="AB64" s="59">
        <v>7.859999880194664</v>
      </c>
      <c r="AC64" s="59">
        <v>12.256000064313412</v>
      </c>
      <c r="AD64" s="59">
        <v>9.8279999028891325</v>
      </c>
      <c r="AE64" s="59">
        <v>126.59899753332138</v>
      </c>
      <c r="AF64" s="41">
        <f t="shared" si="3"/>
        <v>445.26200001686811</v>
      </c>
    </row>
    <row r="65" spans="1:32" ht="15" customHeight="1">
      <c r="A65" s="3">
        <v>58</v>
      </c>
      <c r="B65" s="8" t="s">
        <v>83</v>
      </c>
      <c r="C65" s="23" t="s">
        <v>149</v>
      </c>
      <c r="D65" s="41">
        <f t="shared" si="2"/>
        <v>625.39287364955567</v>
      </c>
      <c r="E65" s="58"/>
      <c r="F65" s="59">
        <v>271.53927331103387</v>
      </c>
      <c r="G65" s="59">
        <v>78.233231650859111</v>
      </c>
      <c r="H65" s="59">
        <v>152.07146315291524</v>
      </c>
      <c r="I65" s="59">
        <v>57.478055589154366</v>
      </c>
      <c r="J65" s="45">
        <v>66.070849945593025</v>
      </c>
      <c r="K65" s="13"/>
      <c r="L65" s="58"/>
      <c r="M65" s="58"/>
      <c r="N65" s="58"/>
      <c r="O65" s="58"/>
      <c r="P65" s="58"/>
      <c r="Q65" s="45" t="s">
        <v>161</v>
      </c>
      <c r="R65" s="13"/>
      <c r="S65" s="58"/>
      <c r="T65" s="59">
        <v>29.315000344067812</v>
      </c>
      <c r="U65" s="59">
        <v>9.5620000064373016</v>
      </c>
      <c r="V65" s="59">
        <v>49.249000772833824</v>
      </c>
      <c r="W65" s="59">
        <v>83.976999420672655</v>
      </c>
      <c r="X65" s="59">
        <v>334.37600808404386</v>
      </c>
      <c r="Y65" s="27"/>
      <c r="Z65" s="58"/>
      <c r="AA65" s="58"/>
      <c r="AB65" s="58"/>
      <c r="AC65" s="58"/>
      <c r="AD65" s="58"/>
      <c r="AE65" s="58"/>
      <c r="AF65" s="41">
        <f t="shared" si="3"/>
        <v>506.47900862805545</v>
      </c>
    </row>
    <row r="66" spans="1:32" ht="15" customHeight="1">
      <c r="A66" s="3">
        <v>59</v>
      </c>
      <c r="B66" s="8" t="s">
        <v>84</v>
      </c>
      <c r="C66" s="23" t="s">
        <v>151</v>
      </c>
      <c r="D66" s="41">
        <f t="shared" si="2"/>
        <v>4102.8996685570419</v>
      </c>
      <c r="E66" s="59">
        <v>160.38800597190857</v>
      </c>
      <c r="F66" s="58"/>
      <c r="G66" s="58"/>
      <c r="H66" s="59">
        <v>101.37472999161854</v>
      </c>
      <c r="I66" s="59">
        <v>10.199968005686998</v>
      </c>
      <c r="J66" s="45">
        <v>17.415896167146702</v>
      </c>
      <c r="K66" s="13"/>
      <c r="L66" s="59">
        <v>2187.1250629244446</v>
      </c>
      <c r="M66" s="58"/>
      <c r="N66" s="59">
        <v>504.87651591303199</v>
      </c>
      <c r="O66" s="59">
        <v>475.16312568061056</v>
      </c>
      <c r="P66" s="59">
        <v>310.07596246393024</v>
      </c>
      <c r="Q66" s="45">
        <v>336.28040143866377</v>
      </c>
      <c r="R66" s="13"/>
      <c r="S66" s="59">
        <v>3.1760001182556152</v>
      </c>
      <c r="T66" s="58"/>
      <c r="U66" s="58"/>
      <c r="V66" s="59">
        <v>37.502999713644385</v>
      </c>
      <c r="W66" s="59">
        <v>16.433999925851822</v>
      </c>
      <c r="X66" s="59">
        <v>93.694999039173126</v>
      </c>
      <c r="Y66" s="27"/>
      <c r="Z66" s="59">
        <v>16.248000256717205</v>
      </c>
      <c r="AA66" s="58"/>
      <c r="AB66" s="59">
        <v>32.300999829545617</v>
      </c>
      <c r="AC66" s="59">
        <v>38.92999966442585</v>
      </c>
      <c r="AD66" s="59">
        <v>65.340999744832516</v>
      </c>
      <c r="AE66" s="59">
        <v>507.58301259577274</v>
      </c>
      <c r="AF66" s="41">
        <f t="shared" si="3"/>
        <v>811.21101088821888</v>
      </c>
    </row>
    <row r="67" spans="1:32" ht="15" customHeight="1">
      <c r="A67" s="3">
        <v>60</v>
      </c>
      <c r="B67" s="8" t="s">
        <v>85</v>
      </c>
      <c r="C67" s="23" t="s">
        <v>149</v>
      </c>
      <c r="D67" s="41">
        <f t="shared" si="2"/>
        <v>544.53276440158845</v>
      </c>
      <c r="E67" s="58"/>
      <c r="F67" s="59">
        <v>205.69877812886239</v>
      </c>
      <c r="G67" s="59">
        <v>78.602464804530143</v>
      </c>
      <c r="H67" s="59">
        <v>140.41953348988295</v>
      </c>
      <c r="I67" s="59">
        <v>67.812229182720188</v>
      </c>
      <c r="J67" s="45">
        <v>51.999758795592804</v>
      </c>
      <c r="K67" s="13"/>
      <c r="L67" s="58"/>
      <c r="M67" s="58"/>
      <c r="N67" s="58"/>
      <c r="O67" s="58"/>
      <c r="P67" s="58"/>
      <c r="Q67" s="45" t="s">
        <v>161</v>
      </c>
      <c r="R67" s="13"/>
      <c r="S67" s="58"/>
      <c r="T67" s="59">
        <v>29.421999573707581</v>
      </c>
      <c r="U67" s="59">
        <v>12.468000158667564</v>
      </c>
      <c r="V67" s="59">
        <v>69.541000887751579</v>
      </c>
      <c r="W67" s="59">
        <v>88.344000101089478</v>
      </c>
      <c r="X67" s="59">
        <v>244.97300136089325</v>
      </c>
      <c r="Y67" s="27"/>
      <c r="Z67" s="58"/>
      <c r="AA67" s="58"/>
      <c r="AB67" s="58"/>
      <c r="AC67" s="58"/>
      <c r="AD67" s="58"/>
      <c r="AE67" s="58"/>
      <c r="AF67" s="41">
        <f t="shared" si="3"/>
        <v>444.74800208210945</v>
      </c>
    </row>
    <row r="68" spans="1:32" ht="15" customHeight="1">
      <c r="A68" s="3">
        <v>61</v>
      </c>
      <c r="B68" s="8" t="s">
        <v>86</v>
      </c>
      <c r="C68" s="23" t="s">
        <v>150</v>
      </c>
      <c r="D68" s="41">
        <f t="shared" si="2"/>
        <v>870.79687711934412</v>
      </c>
      <c r="E68" s="58"/>
      <c r="F68" s="59">
        <v>462.64473879718781</v>
      </c>
      <c r="G68" s="58"/>
      <c r="H68" s="59">
        <v>114.05499543607981</v>
      </c>
      <c r="I68" s="59">
        <v>107.13915325295925</v>
      </c>
      <c r="J68" s="45">
        <v>144.53012930569227</v>
      </c>
      <c r="K68" s="13"/>
      <c r="L68" s="58"/>
      <c r="M68" s="58"/>
      <c r="N68" s="59">
        <v>15.211599743366241</v>
      </c>
      <c r="O68" s="59">
        <v>18.059500122070311</v>
      </c>
      <c r="P68" s="59">
        <v>4.7766140642762185</v>
      </c>
      <c r="Q68" s="45">
        <v>4.3801463977122168</v>
      </c>
      <c r="R68" s="13"/>
      <c r="S68" s="58"/>
      <c r="T68" s="59">
        <v>29.559999942779541</v>
      </c>
      <c r="U68" s="58"/>
      <c r="V68" s="59">
        <v>54.413999684154987</v>
      </c>
      <c r="W68" s="59">
        <v>96.780000790953636</v>
      </c>
      <c r="X68" s="59">
        <v>541.64198959618807</v>
      </c>
      <c r="Y68" s="27"/>
      <c r="Z68" s="58"/>
      <c r="AA68" s="58"/>
      <c r="AB68" s="59">
        <v>0.54699999094009399</v>
      </c>
      <c r="AC68" s="59">
        <v>1.3130000084638596</v>
      </c>
      <c r="AD68" s="59">
        <v>2.42900001257658</v>
      </c>
      <c r="AE68" s="59">
        <v>11.464000225067139</v>
      </c>
      <c r="AF68" s="41">
        <f t="shared" si="3"/>
        <v>738.14899025112391</v>
      </c>
    </row>
    <row r="69" spans="1:32" ht="15" customHeight="1">
      <c r="A69" s="3">
        <v>62</v>
      </c>
      <c r="B69" s="8" t="s">
        <v>87</v>
      </c>
      <c r="C69" s="23" t="s">
        <v>149</v>
      </c>
      <c r="D69" s="41">
        <f t="shared" si="2"/>
        <v>517.94414047058649</v>
      </c>
      <c r="E69" s="59">
        <v>144.00650722408295</v>
      </c>
      <c r="F69" s="59">
        <v>118.21819520109892</v>
      </c>
      <c r="G69" s="59">
        <v>84.929351027145984</v>
      </c>
      <c r="H69" s="59">
        <v>80.409533241495495</v>
      </c>
      <c r="I69" s="59">
        <v>30.085888586223124</v>
      </c>
      <c r="J69" s="45">
        <v>60.29466519054003</v>
      </c>
      <c r="K69" s="13"/>
      <c r="L69" s="58"/>
      <c r="M69" s="58"/>
      <c r="N69" s="58"/>
      <c r="O69" s="58"/>
      <c r="P69" s="58"/>
      <c r="Q69" s="45" t="s">
        <v>161</v>
      </c>
      <c r="R69" s="13"/>
      <c r="S69" s="59">
        <v>4.0390000343322754</v>
      </c>
      <c r="T69" s="59">
        <v>16.254000216722488</v>
      </c>
      <c r="U69" s="59">
        <v>21.755999878048897</v>
      </c>
      <c r="V69" s="59">
        <v>37.751999780535698</v>
      </c>
      <c r="W69" s="59">
        <v>49.060999393463135</v>
      </c>
      <c r="X69" s="59">
        <v>326.82600046694279</v>
      </c>
      <c r="Y69" s="27"/>
      <c r="Z69" s="58"/>
      <c r="AA69" s="58"/>
      <c r="AB69" s="58"/>
      <c r="AC69" s="58"/>
      <c r="AD69" s="58"/>
      <c r="AE69" s="58"/>
      <c r="AF69" s="41">
        <f t="shared" si="3"/>
        <v>455.68799977004528</v>
      </c>
    </row>
    <row r="70" spans="1:32" ht="15" customHeight="1">
      <c r="A70" s="3">
        <v>63</v>
      </c>
      <c r="B70" s="8" t="s">
        <v>88</v>
      </c>
      <c r="C70" s="23" t="s">
        <v>150</v>
      </c>
      <c r="D70" s="41">
        <f t="shared" si="2"/>
        <v>2241.997801283374</v>
      </c>
      <c r="E70" s="59">
        <v>684.79938967239855</v>
      </c>
      <c r="F70" s="59">
        <v>141.78349100470544</v>
      </c>
      <c r="G70" s="59">
        <v>60.829710558295247</v>
      </c>
      <c r="H70" s="59">
        <v>414.58723699146509</v>
      </c>
      <c r="I70" s="59">
        <v>103.15290652996302</v>
      </c>
      <c r="J70" s="45">
        <v>221.83391076163659</v>
      </c>
      <c r="K70" s="13"/>
      <c r="L70" s="59">
        <v>143.06209889650344</v>
      </c>
      <c r="M70" s="58"/>
      <c r="N70" s="59">
        <v>224.03996005499363</v>
      </c>
      <c r="O70" s="59">
        <v>175.23891518840193</v>
      </c>
      <c r="P70" s="59">
        <v>32.639395742535591</v>
      </c>
      <c r="Q70" s="45">
        <v>40.030785882475449</v>
      </c>
      <c r="R70" s="13"/>
      <c r="S70" s="59">
        <v>19.378000289201736</v>
      </c>
      <c r="T70" s="59">
        <v>16.228000104427338</v>
      </c>
      <c r="U70" s="59">
        <v>10.920000076293945</v>
      </c>
      <c r="V70" s="59">
        <v>89.417999729514122</v>
      </c>
      <c r="W70" s="59">
        <v>87.01899978518486</v>
      </c>
      <c r="X70" s="59">
        <v>796.56700570508838</v>
      </c>
      <c r="Y70" s="27"/>
      <c r="Z70" s="59">
        <v>3.4459999799728394</v>
      </c>
      <c r="AA70" s="58"/>
      <c r="AB70" s="59">
        <v>12.089999988675117</v>
      </c>
      <c r="AC70" s="59">
        <v>15.954999975860119</v>
      </c>
      <c r="AD70" s="59">
        <v>10.085999950766563</v>
      </c>
      <c r="AE70" s="59">
        <v>76.749997831881046</v>
      </c>
      <c r="AF70" s="41">
        <f t="shared" si="3"/>
        <v>1137.8570034168661</v>
      </c>
    </row>
    <row r="71" spans="1:32" ht="15" customHeight="1">
      <c r="A71" s="3">
        <v>64</v>
      </c>
      <c r="B71" s="8" t="s">
        <v>89</v>
      </c>
      <c r="C71" s="23" t="s">
        <v>149</v>
      </c>
      <c r="D71" s="41">
        <f t="shared" si="2"/>
        <v>553.78782867433358</v>
      </c>
      <c r="E71" s="58"/>
      <c r="F71" s="59">
        <v>313.43618884835394</v>
      </c>
      <c r="G71" s="59">
        <v>29.057270343661308</v>
      </c>
      <c r="H71" s="59">
        <v>122.8087494902052</v>
      </c>
      <c r="I71" s="59">
        <v>27.642475417256357</v>
      </c>
      <c r="J71" s="45">
        <v>60.84314457485678</v>
      </c>
      <c r="K71" s="13"/>
      <c r="L71" s="58"/>
      <c r="M71" s="58"/>
      <c r="N71" s="58"/>
      <c r="O71" s="58"/>
      <c r="P71" s="58"/>
      <c r="Q71" s="45" t="s">
        <v>161</v>
      </c>
      <c r="R71" s="13"/>
      <c r="S71" s="58"/>
      <c r="T71" s="59">
        <v>34.273999679833651</v>
      </c>
      <c r="U71" s="59">
        <v>4.6079999729990959</v>
      </c>
      <c r="V71" s="59">
        <v>97.208000702783465</v>
      </c>
      <c r="W71" s="59">
        <v>67.958000749349594</v>
      </c>
      <c r="X71" s="59">
        <v>426.2309935092926</v>
      </c>
      <c r="Y71" s="27"/>
      <c r="Z71" s="58"/>
      <c r="AA71" s="58"/>
      <c r="AB71" s="58"/>
      <c r="AC71" s="58"/>
      <c r="AD71" s="58"/>
      <c r="AE71" s="58"/>
      <c r="AF71" s="41">
        <f t="shared" si="3"/>
        <v>630.27899461425841</v>
      </c>
    </row>
    <row r="72" spans="1:32" ht="15" customHeight="1">
      <c r="A72" s="3">
        <v>65</v>
      </c>
      <c r="B72" s="8" t="s">
        <v>90</v>
      </c>
      <c r="C72" s="23" t="s">
        <v>149</v>
      </c>
      <c r="D72" s="41">
        <f t="shared" ref="D72:D103" si="4">SUM(E72:J72)+SUM(L72:Q72)</f>
        <v>187.03343972239423</v>
      </c>
      <c r="E72" s="58"/>
      <c r="F72" s="58"/>
      <c r="G72" s="59">
        <v>60.573130425021056</v>
      </c>
      <c r="H72" s="59">
        <v>54.826141160011289</v>
      </c>
      <c r="I72" s="59">
        <v>20.475322932422163</v>
      </c>
      <c r="J72" s="45">
        <v>51.15884520493973</v>
      </c>
      <c r="K72" s="13"/>
      <c r="L72" s="58"/>
      <c r="M72" s="58"/>
      <c r="N72" s="58"/>
      <c r="O72" s="58"/>
      <c r="P72" s="58"/>
      <c r="Q72" s="45" t="s">
        <v>161</v>
      </c>
      <c r="R72" s="13"/>
      <c r="S72" s="58"/>
      <c r="T72" s="58"/>
      <c r="U72" s="59">
        <v>14.845000192523003</v>
      </c>
      <c r="V72" s="59">
        <v>39.197999253869057</v>
      </c>
      <c r="W72" s="59">
        <v>47.784999966621399</v>
      </c>
      <c r="X72" s="59">
        <v>346.92201320827007</v>
      </c>
      <c r="Y72" s="27"/>
      <c r="Z72" s="58"/>
      <c r="AA72" s="58"/>
      <c r="AB72" s="58"/>
      <c r="AC72" s="58"/>
      <c r="AD72" s="58"/>
      <c r="AE72" s="58"/>
      <c r="AF72" s="41">
        <f t="shared" ref="AF72:AF103" si="5">SUM(S72:AE72)</f>
        <v>448.75001262128353</v>
      </c>
    </row>
    <row r="73" spans="1:32" ht="15" customHeight="1">
      <c r="A73" s="3">
        <v>66</v>
      </c>
      <c r="B73" s="8" t="s">
        <v>91</v>
      </c>
      <c r="C73" s="23" t="s">
        <v>149</v>
      </c>
      <c r="D73" s="41">
        <f t="shared" si="4"/>
        <v>354.02888027892357</v>
      </c>
      <c r="E73" s="58"/>
      <c r="F73" s="59">
        <v>80.720978097915648</v>
      </c>
      <c r="G73" s="59">
        <v>88.318380817592143</v>
      </c>
      <c r="H73" s="59">
        <v>90.897064863443376</v>
      </c>
      <c r="I73" s="59">
        <v>32.936077989310029</v>
      </c>
      <c r="J73" s="45">
        <v>61.156378510662393</v>
      </c>
      <c r="K73" s="13"/>
      <c r="L73" s="58"/>
      <c r="M73" s="58"/>
      <c r="N73" s="58"/>
      <c r="O73" s="58"/>
      <c r="P73" s="58"/>
      <c r="Q73" s="45" t="s">
        <v>161</v>
      </c>
      <c r="R73" s="13"/>
      <c r="S73" s="58"/>
      <c r="T73" s="59">
        <v>15.096999645233154</v>
      </c>
      <c r="U73" s="59">
        <v>26.036999970674515</v>
      </c>
      <c r="V73" s="59">
        <v>56.48300039768219</v>
      </c>
      <c r="W73" s="59">
        <v>63.98800028860569</v>
      </c>
      <c r="X73" s="59">
        <v>369.82601098716259</v>
      </c>
      <c r="Y73" s="27"/>
      <c r="Z73" s="58"/>
      <c r="AA73" s="58"/>
      <c r="AB73" s="58"/>
      <c r="AC73" s="58"/>
      <c r="AD73" s="58"/>
      <c r="AE73" s="58"/>
      <c r="AF73" s="41">
        <f t="shared" si="5"/>
        <v>531.43101128935814</v>
      </c>
    </row>
    <row r="74" spans="1:32" ht="15" customHeight="1">
      <c r="A74" s="3">
        <v>67</v>
      </c>
      <c r="B74" s="8" t="s">
        <v>92</v>
      </c>
      <c r="C74" s="23" t="s">
        <v>149</v>
      </c>
      <c r="D74" s="41">
        <f t="shared" si="4"/>
        <v>687.59178693742479</v>
      </c>
      <c r="E74" s="58"/>
      <c r="F74" s="59">
        <v>289.16029762332886</v>
      </c>
      <c r="G74" s="58"/>
      <c r="H74" s="59">
        <v>226.70588030678033</v>
      </c>
      <c r="I74" s="59">
        <v>60.529541270792485</v>
      </c>
      <c r="J74" s="45">
        <v>111.19606773652309</v>
      </c>
      <c r="K74" s="13"/>
      <c r="L74" s="58"/>
      <c r="M74" s="58"/>
      <c r="N74" s="58"/>
      <c r="O74" s="58"/>
      <c r="P74" s="58"/>
      <c r="Q74" s="45" t="s">
        <v>161</v>
      </c>
      <c r="R74" s="13"/>
      <c r="S74" s="58"/>
      <c r="T74" s="59">
        <v>46.570999938994646</v>
      </c>
      <c r="U74" s="58"/>
      <c r="V74" s="59">
        <v>97.565999895334244</v>
      </c>
      <c r="W74" s="59">
        <v>66.760999232530594</v>
      </c>
      <c r="X74" s="59">
        <v>472.08998854458332</v>
      </c>
      <c r="Y74" s="27"/>
      <c r="Z74" s="58"/>
      <c r="AA74" s="58"/>
      <c r="AB74" s="58"/>
      <c r="AC74" s="58"/>
      <c r="AD74" s="58"/>
      <c r="AE74" s="58"/>
      <c r="AF74" s="41">
        <f t="shared" si="5"/>
        <v>682.9879876114428</v>
      </c>
    </row>
    <row r="75" spans="1:32" ht="15" customHeight="1">
      <c r="A75" s="3">
        <v>68</v>
      </c>
      <c r="B75" s="8" t="s">
        <v>93</v>
      </c>
      <c r="C75" s="23" t="s">
        <v>149</v>
      </c>
      <c r="D75" s="41">
        <f t="shared" si="4"/>
        <v>421.81508003097332</v>
      </c>
      <c r="E75" s="58"/>
      <c r="F75" s="59">
        <v>204.78388974879681</v>
      </c>
      <c r="G75" s="59">
        <v>26.632769560813905</v>
      </c>
      <c r="H75" s="59">
        <v>73.974760078603396</v>
      </c>
      <c r="I75" s="59">
        <v>50.996413276836279</v>
      </c>
      <c r="J75" s="45">
        <v>65.427247365922952</v>
      </c>
      <c r="K75" s="13"/>
      <c r="L75" s="58"/>
      <c r="M75" s="58"/>
      <c r="N75" s="58"/>
      <c r="O75" s="58"/>
      <c r="P75" s="58"/>
      <c r="Q75" s="45" t="s">
        <v>161</v>
      </c>
      <c r="R75" s="13"/>
      <c r="S75" s="58"/>
      <c r="T75" s="59">
        <v>44.263999994844198</v>
      </c>
      <c r="U75" s="59">
        <v>8.4619998633861542</v>
      </c>
      <c r="V75" s="59">
        <v>53.114000131376088</v>
      </c>
      <c r="W75" s="59">
        <v>88.643000029027462</v>
      </c>
      <c r="X75" s="59">
        <v>369.08199173212051</v>
      </c>
      <c r="Y75" s="27"/>
      <c r="Z75" s="58"/>
      <c r="AA75" s="58"/>
      <c r="AB75" s="58"/>
      <c r="AC75" s="58"/>
      <c r="AD75" s="58"/>
      <c r="AE75" s="58"/>
      <c r="AF75" s="41">
        <f t="shared" si="5"/>
        <v>563.56499175075442</v>
      </c>
    </row>
    <row r="76" spans="1:32" ht="15" customHeight="1">
      <c r="A76" s="3">
        <v>69</v>
      </c>
      <c r="B76" s="8" t="s">
        <v>94</v>
      </c>
      <c r="C76" s="23" t="s">
        <v>149</v>
      </c>
      <c r="D76" s="41">
        <f t="shared" si="4"/>
        <v>678.18001123890122</v>
      </c>
      <c r="E76" s="58"/>
      <c r="F76" s="59">
        <v>368.91239252114298</v>
      </c>
      <c r="G76" s="59">
        <v>61.079668643474577</v>
      </c>
      <c r="H76" s="59">
        <v>67.47808018761873</v>
      </c>
      <c r="I76" s="59">
        <v>84.065599802434448</v>
      </c>
      <c r="J76" s="45">
        <v>96.644270084230527</v>
      </c>
      <c r="K76" s="13"/>
      <c r="L76" s="58"/>
      <c r="M76" s="58"/>
      <c r="N76" s="58"/>
      <c r="O76" s="58"/>
      <c r="P76" s="58"/>
      <c r="Q76" s="45" t="s">
        <v>161</v>
      </c>
      <c r="R76" s="13"/>
      <c r="S76" s="58"/>
      <c r="T76" s="59">
        <v>38.13500027358532</v>
      </c>
      <c r="U76" s="59">
        <v>13.212999731302261</v>
      </c>
      <c r="V76" s="59">
        <v>34.560999400913715</v>
      </c>
      <c r="W76" s="59">
        <v>106.31500041484833</v>
      </c>
      <c r="X76" s="59">
        <v>446.92801344394684</v>
      </c>
      <c r="Y76" s="27"/>
      <c r="Z76" s="58"/>
      <c r="AA76" s="58"/>
      <c r="AB76" s="58"/>
      <c r="AC76" s="58"/>
      <c r="AD76" s="58"/>
      <c r="AE76" s="58"/>
      <c r="AF76" s="41">
        <f t="shared" si="5"/>
        <v>639.15201326459646</v>
      </c>
    </row>
    <row r="77" spans="1:32" ht="15" customHeight="1">
      <c r="A77" s="3">
        <v>70</v>
      </c>
      <c r="B77" s="8" t="s">
        <v>95</v>
      </c>
      <c r="C77" s="23" t="s">
        <v>149</v>
      </c>
      <c r="D77" s="41">
        <f t="shared" si="4"/>
        <v>393.09561210638049</v>
      </c>
      <c r="E77" s="59">
        <v>116.91748484802245</v>
      </c>
      <c r="F77" s="59">
        <v>142.65827463483811</v>
      </c>
      <c r="G77" s="59">
        <v>17.8876297711879</v>
      </c>
      <c r="H77" s="59">
        <v>37.414145132929086</v>
      </c>
      <c r="I77" s="59">
        <v>31.5644419644922</v>
      </c>
      <c r="J77" s="45">
        <v>46.653635754910766</v>
      </c>
      <c r="K77" s="13"/>
      <c r="L77" s="58"/>
      <c r="M77" s="58"/>
      <c r="N77" s="58"/>
      <c r="O77" s="58"/>
      <c r="P77" s="58"/>
      <c r="Q77" s="45" t="s">
        <v>161</v>
      </c>
      <c r="R77" s="13"/>
      <c r="S77" s="59">
        <v>4.5279998779296875</v>
      </c>
      <c r="T77" s="59">
        <v>29.05899965763092</v>
      </c>
      <c r="U77" s="59">
        <v>2.8539999648928642</v>
      </c>
      <c r="V77" s="59">
        <v>15.64100007712841</v>
      </c>
      <c r="W77" s="59">
        <v>90.264000222086906</v>
      </c>
      <c r="X77" s="59">
        <v>359.20199289545417</v>
      </c>
      <c r="Y77" s="27"/>
      <c r="Z77" s="58"/>
      <c r="AA77" s="58"/>
      <c r="AB77" s="58"/>
      <c r="AC77" s="58"/>
      <c r="AD77" s="58"/>
      <c r="AE77" s="58"/>
      <c r="AF77" s="41">
        <f t="shared" si="5"/>
        <v>501.54799269512296</v>
      </c>
    </row>
    <row r="78" spans="1:32" ht="15" customHeight="1">
      <c r="A78" s="3">
        <v>71</v>
      </c>
      <c r="B78" s="8" t="s">
        <v>96</v>
      </c>
      <c r="C78" s="23" t="s">
        <v>150</v>
      </c>
      <c r="D78" s="41">
        <f t="shared" si="4"/>
        <v>808.89995228792714</v>
      </c>
      <c r="E78" s="58"/>
      <c r="F78" s="59">
        <v>259.66801843053105</v>
      </c>
      <c r="G78" s="59">
        <v>82.873667315661905</v>
      </c>
      <c r="H78" s="59">
        <v>81.440825035229324</v>
      </c>
      <c r="I78" s="59">
        <v>97.142483739994461</v>
      </c>
      <c r="J78" s="45">
        <v>131.74328573954676</v>
      </c>
      <c r="K78" s="13"/>
      <c r="L78" s="58"/>
      <c r="M78" s="58"/>
      <c r="N78" s="59">
        <v>87.400956214852627</v>
      </c>
      <c r="O78" s="59">
        <v>44.270386073574421</v>
      </c>
      <c r="P78" s="59">
        <v>6.9180508905649187</v>
      </c>
      <c r="Q78" s="45">
        <v>17.442278847971728</v>
      </c>
      <c r="R78" s="13"/>
      <c r="S78" s="58"/>
      <c r="T78" s="59">
        <v>38.237000167369843</v>
      </c>
      <c r="U78" s="59">
        <v>21.779000326991081</v>
      </c>
      <c r="V78" s="59">
        <v>46.463001020252705</v>
      </c>
      <c r="W78" s="59">
        <v>127.54400088265538</v>
      </c>
      <c r="X78" s="59">
        <v>623.6749914586544</v>
      </c>
      <c r="Y78" s="27"/>
      <c r="Z78" s="58"/>
      <c r="AA78" s="58"/>
      <c r="AB78" s="59">
        <v>13.679999837651849</v>
      </c>
      <c r="AC78" s="59">
        <v>7.5769999995827675</v>
      </c>
      <c r="AD78" s="59">
        <v>4.7129999250173569</v>
      </c>
      <c r="AE78" s="59">
        <v>54.802999794483185</v>
      </c>
      <c r="AF78" s="41">
        <f t="shared" si="5"/>
        <v>938.47099341265857</v>
      </c>
    </row>
    <row r="79" spans="1:32" ht="15" customHeight="1">
      <c r="A79" s="3">
        <v>72</v>
      </c>
      <c r="B79" s="8" t="s">
        <v>97</v>
      </c>
      <c r="C79" s="23" t="s">
        <v>149</v>
      </c>
      <c r="D79" s="41">
        <f t="shared" si="4"/>
        <v>684.90884235885551</v>
      </c>
      <c r="E79" s="59">
        <v>419.844480594635</v>
      </c>
      <c r="F79" s="59">
        <v>99.567173923507326</v>
      </c>
      <c r="G79" s="59">
        <v>36.657006962060926</v>
      </c>
      <c r="H79" s="59">
        <v>51.728691781967875</v>
      </c>
      <c r="I79" s="59">
        <v>22.658200722604992</v>
      </c>
      <c r="J79" s="45">
        <v>54.453288374079442</v>
      </c>
      <c r="K79" s="13"/>
      <c r="L79" s="58"/>
      <c r="M79" s="58"/>
      <c r="N79" s="58"/>
      <c r="O79" s="58"/>
      <c r="P79" s="58"/>
      <c r="Q79" s="45" t="s">
        <v>161</v>
      </c>
      <c r="R79" s="13"/>
      <c r="S79" s="59">
        <v>20.962000131607056</v>
      </c>
      <c r="T79" s="59">
        <v>16.757999800145626</v>
      </c>
      <c r="U79" s="59">
        <v>6.7800001502037048</v>
      </c>
      <c r="V79" s="59">
        <v>39.986999839544296</v>
      </c>
      <c r="W79" s="59">
        <v>46.050999417901039</v>
      </c>
      <c r="X79" s="59">
        <v>338.70199327170849</v>
      </c>
      <c r="Y79" s="27"/>
      <c r="Z79" s="58"/>
      <c r="AA79" s="58"/>
      <c r="AB79" s="58"/>
      <c r="AC79" s="58"/>
      <c r="AD79" s="58"/>
      <c r="AE79" s="58"/>
      <c r="AF79" s="41">
        <f t="shared" si="5"/>
        <v>469.23999261111021</v>
      </c>
    </row>
    <row r="80" spans="1:32" ht="15" customHeight="1">
      <c r="A80" s="3">
        <v>73</v>
      </c>
      <c r="B80" s="8" t="s">
        <v>98</v>
      </c>
      <c r="C80" s="23" t="s">
        <v>150</v>
      </c>
      <c r="D80" s="41">
        <f t="shared" si="4"/>
        <v>2133.5952947922679</v>
      </c>
      <c r="E80" s="59">
        <v>121.20299694538116</v>
      </c>
      <c r="F80" s="59">
        <v>197.08397710716724</v>
      </c>
      <c r="G80" s="59">
        <v>9.6875202786922454</v>
      </c>
      <c r="H80" s="59">
        <v>123.12200428663195</v>
      </c>
      <c r="I80" s="59">
        <v>92.940293989084665</v>
      </c>
      <c r="J80" s="45">
        <v>76.981574816903446</v>
      </c>
      <c r="K80" s="13"/>
      <c r="L80" s="59">
        <v>482.6845916838646</v>
      </c>
      <c r="M80" s="58"/>
      <c r="N80" s="59">
        <v>451.71102909570931</v>
      </c>
      <c r="O80" s="59">
        <v>343.95172009909152</v>
      </c>
      <c r="P80" s="59">
        <v>77.631529322147372</v>
      </c>
      <c r="Q80" s="45">
        <v>156.59805716759422</v>
      </c>
      <c r="R80" s="13"/>
      <c r="S80" s="59">
        <v>4.0079998970031738</v>
      </c>
      <c r="T80" s="59">
        <v>16.715999752283096</v>
      </c>
      <c r="U80" s="59">
        <v>1.2680000364780426</v>
      </c>
      <c r="V80" s="59">
        <v>53.128999948501587</v>
      </c>
      <c r="W80" s="59">
        <v>73.430999435484409</v>
      </c>
      <c r="X80" s="59">
        <v>265.3390061929822</v>
      </c>
      <c r="Y80" s="27"/>
      <c r="Z80" s="59">
        <v>13.311999917030334</v>
      </c>
      <c r="AA80" s="58"/>
      <c r="AB80" s="59">
        <v>27.598999932408333</v>
      </c>
      <c r="AC80" s="59">
        <v>54.482999891042709</v>
      </c>
      <c r="AD80" s="59">
        <v>25.110000159591436</v>
      </c>
      <c r="AE80" s="59">
        <v>308.93099647015333</v>
      </c>
      <c r="AF80" s="41">
        <f t="shared" si="5"/>
        <v>843.32600163295865</v>
      </c>
    </row>
    <row r="81" spans="1:32" ht="15" customHeight="1">
      <c r="A81" s="3">
        <v>74</v>
      </c>
      <c r="B81" s="8" t="s">
        <v>99</v>
      </c>
      <c r="C81" s="23" t="s">
        <v>149</v>
      </c>
      <c r="D81" s="41">
        <f t="shared" si="4"/>
        <v>447.6755574073224</v>
      </c>
      <c r="E81" s="58"/>
      <c r="F81" s="59">
        <v>188.30414448776841</v>
      </c>
      <c r="G81" s="59">
        <v>16.083655655682087</v>
      </c>
      <c r="H81" s="59">
        <v>59.322628331661221</v>
      </c>
      <c r="I81" s="59">
        <v>77.825698897816238</v>
      </c>
      <c r="J81" s="45">
        <v>106.13943003439449</v>
      </c>
      <c r="K81" s="13"/>
      <c r="L81" s="58"/>
      <c r="M81" s="58"/>
      <c r="N81" s="58"/>
      <c r="O81" s="58"/>
      <c r="P81" s="58"/>
      <c r="Q81" s="45" t="s">
        <v>161</v>
      </c>
      <c r="R81" s="13"/>
      <c r="S81" s="58"/>
      <c r="T81" s="59">
        <v>22.251999862492085</v>
      </c>
      <c r="U81" s="59">
        <v>11.919999748468399</v>
      </c>
      <c r="V81" s="59">
        <v>25.737000107765198</v>
      </c>
      <c r="W81" s="59">
        <v>105.72499927133322</v>
      </c>
      <c r="X81" s="59">
        <v>513.28198555111885</v>
      </c>
      <c r="Y81" s="27"/>
      <c r="Z81" s="58"/>
      <c r="AA81" s="58"/>
      <c r="AB81" s="58"/>
      <c r="AC81" s="58"/>
      <c r="AD81" s="58"/>
      <c r="AE81" s="58"/>
      <c r="AF81" s="41">
        <f t="shared" si="5"/>
        <v>678.91598454117775</v>
      </c>
    </row>
    <row r="82" spans="1:32" ht="15" customHeight="1">
      <c r="A82" s="3">
        <v>75</v>
      </c>
      <c r="B82" s="8" t="s">
        <v>100</v>
      </c>
      <c r="C82" s="23" t="s">
        <v>149</v>
      </c>
      <c r="D82" s="41">
        <f t="shared" si="4"/>
        <v>311.37899994727354</v>
      </c>
      <c r="E82" s="58"/>
      <c r="F82" s="59">
        <v>71.717977870836847</v>
      </c>
      <c r="G82" s="58"/>
      <c r="H82" s="59">
        <v>152.13071912912278</v>
      </c>
      <c r="I82" s="59">
        <v>34.7149351708889</v>
      </c>
      <c r="J82" s="45">
        <v>52.815367776425013</v>
      </c>
      <c r="K82" s="13"/>
      <c r="L82" s="58"/>
      <c r="M82" s="58"/>
      <c r="N82" s="58"/>
      <c r="O82" s="58"/>
      <c r="P82" s="58"/>
      <c r="Q82" s="45" t="s">
        <v>161</v>
      </c>
      <c r="R82" s="13"/>
      <c r="S82" s="58"/>
      <c r="T82" s="59">
        <v>11.572999957948923</v>
      </c>
      <c r="U82" s="58"/>
      <c r="V82" s="59">
        <v>68.653999973088503</v>
      </c>
      <c r="W82" s="59">
        <v>59.315000295639038</v>
      </c>
      <c r="X82" s="59">
        <v>294.75800527632236</v>
      </c>
      <c r="Y82" s="27"/>
      <c r="Z82" s="58"/>
      <c r="AA82" s="58"/>
      <c r="AB82" s="58"/>
      <c r="AC82" s="58"/>
      <c r="AD82" s="58"/>
      <c r="AE82" s="58"/>
      <c r="AF82" s="41">
        <f t="shared" si="5"/>
        <v>434.30000550299883</v>
      </c>
    </row>
    <row r="83" spans="1:32" ht="15" customHeight="1">
      <c r="A83" s="3">
        <v>76</v>
      </c>
      <c r="B83" s="8" t="s">
        <v>101</v>
      </c>
      <c r="C83" s="23" t="s">
        <v>150</v>
      </c>
      <c r="D83" s="41">
        <f t="shared" si="4"/>
        <v>2678.9975766403068</v>
      </c>
      <c r="E83" s="59">
        <v>802.42941073131556</v>
      </c>
      <c r="F83" s="59">
        <v>48.345620721280575</v>
      </c>
      <c r="G83" s="59">
        <v>263.45510476669671</v>
      </c>
      <c r="H83" s="59">
        <v>80.131234830411145</v>
      </c>
      <c r="I83" s="59">
        <v>106.60688702350855</v>
      </c>
      <c r="J83" s="45">
        <v>133.13511060126748</v>
      </c>
      <c r="K83" s="13"/>
      <c r="L83" s="59">
        <v>409.53949332237244</v>
      </c>
      <c r="M83" s="58"/>
      <c r="N83" s="59">
        <v>356.8091672562901</v>
      </c>
      <c r="O83" s="59">
        <v>221.49505176448821</v>
      </c>
      <c r="P83" s="59">
        <v>98.176558875473219</v>
      </c>
      <c r="Q83" s="45">
        <v>158.87393674720278</v>
      </c>
      <c r="R83" s="13"/>
      <c r="S83" s="59">
        <v>15.44599986076355</v>
      </c>
      <c r="T83" s="59">
        <v>6.0740000903606415</v>
      </c>
      <c r="U83" s="59">
        <v>36.913999930024147</v>
      </c>
      <c r="V83" s="59">
        <v>35.071000485680997</v>
      </c>
      <c r="W83" s="59">
        <v>87.878000384196639</v>
      </c>
      <c r="X83" s="59">
        <v>471.21099805831909</v>
      </c>
      <c r="Y83" s="27"/>
      <c r="Z83" s="59">
        <v>8.8489998579025269</v>
      </c>
      <c r="AA83" s="58"/>
      <c r="AB83" s="59">
        <v>19.309999996330589</v>
      </c>
      <c r="AC83" s="59">
        <v>22.043000008910894</v>
      </c>
      <c r="AD83" s="59">
        <v>18.067000010982156</v>
      </c>
      <c r="AE83" s="59">
        <v>220.3409915715456</v>
      </c>
      <c r="AF83" s="41">
        <f t="shared" si="5"/>
        <v>941.20399025501683</v>
      </c>
    </row>
    <row r="84" spans="1:32" ht="15" customHeight="1">
      <c r="A84" s="3">
        <v>77</v>
      </c>
      <c r="B84" s="8" t="s">
        <v>102</v>
      </c>
      <c r="C84" s="23" t="s">
        <v>149</v>
      </c>
      <c r="D84" s="41">
        <f t="shared" si="4"/>
        <v>391.89412225394881</v>
      </c>
      <c r="E84" s="58"/>
      <c r="F84" s="59">
        <v>159.94382608510554</v>
      </c>
      <c r="G84" s="59">
        <v>45.191266683936121</v>
      </c>
      <c r="H84" s="59">
        <v>91.4378433328867</v>
      </c>
      <c r="I84" s="59">
        <v>37.941603798627852</v>
      </c>
      <c r="J84" s="45">
        <v>57.379582353392607</v>
      </c>
      <c r="K84" s="13"/>
      <c r="L84" s="58"/>
      <c r="M84" s="58"/>
      <c r="N84" s="58"/>
      <c r="O84" s="58"/>
      <c r="P84" s="58"/>
      <c r="Q84" s="45" t="s">
        <v>161</v>
      </c>
      <c r="R84" s="13"/>
      <c r="S84" s="58"/>
      <c r="T84" s="59">
        <v>25.44899981841445</v>
      </c>
      <c r="U84" s="59">
        <v>12.546000517904758</v>
      </c>
      <c r="V84" s="59">
        <v>64.92800135910511</v>
      </c>
      <c r="W84" s="59">
        <v>68.567000091075897</v>
      </c>
      <c r="X84" s="59">
        <v>331.6479878872633</v>
      </c>
      <c r="Y84" s="27"/>
      <c r="Z84" s="58"/>
      <c r="AA84" s="58"/>
      <c r="AB84" s="58"/>
      <c r="AC84" s="58"/>
      <c r="AD84" s="58"/>
      <c r="AE84" s="58"/>
      <c r="AF84" s="41">
        <f t="shared" si="5"/>
        <v>503.13798967376351</v>
      </c>
    </row>
    <row r="85" spans="1:32" ht="15" customHeight="1">
      <c r="A85" s="3">
        <v>78</v>
      </c>
      <c r="B85" s="8" t="s">
        <v>103</v>
      </c>
      <c r="C85" s="23" t="s">
        <v>150</v>
      </c>
      <c r="D85" s="41">
        <f t="shared" si="4"/>
        <v>441.11799827051192</v>
      </c>
      <c r="E85" s="58"/>
      <c r="F85" s="59">
        <v>97.835300283216867</v>
      </c>
      <c r="G85" s="59">
        <v>28.913010179400445</v>
      </c>
      <c r="H85" s="59">
        <v>90.310402263164519</v>
      </c>
      <c r="I85" s="59">
        <v>57.659645138774067</v>
      </c>
      <c r="J85" s="45">
        <v>60.665568324081832</v>
      </c>
      <c r="K85" s="13"/>
      <c r="L85" s="58"/>
      <c r="M85" s="58"/>
      <c r="N85" s="59">
        <v>42.783379182592036</v>
      </c>
      <c r="O85" s="59">
        <v>43.859247645150873</v>
      </c>
      <c r="P85" s="59">
        <v>8.5239139260798691</v>
      </c>
      <c r="Q85" s="45">
        <v>10.567531328051393</v>
      </c>
      <c r="R85" s="13"/>
      <c r="S85" s="58"/>
      <c r="T85" s="59">
        <v>12.174000050639734</v>
      </c>
      <c r="U85" s="59">
        <v>10.660000130534172</v>
      </c>
      <c r="V85" s="59">
        <v>56.853000303730369</v>
      </c>
      <c r="W85" s="59">
        <v>81.732000183314085</v>
      </c>
      <c r="X85" s="59">
        <v>301.27201104164124</v>
      </c>
      <c r="Y85" s="27"/>
      <c r="Z85" s="58"/>
      <c r="AA85" s="58"/>
      <c r="AB85" s="59">
        <v>3.3379999436438084</v>
      </c>
      <c r="AC85" s="59">
        <v>7.3329999316483736</v>
      </c>
      <c r="AD85" s="59">
        <v>4.1289999857544899</v>
      </c>
      <c r="AE85" s="59">
        <v>26.831000208854675</v>
      </c>
      <c r="AF85" s="41">
        <f t="shared" si="5"/>
        <v>504.32201177976094</v>
      </c>
    </row>
    <row r="86" spans="1:32" ht="15" customHeight="1">
      <c r="A86" s="3">
        <v>79</v>
      </c>
      <c r="B86" s="8" t="s">
        <v>104</v>
      </c>
      <c r="C86" s="23" t="s">
        <v>149</v>
      </c>
      <c r="D86" s="41">
        <f t="shared" si="4"/>
        <v>1274.3492966975839</v>
      </c>
      <c r="E86" s="59">
        <v>317.31498602581024</v>
      </c>
      <c r="F86" s="59">
        <v>549.50398716850577</v>
      </c>
      <c r="G86" s="59">
        <v>69.286509100198742</v>
      </c>
      <c r="H86" s="59">
        <v>162.17085513770766</v>
      </c>
      <c r="I86" s="59">
        <v>34.975176025390624</v>
      </c>
      <c r="J86" s="45">
        <v>141.09778323997111</v>
      </c>
      <c r="K86" s="13"/>
      <c r="L86" s="58"/>
      <c r="M86" s="58"/>
      <c r="N86" s="58"/>
      <c r="O86" s="58"/>
      <c r="P86" s="58"/>
      <c r="Q86" s="45" t="s">
        <v>161</v>
      </c>
      <c r="R86" s="13"/>
      <c r="S86" s="59">
        <v>12.032000303268433</v>
      </c>
      <c r="T86" s="59">
        <v>74.006000347435474</v>
      </c>
      <c r="U86" s="59">
        <v>19.885000288486481</v>
      </c>
      <c r="V86" s="59">
        <v>48.277999790385365</v>
      </c>
      <c r="W86" s="59">
        <v>43.143000364303589</v>
      </c>
      <c r="X86" s="59">
        <v>642.4180009663105</v>
      </c>
      <c r="Y86" s="27"/>
      <c r="Z86" s="58"/>
      <c r="AA86" s="58"/>
      <c r="AB86" s="58"/>
      <c r="AC86" s="58"/>
      <c r="AD86" s="58"/>
      <c r="AE86" s="58"/>
      <c r="AF86" s="41">
        <f t="shared" si="5"/>
        <v>839.76200206018984</v>
      </c>
    </row>
    <row r="87" spans="1:32" ht="15" customHeight="1">
      <c r="A87" s="3">
        <v>80</v>
      </c>
      <c r="B87" s="8" t="s">
        <v>105</v>
      </c>
      <c r="C87" s="23" t="s">
        <v>149</v>
      </c>
      <c r="D87" s="41">
        <f t="shared" si="4"/>
        <v>321.77462628683907</v>
      </c>
      <c r="E87" s="58"/>
      <c r="F87" s="59">
        <v>84.566920439362519</v>
      </c>
      <c r="G87" s="59">
        <v>73.209581034302715</v>
      </c>
      <c r="H87" s="59">
        <v>69.857241720825428</v>
      </c>
      <c r="I87" s="59">
        <v>51.669626250743868</v>
      </c>
      <c r="J87" s="45">
        <v>42.471256841604571</v>
      </c>
      <c r="K87" s="13"/>
      <c r="L87" s="58"/>
      <c r="M87" s="58"/>
      <c r="N87" s="58"/>
      <c r="O87" s="58"/>
      <c r="P87" s="58"/>
      <c r="Q87" s="45" t="s">
        <v>161</v>
      </c>
      <c r="R87" s="13"/>
      <c r="S87" s="58"/>
      <c r="T87" s="59">
        <v>17.714000076055527</v>
      </c>
      <c r="U87" s="59">
        <v>10.260000139474869</v>
      </c>
      <c r="V87" s="59">
        <v>44.532999649643898</v>
      </c>
      <c r="W87" s="59">
        <v>42.863999366760254</v>
      </c>
      <c r="X87" s="59">
        <v>150.91899916343391</v>
      </c>
      <c r="Y87" s="27"/>
      <c r="Z87" s="58"/>
      <c r="AA87" s="58"/>
      <c r="AB87" s="58"/>
      <c r="AC87" s="58"/>
      <c r="AD87" s="58"/>
      <c r="AE87" s="58"/>
      <c r="AF87" s="41">
        <f t="shared" si="5"/>
        <v>266.28999839536846</v>
      </c>
    </row>
    <row r="88" spans="1:32" ht="15" customHeight="1">
      <c r="A88" s="3">
        <v>81</v>
      </c>
      <c r="B88" s="8" t="s">
        <v>106</v>
      </c>
      <c r="C88" s="23" t="s">
        <v>150</v>
      </c>
      <c r="D88" s="41">
        <f t="shared" si="4"/>
        <v>594.29140747382894</v>
      </c>
      <c r="E88" s="58"/>
      <c r="F88" s="59">
        <v>159.26683953166008</v>
      </c>
      <c r="G88" s="59">
        <v>43.580659181594847</v>
      </c>
      <c r="H88" s="59">
        <v>40.841462327934799</v>
      </c>
      <c r="I88" s="59">
        <v>34.032986062737066</v>
      </c>
      <c r="J88" s="45">
        <v>31.877881170582977</v>
      </c>
      <c r="K88" s="13"/>
      <c r="L88" s="58"/>
      <c r="M88" s="58"/>
      <c r="N88" s="59">
        <v>143.87634066824242</v>
      </c>
      <c r="O88" s="59">
        <v>93.813397634997969</v>
      </c>
      <c r="P88" s="59">
        <v>13.632893880978227</v>
      </c>
      <c r="Q88" s="45">
        <v>33.368947015100566</v>
      </c>
      <c r="R88" s="13"/>
      <c r="S88" s="58"/>
      <c r="T88" s="59">
        <v>24.628999710083008</v>
      </c>
      <c r="U88" s="59">
        <v>8.3669998794794083</v>
      </c>
      <c r="V88" s="59">
        <v>29.777999620884657</v>
      </c>
      <c r="W88" s="59">
        <v>71.310000015306287</v>
      </c>
      <c r="X88" s="59">
        <v>202.09399258857593</v>
      </c>
      <c r="Y88" s="27"/>
      <c r="Z88" s="58"/>
      <c r="AA88" s="58"/>
      <c r="AB88" s="59">
        <v>12.665000224485993</v>
      </c>
      <c r="AC88" s="59">
        <v>15.1559998691082</v>
      </c>
      <c r="AD88" s="59">
        <v>5.4009999707341194</v>
      </c>
      <c r="AE88" s="59">
        <v>74.72199684381485</v>
      </c>
      <c r="AF88" s="41">
        <f t="shared" si="5"/>
        <v>444.12198872247245</v>
      </c>
    </row>
    <row r="89" spans="1:32" ht="15" customHeight="1">
      <c r="A89" s="3">
        <v>82</v>
      </c>
      <c r="B89" s="8" t="s">
        <v>107</v>
      </c>
      <c r="C89" s="23" t="s">
        <v>150</v>
      </c>
      <c r="D89" s="41">
        <f t="shared" si="4"/>
        <v>637.33180228813819</v>
      </c>
      <c r="E89" s="58"/>
      <c r="F89" s="59">
        <v>82.625011265516278</v>
      </c>
      <c r="G89" s="59">
        <v>129.17436033795775</v>
      </c>
      <c r="H89" s="59">
        <v>192.56915130256863</v>
      </c>
      <c r="I89" s="59">
        <v>67.280116779565816</v>
      </c>
      <c r="J89" s="45">
        <v>94.013176672796561</v>
      </c>
      <c r="K89" s="13"/>
      <c r="L89" s="58"/>
      <c r="M89" s="58"/>
      <c r="N89" s="59">
        <v>70.960234353482718</v>
      </c>
      <c r="O89" s="58"/>
      <c r="P89" s="58"/>
      <c r="Q89" s="49">
        <v>0.70975157625042129</v>
      </c>
      <c r="R89" s="13"/>
      <c r="S89" s="58"/>
      <c r="T89" s="59">
        <v>14.077000260353088</v>
      </c>
      <c r="U89" s="59">
        <v>20.447000034153461</v>
      </c>
      <c r="V89" s="59">
        <v>61.463000187650323</v>
      </c>
      <c r="W89" s="59">
        <v>77.335000425577164</v>
      </c>
      <c r="X89" s="59">
        <v>409.57099737226963</v>
      </c>
      <c r="Y89" s="27"/>
      <c r="Z89" s="58"/>
      <c r="AA89" s="58"/>
      <c r="AB89" s="59">
        <v>4.3969999551773071</v>
      </c>
      <c r="AC89" s="58"/>
      <c r="AD89" s="58"/>
      <c r="AE89" s="59">
        <v>1.3320000171661377</v>
      </c>
      <c r="AF89" s="41">
        <f t="shared" si="5"/>
        <v>588.62199825234711</v>
      </c>
    </row>
    <row r="90" spans="1:32" ht="15" customHeight="1">
      <c r="A90" s="3">
        <v>83</v>
      </c>
      <c r="B90" s="8" t="s">
        <v>108</v>
      </c>
      <c r="C90" s="23" t="s">
        <v>149</v>
      </c>
      <c r="D90" s="41">
        <f t="shared" si="4"/>
        <v>145.35020710214923</v>
      </c>
      <c r="E90" s="58"/>
      <c r="F90" s="58"/>
      <c r="G90" s="59">
        <v>62.187438229233024</v>
      </c>
      <c r="H90" s="59">
        <v>34.44099459838867</v>
      </c>
      <c r="I90" s="59">
        <v>18.298060839414596</v>
      </c>
      <c r="J90" s="45">
        <v>30.423713435112944</v>
      </c>
      <c r="K90" s="13"/>
      <c r="L90" s="58"/>
      <c r="M90" s="58"/>
      <c r="N90" s="58"/>
      <c r="O90" s="58"/>
      <c r="P90" s="58"/>
      <c r="Q90" s="45" t="s">
        <v>161</v>
      </c>
      <c r="R90" s="13"/>
      <c r="S90" s="58"/>
      <c r="T90" s="58"/>
      <c r="U90" s="59">
        <v>19.386000037193298</v>
      </c>
      <c r="V90" s="59">
        <v>42.014000177383423</v>
      </c>
      <c r="W90" s="59">
        <v>40.396000146865845</v>
      </c>
      <c r="X90" s="59">
        <v>199.27300271391869</v>
      </c>
      <c r="Y90" s="27"/>
      <c r="Z90" s="58"/>
      <c r="AA90" s="58"/>
      <c r="AB90" s="58"/>
      <c r="AC90" s="58"/>
      <c r="AD90" s="58"/>
      <c r="AE90" s="58"/>
      <c r="AF90" s="41">
        <f t="shared" si="5"/>
        <v>301.06900307536125</v>
      </c>
    </row>
    <row r="91" spans="1:32" ht="15" customHeight="1">
      <c r="A91" s="3">
        <v>84</v>
      </c>
      <c r="B91" s="8" t="s">
        <v>109</v>
      </c>
      <c r="C91" s="23" t="s">
        <v>150</v>
      </c>
      <c r="D91" s="41">
        <f t="shared" si="4"/>
        <v>568.58596654485166</v>
      </c>
      <c r="E91" s="58"/>
      <c r="F91" s="59">
        <v>264.02650137615205</v>
      </c>
      <c r="G91" s="59">
        <v>43.69910249590874</v>
      </c>
      <c r="H91" s="59">
        <v>50.246454956039784</v>
      </c>
      <c r="I91" s="59">
        <v>30.050085519149899</v>
      </c>
      <c r="J91" s="45">
        <v>53.776156303943083</v>
      </c>
      <c r="K91" s="13"/>
      <c r="L91" s="58"/>
      <c r="M91" s="58"/>
      <c r="N91" s="59">
        <v>70.958878548681739</v>
      </c>
      <c r="O91" s="59">
        <v>10.430584218740464</v>
      </c>
      <c r="P91" s="59">
        <v>20.114891932368277</v>
      </c>
      <c r="Q91" s="45">
        <v>25.28331119386765</v>
      </c>
      <c r="R91" s="13"/>
      <c r="S91" s="58"/>
      <c r="T91" s="59">
        <v>21.650999486446381</v>
      </c>
      <c r="U91" s="59">
        <v>17.757999837398529</v>
      </c>
      <c r="V91" s="59">
        <v>24.517999988049269</v>
      </c>
      <c r="W91" s="59">
        <v>46.753000870347023</v>
      </c>
      <c r="X91" s="59">
        <v>283.05800760537386</v>
      </c>
      <c r="Y91" s="27"/>
      <c r="Z91" s="58"/>
      <c r="AA91" s="58"/>
      <c r="AB91" s="59">
        <v>5.378000020980835</v>
      </c>
      <c r="AC91" s="59">
        <v>2.5760000497102737</v>
      </c>
      <c r="AD91" s="59">
        <v>6.6699999794363976</v>
      </c>
      <c r="AE91" s="59">
        <v>50.659001763910055</v>
      </c>
      <c r="AF91" s="41">
        <f t="shared" si="5"/>
        <v>459.02100960165262</v>
      </c>
    </row>
    <row r="92" spans="1:32" ht="15" customHeight="1">
      <c r="A92" s="3">
        <v>85</v>
      </c>
      <c r="B92" s="8" t="s">
        <v>110</v>
      </c>
      <c r="C92" s="23" t="s">
        <v>149</v>
      </c>
      <c r="D92" s="41">
        <f t="shared" si="4"/>
        <v>337.94723892005919</v>
      </c>
      <c r="E92" s="58"/>
      <c r="F92" s="59">
        <v>68.744500637054443</v>
      </c>
      <c r="G92" s="59">
        <v>40.76026973620057</v>
      </c>
      <c r="H92" s="59">
        <v>115.30820493085682</v>
      </c>
      <c r="I92" s="59">
        <v>39.681554825410245</v>
      </c>
      <c r="J92" s="45">
        <v>73.452708790537102</v>
      </c>
      <c r="K92" s="13"/>
      <c r="L92" s="58"/>
      <c r="M92" s="58"/>
      <c r="N92" s="58"/>
      <c r="O92" s="58"/>
      <c r="P92" s="58"/>
      <c r="Q92" s="45" t="s">
        <v>161</v>
      </c>
      <c r="R92" s="13"/>
      <c r="S92" s="58"/>
      <c r="T92" s="59">
        <v>13.802000045776367</v>
      </c>
      <c r="U92" s="59">
        <v>11.718999862670898</v>
      </c>
      <c r="V92" s="59">
        <v>53.730999708175659</v>
      </c>
      <c r="W92" s="59">
        <v>70.313999518752098</v>
      </c>
      <c r="X92" s="59">
        <v>419.36100567877293</v>
      </c>
      <c r="Y92" s="27"/>
      <c r="Z92" s="58"/>
      <c r="AA92" s="58"/>
      <c r="AB92" s="58"/>
      <c r="AC92" s="58"/>
      <c r="AD92" s="58"/>
      <c r="AE92" s="58"/>
      <c r="AF92" s="41">
        <f t="shared" si="5"/>
        <v>568.92700481414795</v>
      </c>
    </row>
    <row r="93" spans="1:32" ht="15" customHeight="1">
      <c r="A93" s="3">
        <v>86</v>
      </c>
      <c r="B93" s="8" t="s">
        <v>111</v>
      </c>
      <c r="C93" s="23" t="s">
        <v>149</v>
      </c>
      <c r="D93" s="41">
        <f t="shared" si="4"/>
        <v>310.82781633618112</v>
      </c>
      <c r="E93" s="58"/>
      <c r="F93" s="58"/>
      <c r="G93" s="58"/>
      <c r="H93" s="59">
        <v>121.91658994159847</v>
      </c>
      <c r="I93" s="59">
        <v>83.925208237260577</v>
      </c>
      <c r="J93" s="45">
        <v>104.98601815732205</v>
      </c>
      <c r="K93" s="13"/>
      <c r="L93" s="58"/>
      <c r="M93" s="58"/>
      <c r="N93" s="58"/>
      <c r="O93" s="58"/>
      <c r="P93" s="58"/>
      <c r="Q93" s="45" t="s">
        <v>161</v>
      </c>
      <c r="R93" s="13"/>
      <c r="S93" s="58"/>
      <c r="T93" s="58"/>
      <c r="U93" s="58"/>
      <c r="V93" s="59">
        <v>46.907999958842993</v>
      </c>
      <c r="W93" s="59">
        <v>94.809001326560974</v>
      </c>
      <c r="X93" s="59">
        <v>452.44501435756683</v>
      </c>
      <c r="Y93" s="27"/>
      <c r="Z93" s="58"/>
      <c r="AA93" s="58"/>
      <c r="AB93" s="58"/>
      <c r="AC93" s="58"/>
      <c r="AD93" s="58"/>
      <c r="AE93" s="58"/>
      <c r="AF93" s="41">
        <f t="shared" si="5"/>
        <v>594.1620156429708</v>
      </c>
    </row>
    <row r="94" spans="1:32" ht="15" customHeight="1">
      <c r="A94" s="3">
        <v>87</v>
      </c>
      <c r="B94" s="8" t="s">
        <v>112</v>
      </c>
      <c r="C94" s="23" t="s">
        <v>150</v>
      </c>
      <c r="D94" s="41">
        <f t="shared" si="4"/>
        <v>769.17399944812394</v>
      </c>
      <c r="E94" s="59">
        <v>242.85344082260133</v>
      </c>
      <c r="F94" s="58"/>
      <c r="G94" s="59">
        <v>196.7924404028505</v>
      </c>
      <c r="H94" s="59">
        <v>54.969904543757437</v>
      </c>
      <c r="I94" s="59">
        <v>31.55806276655197</v>
      </c>
      <c r="J94" s="45">
        <v>44.643049959890931</v>
      </c>
      <c r="K94" s="13"/>
      <c r="L94" s="58"/>
      <c r="M94" s="58"/>
      <c r="N94" s="59">
        <v>67.957699581980705</v>
      </c>
      <c r="O94" s="59">
        <v>95.725708517253395</v>
      </c>
      <c r="P94" s="59">
        <v>15.272668015278876</v>
      </c>
      <c r="Q94" s="45">
        <v>19.401024837958808</v>
      </c>
      <c r="R94" s="13"/>
      <c r="S94" s="59">
        <v>11.386999845504761</v>
      </c>
      <c r="T94" s="58"/>
      <c r="U94" s="59">
        <v>32.882999969646335</v>
      </c>
      <c r="V94" s="59">
        <v>21.333999782800674</v>
      </c>
      <c r="W94" s="59">
        <v>31.961000084877014</v>
      </c>
      <c r="X94" s="59">
        <v>179.69799834489822</v>
      </c>
      <c r="Y94" s="27"/>
      <c r="Z94" s="58"/>
      <c r="AA94" s="58"/>
      <c r="AB94" s="59">
        <v>4.4709999710321426</v>
      </c>
      <c r="AC94" s="59">
        <v>11.992999829351902</v>
      </c>
      <c r="AD94" s="59">
        <v>8.046000000089407</v>
      </c>
      <c r="AE94" s="59">
        <v>51.911999300122261</v>
      </c>
      <c r="AF94" s="41">
        <f t="shared" si="5"/>
        <v>353.68499712832272</v>
      </c>
    </row>
    <row r="95" spans="1:32" ht="15" customHeight="1">
      <c r="A95" s="3">
        <v>88</v>
      </c>
      <c r="B95" s="8" t="s">
        <v>113</v>
      </c>
      <c r="C95" s="23" t="s">
        <v>149</v>
      </c>
      <c r="D95" s="41">
        <f t="shared" si="4"/>
        <v>402.98289312655487</v>
      </c>
      <c r="E95" s="58"/>
      <c r="F95" s="59">
        <v>29.122169342041015</v>
      </c>
      <c r="G95" s="59">
        <v>180.66866350187362</v>
      </c>
      <c r="H95" s="59">
        <v>58.736561559557913</v>
      </c>
      <c r="I95" s="59">
        <v>58.684448651075364</v>
      </c>
      <c r="J95" s="45">
        <v>75.771050072006972</v>
      </c>
      <c r="K95" s="13"/>
      <c r="L95" s="58"/>
      <c r="M95" s="58"/>
      <c r="N95" s="58"/>
      <c r="O95" s="58"/>
      <c r="P95" s="58"/>
      <c r="Q95" s="45" t="s">
        <v>161</v>
      </c>
      <c r="R95" s="13"/>
      <c r="S95" s="58"/>
      <c r="T95" s="59">
        <v>5.4029998779296875</v>
      </c>
      <c r="U95" s="59">
        <v>57.117000460624695</v>
      </c>
      <c r="V95" s="59">
        <v>45.938000231981277</v>
      </c>
      <c r="W95" s="59">
        <v>97.032000005245209</v>
      </c>
      <c r="X95" s="59">
        <v>414.28701151162386</v>
      </c>
      <c r="Y95" s="27"/>
      <c r="Z95" s="58"/>
      <c r="AA95" s="58"/>
      <c r="AB95" s="58"/>
      <c r="AC95" s="58"/>
      <c r="AD95" s="58"/>
      <c r="AE95" s="58"/>
      <c r="AF95" s="41">
        <f t="shared" si="5"/>
        <v>619.77701208740473</v>
      </c>
    </row>
    <row r="96" spans="1:32" ht="15" customHeight="1">
      <c r="A96" s="3">
        <v>89</v>
      </c>
      <c r="B96" s="8" t="s">
        <v>114</v>
      </c>
      <c r="C96" s="23" t="s">
        <v>149</v>
      </c>
      <c r="D96" s="41">
        <f t="shared" si="4"/>
        <v>986.80696038407928</v>
      </c>
      <c r="E96" s="58"/>
      <c r="F96" s="59">
        <v>333.40449740195277</v>
      </c>
      <c r="G96" s="58"/>
      <c r="H96" s="59">
        <v>291.53346629632637</v>
      </c>
      <c r="I96" s="59">
        <v>106.35819992676377</v>
      </c>
      <c r="J96" s="45">
        <v>151.63716038111966</v>
      </c>
      <c r="K96" s="13"/>
      <c r="L96" s="58"/>
      <c r="M96" s="58"/>
      <c r="N96" s="59">
        <v>23.625591311454773</v>
      </c>
      <c r="O96" s="59">
        <v>55.883966215327384</v>
      </c>
      <c r="P96" s="59">
        <v>9.116109091043473</v>
      </c>
      <c r="Q96" s="45">
        <v>15.247969760090989</v>
      </c>
      <c r="R96" s="13"/>
      <c r="S96" s="58"/>
      <c r="T96" s="59">
        <v>46.069999516010284</v>
      </c>
      <c r="U96" s="58"/>
      <c r="V96" s="59">
        <v>85.768000286072493</v>
      </c>
      <c r="W96" s="59">
        <v>97.066998586058617</v>
      </c>
      <c r="X96" s="59">
        <v>571.93699696660042</v>
      </c>
      <c r="Y96" s="27"/>
      <c r="Z96" s="58"/>
      <c r="AA96" s="58"/>
      <c r="AB96" s="59">
        <v>3.960000067949295</v>
      </c>
      <c r="AC96" s="59">
        <v>9.085000105202198</v>
      </c>
      <c r="AD96" s="59">
        <v>4.093000054359436</v>
      </c>
      <c r="AE96" s="59">
        <v>36.920998886227608</v>
      </c>
      <c r="AF96" s="41">
        <f t="shared" si="5"/>
        <v>854.90099446848035</v>
      </c>
    </row>
    <row r="97" spans="1:32" ht="15" customHeight="1">
      <c r="A97" s="3">
        <v>90</v>
      </c>
      <c r="B97" s="8" t="s">
        <v>115</v>
      </c>
      <c r="C97" s="23" t="s">
        <v>150</v>
      </c>
      <c r="D97" s="41">
        <f t="shared" si="4"/>
        <v>1194.3138691584281</v>
      </c>
      <c r="E97" s="58"/>
      <c r="F97" s="59">
        <v>323.50388695955274</v>
      </c>
      <c r="G97" s="59">
        <v>340.24987377938629</v>
      </c>
      <c r="H97" s="59">
        <v>179.53731083616614</v>
      </c>
      <c r="I97" s="59">
        <v>64.741778351128104</v>
      </c>
      <c r="J97" s="45">
        <v>89.960566956484428</v>
      </c>
      <c r="K97" s="13"/>
      <c r="L97" s="58"/>
      <c r="M97" s="58"/>
      <c r="N97" s="59">
        <v>131.61326346205919</v>
      </c>
      <c r="O97" s="59">
        <v>40.352356005486101</v>
      </c>
      <c r="P97" s="59">
        <v>4.889263932824135</v>
      </c>
      <c r="Q97" s="45">
        <v>19.465568875341056</v>
      </c>
      <c r="R97" s="13"/>
      <c r="S97" s="58"/>
      <c r="T97" s="59">
        <v>30.429999589920044</v>
      </c>
      <c r="U97" s="59">
        <v>40.894999913871288</v>
      </c>
      <c r="V97" s="59">
        <v>83.02299983240664</v>
      </c>
      <c r="W97" s="59">
        <v>83.011999182403088</v>
      </c>
      <c r="X97" s="59">
        <v>419.61399713903666</v>
      </c>
      <c r="Y97" s="27"/>
      <c r="Z97" s="58"/>
      <c r="AA97" s="58"/>
      <c r="AB97" s="59">
        <v>8.4180000517517328</v>
      </c>
      <c r="AC97" s="59">
        <v>4.4660000074654818</v>
      </c>
      <c r="AD97" s="59">
        <v>3.4909999668598175</v>
      </c>
      <c r="AE97" s="59">
        <v>62.981000356376171</v>
      </c>
      <c r="AF97" s="41">
        <f t="shared" si="5"/>
        <v>736.32999604009092</v>
      </c>
    </row>
    <row r="98" spans="1:32" ht="15" customHeight="1">
      <c r="A98" s="3">
        <v>91</v>
      </c>
      <c r="B98" s="8" t="s">
        <v>116</v>
      </c>
      <c r="C98" s="23" t="s">
        <v>149</v>
      </c>
      <c r="D98" s="41">
        <f t="shared" si="4"/>
        <v>158.50325543851162</v>
      </c>
      <c r="E98" s="58"/>
      <c r="F98" s="59">
        <v>57.334253917217254</v>
      </c>
      <c r="G98" s="58"/>
      <c r="H98" s="59">
        <v>55.284433255478739</v>
      </c>
      <c r="I98" s="59">
        <v>15.619558855955489</v>
      </c>
      <c r="J98" s="45">
        <v>30.265009409860152</v>
      </c>
      <c r="K98" s="13"/>
      <c r="L98" s="58"/>
      <c r="M98" s="58"/>
      <c r="N98" s="58"/>
      <c r="O98" s="58"/>
      <c r="P98" s="58"/>
      <c r="Q98" s="45" t="s">
        <v>161</v>
      </c>
      <c r="R98" s="13"/>
      <c r="S98" s="58"/>
      <c r="T98" s="59">
        <v>12.131999969482422</v>
      </c>
      <c r="U98" s="58"/>
      <c r="V98" s="59">
        <v>30.864000054076314</v>
      </c>
      <c r="W98" s="59">
        <v>44.344999769236892</v>
      </c>
      <c r="X98" s="59">
        <v>231.97000399231911</v>
      </c>
      <c r="Y98" s="27"/>
      <c r="Z98" s="58"/>
      <c r="AA98" s="58"/>
      <c r="AB98" s="58"/>
      <c r="AC98" s="58"/>
      <c r="AD98" s="58"/>
      <c r="AE98" s="58"/>
      <c r="AF98" s="41">
        <f t="shared" si="5"/>
        <v>319.31100378511474</v>
      </c>
    </row>
    <row r="99" spans="1:32" ht="15" customHeight="1">
      <c r="A99" s="3">
        <v>92</v>
      </c>
      <c r="B99" s="8" t="s">
        <v>117</v>
      </c>
      <c r="C99" s="23" t="s">
        <v>149</v>
      </c>
      <c r="D99" s="41">
        <f t="shared" si="4"/>
        <v>898.19495386164976</v>
      </c>
      <c r="E99" s="58"/>
      <c r="F99" s="59">
        <v>306.25198244953157</v>
      </c>
      <c r="G99" s="59">
        <v>89.01309978872537</v>
      </c>
      <c r="H99" s="59">
        <v>313.88455241709204</v>
      </c>
      <c r="I99" s="59">
        <v>58.806509364604949</v>
      </c>
      <c r="J99" s="45">
        <v>130.2388098416958</v>
      </c>
      <c r="K99" s="13"/>
      <c r="L99" s="58"/>
      <c r="M99" s="58"/>
      <c r="N99" s="58"/>
      <c r="O99" s="58"/>
      <c r="P99" s="58"/>
      <c r="Q99" s="45" t="s">
        <v>161</v>
      </c>
      <c r="R99" s="13"/>
      <c r="S99" s="58"/>
      <c r="T99" s="59">
        <v>46.278999805450439</v>
      </c>
      <c r="U99" s="59">
        <v>7.6689999252557755</v>
      </c>
      <c r="V99" s="59">
        <v>112.11499985307455</v>
      </c>
      <c r="W99" s="59">
        <v>91.528000116348267</v>
      </c>
      <c r="X99" s="59">
        <v>685.69197896122932</v>
      </c>
      <c r="Y99" s="27"/>
      <c r="Z99" s="58"/>
      <c r="AA99" s="58"/>
      <c r="AB99" s="58"/>
      <c r="AC99" s="58"/>
      <c r="AD99" s="58"/>
      <c r="AE99" s="58"/>
      <c r="AF99" s="41">
        <f t="shared" si="5"/>
        <v>943.28297866135836</v>
      </c>
    </row>
    <row r="100" spans="1:32" ht="15" customHeight="1">
      <c r="A100" s="3">
        <v>93</v>
      </c>
      <c r="B100" s="8" t="s">
        <v>118</v>
      </c>
      <c r="C100" s="23" t="s">
        <v>151</v>
      </c>
      <c r="D100" s="41">
        <f t="shared" si="4"/>
        <v>1422.6044811351844</v>
      </c>
      <c r="E100" s="59">
        <v>107.7465992629528</v>
      </c>
      <c r="F100" s="58"/>
      <c r="G100" s="59">
        <v>132.26480803821235</v>
      </c>
      <c r="H100" s="59">
        <v>16.2294648103714</v>
      </c>
      <c r="I100" s="59">
        <v>51.942527386903762</v>
      </c>
      <c r="J100" s="45">
        <v>56.82944674822938</v>
      </c>
      <c r="K100" s="13"/>
      <c r="L100" s="59">
        <v>621.86413754343982</v>
      </c>
      <c r="M100" s="58"/>
      <c r="N100" s="59">
        <v>97.391434883639221</v>
      </c>
      <c r="O100" s="59">
        <v>169.38492763079702</v>
      </c>
      <c r="P100" s="59">
        <v>60.327805135756734</v>
      </c>
      <c r="Q100" s="45">
        <v>108.62332969488192</v>
      </c>
      <c r="R100" s="13"/>
      <c r="S100" s="59">
        <v>2.8579999804496765</v>
      </c>
      <c r="T100" s="58"/>
      <c r="U100" s="59">
        <v>34.14700011909008</v>
      </c>
      <c r="V100" s="59">
        <v>9.2539999485015869</v>
      </c>
      <c r="W100" s="59">
        <v>37.925000190734863</v>
      </c>
      <c r="X100" s="59">
        <v>186.45500159263611</v>
      </c>
      <c r="Y100" s="27"/>
      <c r="Z100" s="59">
        <v>10.55400013923645</v>
      </c>
      <c r="AA100" s="58"/>
      <c r="AB100" s="59">
        <v>7.3600000850856304</v>
      </c>
      <c r="AC100" s="59">
        <v>18.840000400319695</v>
      </c>
      <c r="AD100" s="59">
        <v>17.288000032305717</v>
      </c>
      <c r="AE100" s="59">
        <v>198.67599795758724</v>
      </c>
      <c r="AF100" s="41">
        <f t="shared" si="5"/>
        <v>523.35700044594705</v>
      </c>
    </row>
    <row r="101" spans="1:32" ht="15" customHeight="1">
      <c r="A101" s="3">
        <v>94</v>
      </c>
      <c r="B101" s="8" t="s">
        <v>119</v>
      </c>
      <c r="C101" s="23" t="s">
        <v>149</v>
      </c>
      <c r="D101" s="41">
        <f t="shared" si="4"/>
        <v>231.04468444994498</v>
      </c>
      <c r="E101" s="58"/>
      <c r="F101" s="59">
        <v>87.97032390858233</v>
      </c>
      <c r="G101" s="59">
        <v>19.19428690907359</v>
      </c>
      <c r="H101" s="59">
        <v>62.639348472476009</v>
      </c>
      <c r="I101" s="59">
        <v>16.998945271015167</v>
      </c>
      <c r="J101" s="45">
        <v>44.241779888797879</v>
      </c>
      <c r="K101" s="13"/>
      <c r="L101" s="58"/>
      <c r="M101" s="58"/>
      <c r="N101" s="58"/>
      <c r="O101" s="58"/>
      <c r="P101" s="58"/>
      <c r="Q101" s="45" t="s">
        <v>161</v>
      </c>
      <c r="R101" s="13"/>
      <c r="S101" s="58"/>
      <c r="T101" s="59">
        <v>27.110999651253223</v>
      </c>
      <c r="U101" s="59">
        <v>9.0929999500513077</v>
      </c>
      <c r="V101" s="59">
        <v>85.156999297440052</v>
      </c>
      <c r="W101" s="59">
        <v>41.949000597000122</v>
      </c>
      <c r="X101" s="59">
        <v>310.66199460625648</v>
      </c>
      <c r="Y101" s="27"/>
      <c r="Z101" s="58"/>
      <c r="AA101" s="58"/>
      <c r="AB101" s="58"/>
      <c r="AC101" s="58"/>
      <c r="AD101" s="58"/>
      <c r="AE101" s="58"/>
      <c r="AF101" s="41">
        <f t="shared" si="5"/>
        <v>473.97199410200119</v>
      </c>
    </row>
    <row r="102" spans="1:32" ht="15" customHeight="1">
      <c r="A102" s="3">
        <v>95</v>
      </c>
      <c r="B102" s="8" t="s">
        <v>120</v>
      </c>
      <c r="C102" s="23" t="s">
        <v>149</v>
      </c>
      <c r="D102" s="41">
        <f t="shared" si="4"/>
        <v>115.8730235116401</v>
      </c>
      <c r="E102" s="58"/>
      <c r="F102" s="58"/>
      <c r="G102" s="59">
        <v>17.425380061864853</v>
      </c>
      <c r="H102" s="59">
        <v>55.166850790526716</v>
      </c>
      <c r="I102" s="59">
        <v>13.386890011668205</v>
      </c>
      <c r="J102" s="45">
        <v>29.893902647580333</v>
      </c>
      <c r="K102" s="13"/>
      <c r="L102" s="58"/>
      <c r="M102" s="58"/>
      <c r="N102" s="58"/>
      <c r="O102" s="58"/>
      <c r="P102" s="58"/>
      <c r="Q102" s="45" t="s">
        <v>161</v>
      </c>
      <c r="R102" s="13"/>
      <c r="S102" s="58"/>
      <c r="T102" s="58"/>
      <c r="U102" s="59">
        <v>5.3300000429153442</v>
      </c>
      <c r="V102" s="59">
        <v>50.129000743851066</v>
      </c>
      <c r="W102" s="59">
        <v>42.994000047445297</v>
      </c>
      <c r="X102" s="59">
        <v>247.47599971294403</v>
      </c>
      <c r="Y102" s="27"/>
      <c r="Z102" s="58"/>
      <c r="AA102" s="58"/>
      <c r="AB102" s="58"/>
      <c r="AC102" s="58"/>
      <c r="AD102" s="58"/>
      <c r="AE102" s="58"/>
      <c r="AF102" s="41">
        <f t="shared" si="5"/>
        <v>345.92900054715574</v>
      </c>
    </row>
    <row r="103" spans="1:32" ht="15" customHeight="1">
      <c r="A103" s="3">
        <v>96</v>
      </c>
      <c r="B103" s="8" t="s">
        <v>121</v>
      </c>
      <c r="C103" s="23" t="s">
        <v>149</v>
      </c>
      <c r="D103" s="41">
        <f t="shared" si="4"/>
        <v>313.28486720441225</v>
      </c>
      <c r="E103" s="58"/>
      <c r="F103" s="59">
        <v>148.81214033377171</v>
      </c>
      <c r="G103" s="59">
        <v>7.3280548381805417</v>
      </c>
      <c r="H103" s="59">
        <v>36.671165473699567</v>
      </c>
      <c r="I103" s="59">
        <v>52.928378080129626</v>
      </c>
      <c r="J103" s="45">
        <v>67.545128478630787</v>
      </c>
      <c r="K103" s="13"/>
      <c r="L103" s="58"/>
      <c r="M103" s="58"/>
      <c r="N103" s="58"/>
      <c r="O103" s="58"/>
      <c r="P103" s="58"/>
      <c r="Q103" s="45" t="s">
        <v>161</v>
      </c>
      <c r="R103" s="13"/>
      <c r="S103" s="58"/>
      <c r="T103" s="59">
        <v>23.678999811410904</v>
      </c>
      <c r="U103" s="59">
        <v>10.364999771118164</v>
      </c>
      <c r="V103" s="59">
        <v>31.414000451564789</v>
      </c>
      <c r="W103" s="59">
        <v>71.47200021892786</v>
      </c>
      <c r="X103" s="59">
        <v>325.42001104354858</v>
      </c>
      <c r="Y103" s="27"/>
      <c r="Z103" s="58"/>
      <c r="AA103" s="58"/>
      <c r="AB103" s="58"/>
      <c r="AC103" s="58"/>
      <c r="AD103" s="58"/>
      <c r="AE103" s="58"/>
      <c r="AF103" s="41">
        <f t="shared" si="5"/>
        <v>462.3500112965703</v>
      </c>
    </row>
    <row r="104" spans="1:32" ht="15" customHeight="1">
      <c r="A104" s="3">
        <v>97</v>
      </c>
      <c r="B104" s="8" t="s">
        <v>122</v>
      </c>
      <c r="C104" s="23" t="s">
        <v>150</v>
      </c>
      <c r="D104" s="41">
        <f t="shared" ref="D104:D127" si="6">SUM(E104:J104)+SUM(L104:Q104)</f>
        <v>954.15295623979114</v>
      </c>
      <c r="E104" s="58"/>
      <c r="F104" s="59">
        <v>447.29228956186773</v>
      </c>
      <c r="G104" s="59">
        <v>86.474410994715996</v>
      </c>
      <c r="H104" s="59">
        <v>188.89435697638987</v>
      </c>
      <c r="I104" s="59">
        <v>86.791264004588129</v>
      </c>
      <c r="J104" s="45">
        <v>144.70063470222945</v>
      </c>
      <c r="K104" s="13"/>
      <c r="L104" s="58"/>
      <c r="M104" s="58"/>
      <c r="N104" s="58"/>
      <c r="O104" s="58"/>
      <c r="P104" s="58"/>
      <c r="Q104" s="45" t="s">
        <v>161</v>
      </c>
      <c r="R104" s="13"/>
      <c r="S104" s="58"/>
      <c r="T104" s="59">
        <v>41.193000316619873</v>
      </c>
      <c r="U104" s="59">
        <v>11.749999921768904</v>
      </c>
      <c r="V104" s="59">
        <v>84.494000017642975</v>
      </c>
      <c r="W104" s="59">
        <v>75.941999971866608</v>
      </c>
      <c r="X104" s="59">
        <v>531.59699116647243</v>
      </c>
      <c r="Y104" s="27"/>
      <c r="Z104" s="58"/>
      <c r="AA104" s="58"/>
      <c r="AB104" s="58"/>
      <c r="AC104" s="58"/>
      <c r="AD104" s="58"/>
      <c r="AE104" s="58"/>
      <c r="AF104" s="41">
        <f t="shared" ref="AF104:AF127" si="7">SUM(S104:AE104)</f>
        <v>744.97599139437079</v>
      </c>
    </row>
    <row r="105" spans="1:32" ht="15" customHeight="1">
      <c r="A105" s="3">
        <v>98</v>
      </c>
      <c r="B105" s="8" t="s">
        <v>123</v>
      </c>
      <c r="C105" s="23" t="s">
        <v>150</v>
      </c>
      <c r="D105" s="41">
        <f t="shared" si="6"/>
        <v>2131.4005098187604</v>
      </c>
      <c r="E105" s="58"/>
      <c r="F105" s="59">
        <v>795.58150923109054</v>
      </c>
      <c r="G105" s="59">
        <v>112.08403112973272</v>
      </c>
      <c r="H105" s="59">
        <v>334.41511792518946</v>
      </c>
      <c r="I105" s="59">
        <v>206.85285312718153</v>
      </c>
      <c r="J105" s="45">
        <v>237.83547341910099</v>
      </c>
      <c r="K105" s="13"/>
      <c r="L105" s="58"/>
      <c r="M105" s="58"/>
      <c r="N105" s="59">
        <v>306.11717986482381</v>
      </c>
      <c r="O105" s="59">
        <v>73.28645300425589</v>
      </c>
      <c r="P105" s="59">
        <v>26.183908850640059</v>
      </c>
      <c r="Q105" s="45">
        <v>39.043983266745386</v>
      </c>
      <c r="R105" s="13"/>
      <c r="S105" s="58"/>
      <c r="T105" s="59">
        <v>74.899999529123306</v>
      </c>
      <c r="U105" s="59">
        <v>28.798000164330006</v>
      </c>
      <c r="V105" s="59">
        <v>134.21700077131391</v>
      </c>
      <c r="W105" s="59">
        <v>160.6540008187294</v>
      </c>
      <c r="X105" s="59">
        <v>811.03402052074671</v>
      </c>
      <c r="Y105" s="27"/>
      <c r="Z105" s="58"/>
      <c r="AA105" s="58"/>
      <c r="AB105" s="59">
        <v>10.917000167071819</v>
      </c>
      <c r="AC105" s="59">
        <v>10.194000139832497</v>
      </c>
      <c r="AD105" s="59">
        <v>5.6969999894499779</v>
      </c>
      <c r="AE105" s="59">
        <v>60.123001098632812</v>
      </c>
      <c r="AF105" s="41">
        <f t="shared" si="7"/>
        <v>1296.5340231992304</v>
      </c>
    </row>
    <row r="106" spans="1:32" ht="15" customHeight="1">
      <c r="A106" s="3">
        <v>99</v>
      </c>
      <c r="B106" s="8" t="s">
        <v>124</v>
      </c>
      <c r="C106" s="23" t="s">
        <v>149</v>
      </c>
      <c r="D106" s="41">
        <f t="shared" si="6"/>
        <v>484.08924678894891</v>
      </c>
      <c r="E106" s="58"/>
      <c r="F106" s="59">
        <v>259.27246685028075</v>
      </c>
      <c r="G106" s="59">
        <v>68.33118787363172</v>
      </c>
      <c r="H106" s="59">
        <v>85.153549281761045</v>
      </c>
      <c r="I106" s="59">
        <v>33.041011272933332</v>
      </c>
      <c r="J106" s="45">
        <v>38.29103151034203</v>
      </c>
      <c r="K106" s="13"/>
      <c r="L106" s="58"/>
      <c r="M106" s="58"/>
      <c r="N106" s="58"/>
      <c r="O106" s="58"/>
      <c r="P106" s="58"/>
      <c r="Q106" s="45" t="s">
        <v>161</v>
      </c>
      <c r="R106" s="13"/>
      <c r="S106" s="58"/>
      <c r="T106" s="59">
        <v>24.086999893188477</v>
      </c>
      <c r="U106" s="59">
        <v>13.862000118941069</v>
      </c>
      <c r="V106" s="59">
        <v>39.191000282764435</v>
      </c>
      <c r="W106" s="59">
        <v>52.176000338047743</v>
      </c>
      <c r="X106" s="59">
        <v>203.43000476062298</v>
      </c>
      <c r="Y106" s="27"/>
      <c r="Z106" s="58"/>
      <c r="AA106" s="58"/>
      <c r="AB106" s="58"/>
      <c r="AC106" s="58"/>
      <c r="AD106" s="58"/>
      <c r="AE106" s="58"/>
      <c r="AF106" s="41">
        <f t="shared" si="7"/>
        <v>332.7460053935647</v>
      </c>
    </row>
    <row r="107" spans="1:32" ht="15" customHeight="1">
      <c r="A107" s="3">
        <v>100</v>
      </c>
      <c r="B107" s="8" t="s">
        <v>125</v>
      </c>
      <c r="C107" s="23" t="s">
        <v>150</v>
      </c>
      <c r="D107" s="41">
        <f t="shared" si="6"/>
        <v>1907.0355566277376</v>
      </c>
      <c r="E107" s="58"/>
      <c r="F107" s="59">
        <v>673.43015322807435</v>
      </c>
      <c r="G107" s="59">
        <v>47.036725735664369</v>
      </c>
      <c r="H107" s="59">
        <v>229.81320784744619</v>
      </c>
      <c r="I107" s="59">
        <v>140.1587855336368</v>
      </c>
      <c r="J107" s="45">
        <v>303.34306859164394</v>
      </c>
      <c r="K107" s="13"/>
      <c r="L107" s="58"/>
      <c r="M107" s="59">
        <v>11.935000419616699</v>
      </c>
      <c r="N107" s="59">
        <v>281.52678324824569</v>
      </c>
      <c r="O107" s="59">
        <v>105.65008054161817</v>
      </c>
      <c r="P107" s="59">
        <v>38.928872052431103</v>
      </c>
      <c r="Q107" s="45">
        <v>75.212879429360342</v>
      </c>
      <c r="R107" s="13"/>
      <c r="S107" s="58"/>
      <c r="T107" s="59">
        <v>71.969998789951205</v>
      </c>
      <c r="U107" s="59">
        <v>4.168999969959259</v>
      </c>
      <c r="V107" s="59">
        <v>83.11599987000227</v>
      </c>
      <c r="W107" s="59">
        <v>143.97199985384941</v>
      </c>
      <c r="X107" s="59">
        <v>1231.8690178841352</v>
      </c>
      <c r="Y107" s="27"/>
      <c r="Z107" s="58"/>
      <c r="AA107" s="59">
        <v>1.0850000381469727</v>
      </c>
      <c r="AB107" s="59">
        <v>10.507000062614679</v>
      </c>
      <c r="AC107" s="59">
        <v>15.048999950289726</v>
      </c>
      <c r="AD107" s="59">
        <v>8.1970000490546227</v>
      </c>
      <c r="AE107" s="59">
        <v>113.47199900820851</v>
      </c>
      <c r="AF107" s="41">
        <f t="shared" si="7"/>
        <v>1683.4060154762119</v>
      </c>
    </row>
    <row r="108" spans="1:32" ht="15" customHeight="1">
      <c r="A108" s="3">
        <v>101</v>
      </c>
      <c r="B108" s="8" t="s">
        <v>126</v>
      </c>
      <c r="C108" s="23" t="s">
        <v>149</v>
      </c>
      <c r="D108" s="41">
        <f t="shared" si="6"/>
        <v>39.671149407406801</v>
      </c>
      <c r="E108" s="58"/>
      <c r="F108" s="59">
        <v>4.608371977329254</v>
      </c>
      <c r="G108" s="58"/>
      <c r="H108" s="59">
        <v>17.965877974569796</v>
      </c>
      <c r="I108" s="59">
        <v>5.4326420247554781</v>
      </c>
      <c r="J108" s="45">
        <v>11.664257430752272</v>
      </c>
      <c r="K108" s="13"/>
      <c r="L108" s="58"/>
      <c r="M108" s="58"/>
      <c r="N108" s="58"/>
      <c r="O108" s="58"/>
      <c r="P108" s="58"/>
      <c r="Q108" s="45" t="s">
        <v>161</v>
      </c>
      <c r="R108" s="13"/>
      <c r="S108" s="58"/>
      <c r="T108" s="59">
        <v>1.3569999933242798</v>
      </c>
      <c r="U108" s="58"/>
      <c r="V108" s="59">
        <v>25.384000092744827</v>
      </c>
      <c r="W108" s="59">
        <v>20.016000032424927</v>
      </c>
      <c r="X108" s="59">
        <v>105.21300363540649</v>
      </c>
      <c r="Y108" s="27"/>
      <c r="Z108" s="58"/>
      <c r="AA108" s="58"/>
      <c r="AB108" s="58"/>
      <c r="AC108" s="58"/>
      <c r="AD108" s="58"/>
      <c r="AE108" s="58"/>
      <c r="AF108" s="41">
        <f t="shared" si="7"/>
        <v>151.97000375390053</v>
      </c>
    </row>
    <row r="109" spans="1:32" ht="15" customHeight="1">
      <c r="A109" s="3">
        <v>102</v>
      </c>
      <c r="B109" s="8" t="s">
        <v>127</v>
      </c>
      <c r="C109" s="23" t="s">
        <v>149</v>
      </c>
      <c r="D109" s="41">
        <f t="shared" si="6"/>
        <v>1217.4449371227931</v>
      </c>
      <c r="E109" s="59">
        <v>825.1394918441772</v>
      </c>
      <c r="F109" s="59">
        <v>90.702120679095387</v>
      </c>
      <c r="G109" s="59">
        <v>92.994287878237671</v>
      </c>
      <c r="H109" s="59">
        <v>76.260574219390747</v>
      </c>
      <c r="I109" s="59">
        <v>52.180796439994126</v>
      </c>
      <c r="J109" s="45">
        <v>80.167666061898061</v>
      </c>
      <c r="K109" s="13"/>
      <c r="L109" s="58"/>
      <c r="M109" s="58"/>
      <c r="N109" s="58"/>
      <c r="O109" s="58"/>
      <c r="P109" s="58"/>
      <c r="Q109" s="45" t="s">
        <v>161</v>
      </c>
      <c r="R109" s="13"/>
      <c r="S109" s="59">
        <v>22.640999794006348</v>
      </c>
      <c r="T109" s="59">
        <v>10.295999817550182</v>
      </c>
      <c r="U109" s="59">
        <v>14.328999973833561</v>
      </c>
      <c r="V109" s="59">
        <v>29.391000509262085</v>
      </c>
      <c r="W109" s="59">
        <v>94.24699867144227</v>
      </c>
      <c r="X109" s="59">
        <v>463.19901080802083</v>
      </c>
      <c r="Y109" s="27"/>
      <c r="Z109" s="58"/>
      <c r="AA109" s="58"/>
      <c r="AB109" s="58"/>
      <c r="AC109" s="58"/>
      <c r="AD109" s="58"/>
      <c r="AE109" s="58"/>
      <c r="AF109" s="41">
        <f t="shared" si="7"/>
        <v>634.10300957411528</v>
      </c>
    </row>
    <row r="110" spans="1:32" ht="15" customHeight="1">
      <c r="A110" s="3">
        <v>103</v>
      </c>
      <c r="B110" s="8" t="s">
        <v>128</v>
      </c>
      <c r="C110" s="23" t="s">
        <v>150</v>
      </c>
      <c r="D110" s="41">
        <f t="shared" si="6"/>
        <v>891.18857035283293</v>
      </c>
      <c r="E110" s="59">
        <v>294.60665119934083</v>
      </c>
      <c r="F110" s="58"/>
      <c r="G110" s="59">
        <v>93.571119789361958</v>
      </c>
      <c r="H110" s="59">
        <v>202.01990975305438</v>
      </c>
      <c r="I110" s="59">
        <v>39.696835634499791</v>
      </c>
      <c r="J110" s="45">
        <v>94.694576843741942</v>
      </c>
      <c r="K110" s="13"/>
      <c r="L110" s="58"/>
      <c r="M110" s="58"/>
      <c r="N110" s="59">
        <v>78.964692129164931</v>
      </c>
      <c r="O110" s="59">
        <v>56.973172549754381</v>
      </c>
      <c r="P110" s="59">
        <v>3.5186199754476548</v>
      </c>
      <c r="Q110" s="45">
        <v>27.142992478467079</v>
      </c>
      <c r="R110" s="13"/>
      <c r="S110" s="59">
        <v>19.710000038146973</v>
      </c>
      <c r="T110" s="58"/>
      <c r="U110" s="59">
        <v>15.250999957323074</v>
      </c>
      <c r="V110" s="59">
        <v>64.479999842122197</v>
      </c>
      <c r="W110" s="59">
        <v>37.392000302672386</v>
      </c>
      <c r="X110" s="59">
        <v>364.28499066829681</v>
      </c>
      <c r="Y110" s="27"/>
      <c r="Z110" s="58"/>
      <c r="AA110" s="58"/>
      <c r="AB110" s="59">
        <v>3.0439998917281628</v>
      </c>
      <c r="AC110" s="59">
        <v>3.7669999673962593</v>
      </c>
      <c r="AD110" s="59">
        <v>0.70499999821186066</v>
      </c>
      <c r="AE110" s="59">
        <v>39.698998581618071</v>
      </c>
      <c r="AF110" s="41">
        <f t="shared" si="7"/>
        <v>548.3329892475158</v>
      </c>
    </row>
    <row r="111" spans="1:32" ht="15" customHeight="1">
      <c r="A111" s="3">
        <v>104</v>
      </c>
      <c r="B111" s="8" t="s">
        <v>129</v>
      </c>
      <c r="C111" s="23" t="s">
        <v>149</v>
      </c>
      <c r="D111" s="41">
        <f t="shared" si="6"/>
        <v>535.94553850357704</v>
      </c>
      <c r="E111" s="58"/>
      <c r="F111" s="59">
        <v>217.33318964775651</v>
      </c>
      <c r="G111" s="58"/>
      <c r="H111" s="59">
        <v>109.72230327092112</v>
      </c>
      <c r="I111" s="59">
        <v>89.425957487761977</v>
      </c>
      <c r="J111" s="45">
        <v>119.46408809713743</v>
      </c>
      <c r="K111" s="13"/>
      <c r="L111" s="58"/>
      <c r="M111" s="58"/>
      <c r="N111" s="58"/>
      <c r="O111" s="58"/>
      <c r="P111" s="58"/>
      <c r="Q111" s="45" t="s">
        <v>161</v>
      </c>
      <c r="R111" s="13"/>
      <c r="S111" s="58"/>
      <c r="T111" s="59">
        <v>40.508999651297927</v>
      </c>
      <c r="U111" s="58"/>
      <c r="V111" s="59">
        <v>35.866000063717365</v>
      </c>
      <c r="W111" s="59">
        <v>88.695000410079956</v>
      </c>
      <c r="X111" s="59">
        <v>474.63200209289789</v>
      </c>
      <c r="Y111" s="27"/>
      <c r="Z111" s="58"/>
      <c r="AA111" s="58"/>
      <c r="AB111" s="58"/>
      <c r="AC111" s="58"/>
      <c r="AD111" s="58"/>
      <c r="AE111" s="58"/>
      <c r="AF111" s="41">
        <f t="shared" si="7"/>
        <v>639.70200221799314</v>
      </c>
    </row>
    <row r="112" spans="1:32" ht="15" customHeight="1">
      <c r="A112" s="3">
        <v>105</v>
      </c>
      <c r="B112" s="8" t="s">
        <v>130</v>
      </c>
      <c r="C112" s="23" t="s">
        <v>150</v>
      </c>
      <c r="D112" s="41">
        <f t="shared" si="6"/>
        <v>1810.0156710864635</v>
      </c>
      <c r="E112" s="59">
        <v>830.614771938324</v>
      </c>
      <c r="F112" s="59">
        <v>27.766799783706666</v>
      </c>
      <c r="G112" s="59">
        <v>126.48952035531401</v>
      </c>
      <c r="H112" s="59">
        <v>91.045679012438285</v>
      </c>
      <c r="I112" s="59">
        <v>57.181409359609709</v>
      </c>
      <c r="J112" s="45">
        <v>54.33822277097358</v>
      </c>
      <c r="K112" s="13"/>
      <c r="L112" s="59">
        <v>173.2065783073902</v>
      </c>
      <c r="M112" s="58"/>
      <c r="N112" s="59">
        <v>194.41486536267399</v>
      </c>
      <c r="O112" s="59">
        <v>125.49066437294334</v>
      </c>
      <c r="P112" s="59">
        <v>40.804299806654456</v>
      </c>
      <c r="Q112" s="45">
        <v>88.66286001643536</v>
      </c>
      <c r="R112" s="13"/>
      <c r="S112" s="59">
        <v>22.010000228881836</v>
      </c>
      <c r="T112" s="59">
        <v>1.7139999866485596</v>
      </c>
      <c r="U112" s="59">
        <v>21.73199999332428</v>
      </c>
      <c r="V112" s="59">
        <v>45.834000096656382</v>
      </c>
      <c r="W112" s="59">
        <v>65.391001557931304</v>
      </c>
      <c r="X112" s="59">
        <v>235.96900145709515</v>
      </c>
      <c r="Y112" s="27"/>
      <c r="Z112" s="59">
        <v>4.3310000598430634</v>
      </c>
      <c r="AA112" s="58"/>
      <c r="AB112" s="59">
        <v>13.215999830514193</v>
      </c>
      <c r="AC112" s="59">
        <v>9.7580000599846244</v>
      </c>
      <c r="AD112" s="59">
        <v>7.4279999434947968</v>
      </c>
      <c r="AE112" s="59">
        <v>122.13500317186117</v>
      </c>
      <c r="AF112" s="41">
        <f t="shared" si="7"/>
        <v>549.51800638623536</v>
      </c>
    </row>
    <row r="113" spans="1:32" ht="15" customHeight="1">
      <c r="A113" s="3">
        <v>106</v>
      </c>
      <c r="B113" s="8" t="s">
        <v>131</v>
      </c>
      <c r="C113" s="23" t="s">
        <v>150</v>
      </c>
      <c r="D113" s="41">
        <f t="shared" si="6"/>
        <v>1776.7471563385768</v>
      </c>
      <c r="E113" s="59">
        <v>1039.7012747516633</v>
      </c>
      <c r="F113" s="58"/>
      <c r="G113" s="59">
        <v>245.96335836768151</v>
      </c>
      <c r="H113" s="59">
        <v>72.103398028433318</v>
      </c>
      <c r="I113" s="59">
        <v>90.269307273060079</v>
      </c>
      <c r="J113" s="45">
        <v>63.343958834348513</v>
      </c>
      <c r="K113" s="13"/>
      <c r="L113" s="58"/>
      <c r="M113" s="58"/>
      <c r="N113" s="59">
        <v>198.24131639070436</v>
      </c>
      <c r="O113" s="59">
        <v>11.488019843228161</v>
      </c>
      <c r="P113" s="59">
        <v>22.171692917622625</v>
      </c>
      <c r="Q113" s="45">
        <v>33.464829931835133</v>
      </c>
      <c r="R113" s="13"/>
      <c r="S113" s="59">
        <v>22.329000473022461</v>
      </c>
      <c r="T113" s="58"/>
      <c r="U113" s="59">
        <v>50.500000402331352</v>
      </c>
      <c r="V113" s="59">
        <v>35.224000096321106</v>
      </c>
      <c r="W113" s="59">
        <v>114.34599974751472</v>
      </c>
      <c r="X113" s="59">
        <v>293.229004599154</v>
      </c>
      <c r="Y113" s="27"/>
      <c r="Z113" s="58"/>
      <c r="AA113" s="58"/>
      <c r="AB113" s="59">
        <v>13.015999957919121</v>
      </c>
      <c r="AC113" s="59">
        <v>1.7339999787509441</v>
      </c>
      <c r="AD113" s="59">
        <v>8.0239999741315842</v>
      </c>
      <c r="AE113" s="59">
        <v>70.818000793457031</v>
      </c>
      <c r="AF113" s="41">
        <f t="shared" si="7"/>
        <v>609.22000602260232</v>
      </c>
    </row>
    <row r="114" spans="1:32" ht="15" customHeight="1">
      <c r="A114" s="3">
        <v>107</v>
      </c>
      <c r="B114" s="8" t="s">
        <v>132</v>
      </c>
      <c r="C114" s="23" t="s">
        <v>150</v>
      </c>
      <c r="D114" s="41">
        <f t="shared" si="6"/>
        <v>999.66562141541283</v>
      </c>
      <c r="E114" s="59">
        <v>596.69391142725942</v>
      </c>
      <c r="F114" s="58"/>
      <c r="G114" s="59">
        <v>45.804050816595556</v>
      </c>
      <c r="H114" s="59">
        <v>114.33018641079403</v>
      </c>
      <c r="I114" s="59">
        <v>40.977027527391911</v>
      </c>
      <c r="J114" s="45">
        <v>48.527359519392448</v>
      </c>
      <c r="K114" s="13"/>
      <c r="L114" s="58"/>
      <c r="M114" s="58"/>
      <c r="N114" s="58"/>
      <c r="O114" s="59">
        <v>123.15811873496138</v>
      </c>
      <c r="P114" s="59">
        <v>9.1628388499617568</v>
      </c>
      <c r="Q114" s="45">
        <v>21.012128129056389</v>
      </c>
      <c r="R114" s="13"/>
      <c r="S114" s="59">
        <v>13.711000263690948</v>
      </c>
      <c r="T114" s="58"/>
      <c r="U114" s="59">
        <v>4.3190000709146261</v>
      </c>
      <c r="V114" s="59">
        <v>46.562999985180795</v>
      </c>
      <c r="W114" s="59">
        <v>75.164000809192657</v>
      </c>
      <c r="X114" s="59">
        <v>283.10600674152374</v>
      </c>
      <c r="Y114" s="27"/>
      <c r="Z114" s="58"/>
      <c r="AA114" s="58"/>
      <c r="AB114" s="58"/>
      <c r="AC114" s="59">
        <v>19.706000127829611</v>
      </c>
      <c r="AD114" s="59">
        <v>5.5919999331235886</v>
      </c>
      <c r="AE114" s="59">
        <v>61.633998692035675</v>
      </c>
      <c r="AF114" s="41">
        <f t="shared" si="7"/>
        <v>509.79500662349164</v>
      </c>
    </row>
    <row r="115" spans="1:32" ht="15" customHeight="1">
      <c r="A115" s="3">
        <v>108</v>
      </c>
      <c r="B115" s="8" t="s">
        <v>133</v>
      </c>
      <c r="C115" s="23" t="s">
        <v>149</v>
      </c>
      <c r="D115" s="41">
        <f t="shared" si="6"/>
        <v>329.28771366278363</v>
      </c>
      <c r="E115" s="58"/>
      <c r="F115" s="58"/>
      <c r="G115" s="59">
        <v>168.85701026653499</v>
      </c>
      <c r="H115" s="59">
        <v>68.693835327796634</v>
      </c>
      <c r="I115" s="59">
        <v>41.460287128940223</v>
      </c>
      <c r="J115" s="45">
        <v>50.276580939511746</v>
      </c>
      <c r="K115" s="13"/>
      <c r="L115" s="58"/>
      <c r="M115" s="58"/>
      <c r="N115" s="58"/>
      <c r="O115" s="58"/>
      <c r="P115" s="58"/>
      <c r="Q115" s="45" t="s">
        <v>161</v>
      </c>
      <c r="R115" s="13"/>
      <c r="S115" s="58"/>
      <c r="T115" s="58"/>
      <c r="U115" s="59">
        <v>23.736000733450055</v>
      </c>
      <c r="V115" s="59">
        <v>24.176000487059355</v>
      </c>
      <c r="W115" s="59">
        <v>52.636000201106071</v>
      </c>
      <c r="X115" s="59">
        <v>233.06300055235624</v>
      </c>
      <c r="Y115" s="27"/>
      <c r="Z115" s="58"/>
      <c r="AA115" s="58"/>
      <c r="AB115" s="58"/>
      <c r="AC115" s="58"/>
      <c r="AD115" s="58"/>
      <c r="AE115" s="58"/>
      <c r="AF115" s="41">
        <f t="shared" si="7"/>
        <v>333.61100197397172</v>
      </c>
    </row>
    <row r="116" spans="1:32" ht="15" customHeight="1">
      <c r="A116" s="3">
        <v>109</v>
      </c>
      <c r="B116" s="8" t="s">
        <v>134</v>
      </c>
      <c r="C116" s="23" t="s">
        <v>150</v>
      </c>
      <c r="D116" s="41">
        <f t="shared" si="6"/>
        <v>633.00998148529891</v>
      </c>
      <c r="E116" s="58"/>
      <c r="F116" s="59">
        <v>196.35156026560068</v>
      </c>
      <c r="G116" s="59">
        <v>29.767943884611128</v>
      </c>
      <c r="H116" s="59">
        <v>56.821971232220534</v>
      </c>
      <c r="I116" s="59">
        <v>60.790081656962634</v>
      </c>
      <c r="J116" s="45">
        <v>71.648231345807275</v>
      </c>
      <c r="K116" s="13"/>
      <c r="L116" s="58"/>
      <c r="M116" s="58"/>
      <c r="N116" s="59">
        <v>75.098904626339674</v>
      </c>
      <c r="O116" s="59">
        <v>41.031178958117962</v>
      </c>
      <c r="P116" s="59">
        <v>58.100610844090582</v>
      </c>
      <c r="Q116" s="45">
        <v>43.399498671548379</v>
      </c>
      <c r="R116" s="13"/>
      <c r="S116" s="58"/>
      <c r="T116" s="59">
        <v>29.317999958992004</v>
      </c>
      <c r="U116" s="59">
        <v>3.7799999713897705</v>
      </c>
      <c r="V116" s="59">
        <v>27.291000179946423</v>
      </c>
      <c r="W116" s="59">
        <v>86.876999631524086</v>
      </c>
      <c r="X116" s="59">
        <v>357.63600332289934</v>
      </c>
      <c r="Y116" s="27"/>
      <c r="Z116" s="58"/>
      <c r="AA116" s="58"/>
      <c r="AB116" s="59">
        <v>6.2619999423623085</v>
      </c>
      <c r="AC116" s="59">
        <v>5.3200001418590546</v>
      </c>
      <c r="AD116" s="59">
        <v>13.548999959602952</v>
      </c>
      <c r="AE116" s="59">
        <v>69.789000034332275</v>
      </c>
      <c r="AF116" s="41">
        <f t="shared" si="7"/>
        <v>599.82200314290822</v>
      </c>
    </row>
    <row r="117" spans="1:32" ht="15" customHeight="1">
      <c r="A117" s="3">
        <v>110</v>
      </c>
      <c r="B117" s="8" t="s">
        <v>135</v>
      </c>
      <c r="C117" s="23" t="s">
        <v>149</v>
      </c>
      <c r="D117" s="41">
        <f t="shared" si="6"/>
        <v>321.79774691263322</v>
      </c>
      <c r="E117" s="58"/>
      <c r="F117" s="59">
        <v>62.057865704536439</v>
      </c>
      <c r="G117" s="59">
        <v>63.433872159272433</v>
      </c>
      <c r="H117" s="59">
        <v>98.428475051447748</v>
      </c>
      <c r="I117" s="59">
        <v>38.213046462872995</v>
      </c>
      <c r="J117" s="45">
        <v>59.664487534503557</v>
      </c>
      <c r="K117" s="13"/>
      <c r="L117" s="58"/>
      <c r="M117" s="58"/>
      <c r="N117" s="58"/>
      <c r="O117" s="58"/>
      <c r="P117" s="58"/>
      <c r="Q117" s="45" t="s">
        <v>161</v>
      </c>
      <c r="R117" s="13"/>
      <c r="S117" s="58"/>
      <c r="T117" s="59">
        <v>14.421999931335449</v>
      </c>
      <c r="U117" s="59">
        <v>23.064000114798546</v>
      </c>
      <c r="V117" s="59">
        <v>62.165000975131989</v>
      </c>
      <c r="W117" s="59">
        <v>85.452998949214816</v>
      </c>
      <c r="X117" s="59">
        <v>393.9490062892437</v>
      </c>
      <c r="Y117" s="27"/>
      <c r="Z117" s="58"/>
      <c r="AA117" s="58"/>
      <c r="AB117" s="58"/>
      <c r="AC117" s="58"/>
      <c r="AD117" s="58"/>
      <c r="AE117" s="58"/>
      <c r="AF117" s="41">
        <f t="shared" si="7"/>
        <v>579.0530062597245</v>
      </c>
    </row>
    <row r="118" spans="1:32" ht="15" customHeight="1">
      <c r="A118" s="3">
        <v>111</v>
      </c>
      <c r="B118" s="8" t="s">
        <v>136</v>
      </c>
      <c r="C118" s="23" t="s">
        <v>149</v>
      </c>
      <c r="D118" s="41">
        <f t="shared" si="6"/>
        <v>619.97429693010417</v>
      </c>
      <c r="E118" s="59">
        <v>217.81770386695862</v>
      </c>
      <c r="F118" s="59">
        <v>146.96475135585666</v>
      </c>
      <c r="G118" s="58"/>
      <c r="H118" s="59">
        <v>59.478461170524362</v>
      </c>
      <c r="I118" s="59">
        <v>68.183569395661351</v>
      </c>
      <c r="J118" s="45">
        <v>127.52981114110308</v>
      </c>
      <c r="K118" s="13"/>
      <c r="L118" s="58"/>
      <c r="M118" s="58"/>
      <c r="N118" s="58"/>
      <c r="O118" s="58"/>
      <c r="P118" s="58"/>
      <c r="Q118" s="45" t="s">
        <v>161</v>
      </c>
      <c r="R118" s="13"/>
      <c r="S118" s="59">
        <v>12.44100022315979</v>
      </c>
      <c r="T118" s="59">
        <v>28.111999437212944</v>
      </c>
      <c r="U118" s="58"/>
      <c r="V118" s="59">
        <v>55.971000891178846</v>
      </c>
      <c r="W118" s="59">
        <v>97.865998864173889</v>
      </c>
      <c r="X118" s="59">
        <v>638.295977499336</v>
      </c>
      <c r="Y118" s="27"/>
      <c r="Z118" s="58"/>
      <c r="AA118" s="58"/>
      <c r="AB118" s="58"/>
      <c r="AC118" s="58"/>
      <c r="AD118" s="58"/>
      <c r="AE118" s="58"/>
      <c r="AF118" s="41">
        <f t="shared" si="7"/>
        <v>832.68597691506147</v>
      </c>
    </row>
    <row r="119" spans="1:32" ht="15" customHeight="1">
      <c r="A119" s="3">
        <v>112</v>
      </c>
      <c r="B119" s="8" t="s">
        <v>137</v>
      </c>
      <c r="C119" s="23" t="s">
        <v>149</v>
      </c>
      <c r="D119" s="41">
        <f t="shared" si="6"/>
        <v>202.09570401416178</v>
      </c>
      <c r="E119" s="59">
        <v>21.587800085544586</v>
      </c>
      <c r="F119" s="58"/>
      <c r="G119" s="59">
        <v>76.226922282069921</v>
      </c>
      <c r="H119" s="59">
        <v>55.387032552361489</v>
      </c>
      <c r="I119" s="59">
        <v>20.750499195814132</v>
      </c>
      <c r="J119" s="45">
        <v>28.143449898371642</v>
      </c>
      <c r="K119" s="13"/>
      <c r="L119" s="58"/>
      <c r="M119" s="58"/>
      <c r="N119" s="58"/>
      <c r="O119" s="58"/>
      <c r="P119" s="58"/>
      <c r="Q119" s="45" t="s">
        <v>161</v>
      </c>
      <c r="R119" s="13"/>
      <c r="S119" s="59">
        <v>0.72200000286102295</v>
      </c>
      <c r="T119" s="58"/>
      <c r="U119" s="59">
        <v>19.369000062346458</v>
      </c>
      <c r="V119" s="59">
        <v>17.693000257015228</v>
      </c>
      <c r="W119" s="59">
        <v>43.323000431060791</v>
      </c>
      <c r="X119" s="59">
        <v>178.01899720355868</v>
      </c>
      <c r="Y119" s="27"/>
      <c r="Z119" s="58"/>
      <c r="AA119" s="58"/>
      <c r="AB119" s="58"/>
      <c r="AC119" s="58"/>
      <c r="AD119" s="58"/>
      <c r="AE119" s="58"/>
      <c r="AF119" s="41">
        <f t="shared" si="7"/>
        <v>259.12599795684218</v>
      </c>
    </row>
    <row r="120" spans="1:32" ht="15" customHeight="1">
      <c r="A120" s="3">
        <v>113</v>
      </c>
      <c r="B120" s="8" t="s">
        <v>138</v>
      </c>
      <c r="C120" s="23" t="s">
        <v>149</v>
      </c>
      <c r="D120" s="41">
        <f t="shared" si="6"/>
        <v>412.5680102244487</v>
      </c>
      <c r="E120" s="58"/>
      <c r="F120" s="59">
        <v>137.74898432196676</v>
      </c>
      <c r="G120" s="59">
        <v>73.460881850138307</v>
      </c>
      <c r="H120" s="59">
        <v>39.873127345740798</v>
      </c>
      <c r="I120" s="59">
        <v>65.21827278827503</v>
      </c>
      <c r="J120" s="45">
        <v>96.266743918327776</v>
      </c>
      <c r="K120" s="13"/>
      <c r="L120" s="58"/>
      <c r="M120" s="58"/>
      <c r="N120" s="58"/>
      <c r="O120" s="58"/>
      <c r="P120" s="58"/>
      <c r="Q120" s="45" t="s">
        <v>161</v>
      </c>
      <c r="R120" s="13"/>
      <c r="S120" s="58"/>
      <c r="T120" s="59">
        <v>26.344999838620424</v>
      </c>
      <c r="U120" s="59">
        <v>27.23400004580617</v>
      </c>
      <c r="V120" s="59">
        <v>30.482000276446342</v>
      </c>
      <c r="W120" s="59">
        <v>79.673998652026057</v>
      </c>
      <c r="X120" s="59">
        <v>435.66000039875507</v>
      </c>
      <c r="Y120" s="27"/>
      <c r="Z120" s="58"/>
      <c r="AA120" s="58"/>
      <c r="AB120" s="58"/>
      <c r="AC120" s="58"/>
      <c r="AD120" s="58"/>
      <c r="AE120" s="58"/>
      <c r="AF120" s="41">
        <f t="shared" si="7"/>
        <v>599.39499921165407</v>
      </c>
    </row>
    <row r="121" spans="1:32" ht="15" customHeight="1">
      <c r="A121" s="3">
        <v>114</v>
      </c>
      <c r="B121" s="8" t="s">
        <v>139</v>
      </c>
      <c r="C121" s="23" t="s">
        <v>150</v>
      </c>
      <c r="D121" s="41">
        <f t="shared" si="6"/>
        <v>3713.4482468649799</v>
      </c>
      <c r="E121" s="59">
        <v>991.65450860595706</v>
      </c>
      <c r="F121" s="59">
        <v>262.64434914040567</v>
      </c>
      <c r="G121" s="59">
        <v>101.39603159570694</v>
      </c>
      <c r="H121" s="59">
        <v>228.28179417742788</v>
      </c>
      <c r="I121" s="59">
        <v>147.06469463551045</v>
      </c>
      <c r="J121" s="45">
        <v>158.3980761193128</v>
      </c>
      <c r="K121" s="13"/>
      <c r="L121" s="59">
        <v>347.42040288448334</v>
      </c>
      <c r="M121" s="59">
        <v>112.86076046037674</v>
      </c>
      <c r="N121" s="59">
        <v>367.7596335988473</v>
      </c>
      <c r="O121" s="59">
        <v>494.90835291817041</v>
      </c>
      <c r="P121" s="59">
        <v>228.65336322131753</v>
      </c>
      <c r="Q121" s="45">
        <v>272.40627950746398</v>
      </c>
      <c r="R121" s="13"/>
      <c r="S121" s="59">
        <v>21.822999954223633</v>
      </c>
      <c r="T121" s="59">
        <v>24.048000603914261</v>
      </c>
      <c r="U121" s="59">
        <v>22.479999840259552</v>
      </c>
      <c r="V121" s="59">
        <v>52.6049999371171</v>
      </c>
      <c r="W121" s="59">
        <v>147.77399873733521</v>
      </c>
      <c r="X121" s="59">
        <v>634.45701429247856</v>
      </c>
      <c r="Y121" s="27"/>
      <c r="Z121" s="59">
        <v>7.3560000658035278</v>
      </c>
      <c r="AA121" s="59">
        <v>7.4220000505447388</v>
      </c>
      <c r="AB121" s="59">
        <v>18.43800009554252</v>
      </c>
      <c r="AC121" s="59">
        <v>31.906000156886876</v>
      </c>
      <c r="AD121" s="59">
        <v>33.578000128269196</v>
      </c>
      <c r="AE121" s="59">
        <v>328.11699720472097</v>
      </c>
      <c r="AF121" s="41">
        <f t="shared" si="7"/>
        <v>1330.0040110670961</v>
      </c>
    </row>
    <row r="122" spans="1:32" ht="15" customHeight="1">
      <c r="A122" s="3">
        <v>115</v>
      </c>
      <c r="B122" s="8" t="s">
        <v>140</v>
      </c>
      <c r="C122" s="23" t="s">
        <v>149</v>
      </c>
      <c r="D122" s="41">
        <f t="shared" si="6"/>
        <v>385.24398699074135</v>
      </c>
      <c r="E122" s="58"/>
      <c r="F122" s="59">
        <v>162.39669996663929</v>
      </c>
      <c r="G122" s="59">
        <v>98.333628597274426</v>
      </c>
      <c r="H122" s="59">
        <v>53.629261132113633</v>
      </c>
      <c r="I122" s="59">
        <v>28.795861750483514</v>
      </c>
      <c r="J122" s="45">
        <v>42.088535544230453</v>
      </c>
      <c r="K122" s="13"/>
      <c r="L122" s="58"/>
      <c r="M122" s="58"/>
      <c r="N122" s="58"/>
      <c r="O122" s="58"/>
      <c r="P122" s="58"/>
      <c r="Q122" s="45" t="s">
        <v>161</v>
      </c>
      <c r="R122" s="13"/>
      <c r="S122" s="58"/>
      <c r="T122" s="59">
        <v>24.828999623656273</v>
      </c>
      <c r="U122" s="59">
        <v>20.427000150084496</v>
      </c>
      <c r="V122" s="59">
        <v>42.040999595075846</v>
      </c>
      <c r="W122" s="59">
        <v>71.042999356985092</v>
      </c>
      <c r="X122" s="59">
        <v>295.49599619954824</v>
      </c>
      <c r="Y122" s="27"/>
      <c r="Z122" s="58"/>
      <c r="AA122" s="58"/>
      <c r="AB122" s="58"/>
      <c r="AC122" s="58"/>
      <c r="AD122" s="58"/>
      <c r="AE122" s="58"/>
      <c r="AF122" s="41">
        <f t="shared" si="7"/>
        <v>453.83599492534995</v>
      </c>
    </row>
    <row r="123" spans="1:32" ht="15" customHeight="1">
      <c r="A123" s="3">
        <v>116</v>
      </c>
      <c r="B123" s="8" t="s">
        <v>141</v>
      </c>
      <c r="C123" s="23" t="s">
        <v>150</v>
      </c>
      <c r="D123" s="41">
        <f t="shared" si="6"/>
        <v>514.27111139344618</v>
      </c>
      <c r="E123" s="58"/>
      <c r="F123" s="58"/>
      <c r="G123" s="59">
        <v>168.24851281428337</v>
      </c>
      <c r="H123" s="59">
        <v>24.059087160736322</v>
      </c>
      <c r="I123" s="59">
        <v>88.509434660255906</v>
      </c>
      <c r="J123" s="45">
        <v>88.011130071512653</v>
      </c>
      <c r="K123" s="13"/>
      <c r="L123" s="58"/>
      <c r="M123" s="58"/>
      <c r="N123" s="59">
        <v>57.233718551039694</v>
      </c>
      <c r="O123" s="59">
        <v>62.832179307058453</v>
      </c>
      <c r="P123" s="59">
        <v>8.2314820538088682</v>
      </c>
      <c r="Q123" s="45">
        <v>17.145566774750922</v>
      </c>
      <c r="R123" s="13"/>
      <c r="S123" s="58"/>
      <c r="T123" s="58"/>
      <c r="U123" s="59">
        <v>20.210999548435211</v>
      </c>
      <c r="V123" s="59">
        <v>12.252000108361244</v>
      </c>
      <c r="W123" s="59">
        <v>135.92999976873398</v>
      </c>
      <c r="X123" s="59">
        <v>459.51600692048669</v>
      </c>
      <c r="Y123" s="27"/>
      <c r="Z123" s="58"/>
      <c r="AA123" s="58"/>
      <c r="AB123" s="59">
        <v>5.0240000486373901</v>
      </c>
      <c r="AC123" s="59">
        <v>6.076000027358532</v>
      </c>
      <c r="AD123" s="59">
        <v>4.213000014424324</v>
      </c>
      <c r="AE123" s="59">
        <v>45.05599994584918</v>
      </c>
      <c r="AF123" s="41">
        <f t="shared" si="7"/>
        <v>688.27800638228655</v>
      </c>
    </row>
    <row r="124" spans="1:32" ht="15" customHeight="1">
      <c r="A124" s="3">
        <v>117</v>
      </c>
      <c r="B124" s="8" t="s">
        <v>142</v>
      </c>
      <c r="C124" s="23" t="s">
        <v>149</v>
      </c>
      <c r="D124" s="41">
        <f t="shared" si="6"/>
        <v>477.37199021453785</v>
      </c>
      <c r="E124" s="58"/>
      <c r="F124" s="59">
        <v>130.60875658035278</v>
      </c>
      <c r="G124" s="59">
        <v>79.147808116763827</v>
      </c>
      <c r="H124" s="59">
        <v>147.4659863449186</v>
      </c>
      <c r="I124" s="59">
        <v>49.205968110591172</v>
      </c>
      <c r="J124" s="45">
        <v>70.943471061911481</v>
      </c>
      <c r="K124" s="13"/>
      <c r="L124" s="58"/>
      <c r="M124" s="58"/>
      <c r="N124" s="58"/>
      <c r="O124" s="58"/>
      <c r="P124" s="58"/>
      <c r="Q124" s="45" t="s">
        <v>161</v>
      </c>
      <c r="R124" s="13"/>
      <c r="S124" s="58"/>
      <c r="T124" s="59">
        <v>10.302000045776367</v>
      </c>
      <c r="U124" s="59">
        <v>27.700999721884727</v>
      </c>
      <c r="V124" s="59">
        <v>67.111999331042171</v>
      </c>
      <c r="W124" s="59">
        <v>92.576000601053238</v>
      </c>
      <c r="X124" s="59">
        <v>420.48901270329952</v>
      </c>
      <c r="Y124" s="27"/>
      <c r="Z124" s="58"/>
      <c r="AA124" s="58"/>
      <c r="AB124" s="58"/>
      <c r="AC124" s="58"/>
      <c r="AD124" s="58"/>
      <c r="AE124" s="58"/>
      <c r="AF124" s="41">
        <f t="shared" si="7"/>
        <v>618.18001240305603</v>
      </c>
    </row>
    <row r="125" spans="1:32" ht="15" customHeight="1">
      <c r="A125" s="3">
        <v>118</v>
      </c>
      <c r="B125" s="8" t="s">
        <v>143</v>
      </c>
      <c r="C125" s="23" t="s">
        <v>150</v>
      </c>
      <c r="D125" s="41">
        <f t="shared" si="6"/>
        <v>1511.5724306173415</v>
      </c>
      <c r="E125" s="59">
        <v>695.44584899902338</v>
      </c>
      <c r="F125" s="59">
        <v>1.2062000185251236</v>
      </c>
      <c r="G125" s="59">
        <v>61.425440546214581</v>
      </c>
      <c r="H125" s="59">
        <v>216.81725204500555</v>
      </c>
      <c r="I125" s="59">
        <v>65.813951968789098</v>
      </c>
      <c r="J125" s="45">
        <v>121.75469428612695</v>
      </c>
      <c r="K125" s="13"/>
      <c r="L125" s="59">
        <v>120.19196084928512</v>
      </c>
      <c r="M125" s="58"/>
      <c r="N125" s="59">
        <v>36.251669615507126</v>
      </c>
      <c r="O125" s="59">
        <v>132.53857513081283</v>
      </c>
      <c r="P125" s="59">
        <v>31.031879252467306</v>
      </c>
      <c r="Q125" s="45">
        <v>29.09495790558438</v>
      </c>
      <c r="R125" s="13"/>
      <c r="S125" s="59">
        <v>24.357000350952148</v>
      </c>
      <c r="T125" s="59">
        <v>0.16300000250339508</v>
      </c>
      <c r="U125" s="59">
        <v>16.026000052690506</v>
      </c>
      <c r="V125" s="59">
        <v>78.570999875664711</v>
      </c>
      <c r="W125" s="59">
        <v>82.649999558925629</v>
      </c>
      <c r="X125" s="59">
        <v>560.58400478959084</v>
      </c>
      <c r="Y125" s="27"/>
      <c r="Z125" s="59">
        <v>3.5859999656677246</v>
      </c>
      <c r="AA125" s="58"/>
      <c r="AB125" s="59">
        <v>2.9889999628067017</v>
      </c>
      <c r="AC125" s="59">
        <v>15.302000068128109</v>
      </c>
      <c r="AD125" s="59">
        <v>14.138000024482608</v>
      </c>
      <c r="AE125" s="59">
        <v>71.096001163125038</v>
      </c>
      <c r="AF125" s="41">
        <f t="shared" si="7"/>
        <v>869.46200581453741</v>
      </c>
    </row>
    <row r="126" spans="1:32" ht="15" customHeight="1">
      <c r="A126" s="3">
        <v>119</v>
      </c>
      <c r="B126" s="8" t="s">
        <v>144</v>
      </c>
      <c r="C126" s="23" t="s">
        <v>149</v>
      </c>
      <c r="D126" s="41">
        <f t="shared" si="6"/>
        <v>308.91856690886317</v>
      </c>
      <c r="E126" s="58"/>
      <c r="F126" s="59">
        <v>177.74330654394626</v>
      </c>
      <c r="G126" s="59">
        <v>15.62167666053772</v>
      </c>
      <c r="H126" s="59">
        <v>65.245305929332972</v>
      </c>
      <c r="I126" s="59">
        <v>19.448463075324891</v>
      </c>
      <c r="J126" s="45">
        <v>30.859814699721301</v>
      </c>
      <c r="K126" s="13"/>
      <c r="L126" s="58"/>
      <c r="M126" s="58"/>
      <c r="N126" s="58"/>
      <c r="O126" s="58"/>
      <c r="P126" s="58"/>
      <c r="Q126" s="45" t="s">
        <v>161</v>
      </c>
      <c r="R126" s="13"/>
      <c r="S126" s="58"/>
      <c r="T126" s="59">
        <v>32.431999891996384</v>
      </c>
      <c r="U126" s="59">
        <v>7.3539998531341553</v>
      </c>
      <c r="V126" s="59">
        <v>50.114999853074551</v>
      </c>
      <c r="W126" s="59">
        <v>53.245000161230564</v>
      </c>
      <c r="X126" s="59">
        <v>231.2190008815378</v>
      </c>
      <c r="Y126" s="27"/>
      <c r="Z126" s="58"/>
      <c r="AA126" s="58"/>
      <c r="AB126" s="58"/>
      <c r="AC126" s="58"/>
      <c r="AD126" s="58"/>
      <c r="AE126" s="58"/>
      <c r="AF126" s="41">
        <f t="shared" si="7"/>
        <v>374.36500064097345</v>
      </c>
    </row>
    <row r="127" spans="1:32" ht="15" customHeight="1">
      <c r="A127" s="3">
        <v>120</v>
      </c>
      <c r="B127" s="8" t="s">
        <v>145</v>
      </c>
      <c r="C127" s="23" t="s">
        <v>150</v>
      </c>
      <c r="D127" s="41">
        <f t="shared" si="6"/>
        <v>1098.8549017633864</v>
      </c>
      <c r="E127" s="59">
        <v>258.2484064178467</v>
      </c>
      <c r="F127" s="59">
        <v>415.34362901401522</v>
      </c>
      <c r="G127" s="59">
        <v>51.292545551598074</v>
      </c>
      <c r="H127" s="59">
        <v>110.0395833913982</v>
      </c>
      <c r="I127" s="59">
        <v>49.671953728258607</v>
      </c>
      <c r="J127" s="45">
        <v>34.374383794305892</v>
      </c>
      <c r="K127" s="13"/>
      <c r="L127" s="58"/>
      <c r="M127" s="58"/>
      <c r="N127" s="59">
        <v>56.819999051094058</v>
      </c>
      <c r="O127" s="59">
        <v>58.993823666304351</v>
      </c>
      <c r="P127" s="59">
        <v>30.693341690689326</v>
      </c>
      <c r="Q127" s="45">
        <v>33.377235457875898</v>
      </c>
      <c r="R127" s="13"/>
      <c r="S127" s="59">
        <v>7.6750001907348633</v>
      </c>
      <c r="T127" s="59">
        <v>19.718000173568726</v>
      </c>
      <c r="U127" s="59">
        <v>7.7590002715587616</v>
      </c>
      <c r="V127" s="59">
        <v>36.363000236451626</v>
      </c>
      <c r="W127" s="59">
        <v>56.534999325871468</v>
      </c>
      <c r="X127" s="59">
        <v>148.83300219476223</v>
      </c>
      <c r="Y127" s="27"/>
      <c r="Z127" s="58"/>
      <c r="AA127" s="58"/>
      <c r="AB127" s="59">
        <v>2.5079999566078186</v>
      </c>
      <c r="AC127" s="59">
        <v>7.0269999802112579</v>
      </c>
      <c r="AD127" s="59">
        <v>7.0139999054372311</v>
      </c>
      <c r="AE127" s="59">
        <v>52.996999889612198</v>
      </c>
      <c r="AF127" s="41">
        <f t="shared" si="7"/>
        <v>346.42900212481618</v>
      </c>
    </row>
    <row r="128" spans="1:32" s="36" customFormat="1" ht="15.75">
      <c r="A128" s="28"/>
      <c r="B128" s="29"/>
      <c r="C128" s="30"/>
      <c r="D128" s="42"/>
      <c r="E128" s="31"/>
      <c r="F128" s="31"/>
      <c r="G128" s="31"/>
      <c r="H128" s="31"/>
      <c r="I128" s="31"/>
      <c r="J128" s="46"/>
      <c r="K128" s="32"/>
      <c r="L128" s="33"/>
      <c r="M128" s="33"/>
      <c r="N128" s="33"/>
      <c r="O128" s="33"/>
      <c r="P128" s="33"/>
      <c r="Q128" s="46"/>
      <c r="R128" s="32"/>
      <c r="S128" s="34"/>
      <c r="T128" s="34"/>
      <c r="U128" s="34"/>
      <c r="V128" s="34"/>
      <c r="W128" s="34"/>
      <c r="X128" s="35"/>
      <c r="Y128" s="35"/>
      <c r="Z128" s="34"/>
      <c r="AA128" s="34"/>
      <c r="AB128" s="34"/>
      <c r="AC128" s="34"/>
      <c r="AD128" s="34"/>
      <c r="AE128" s="35"/>
      <c r="AF128" s="42"/>
    </row>
    <row r="129" spans="1:32" ht="15.75">
      <c r="A129" s="3"/>
      <c r="B129" s="50" t="s">
        <v>146</v>
      </c>
      <c r="C129" s="51"/>
      <c r="D129" s="41">
        <f t="shared" ref="D129:I129" si="8">SUM(D8:D127)</f>
        <v>130518.84358955451</v>
      </c>
      <c r="E129" s="41">
        <f t="shared" si="8"/>
        <v>18560.587555646001</v>
      </c>
      <c r="F129" s="41">
        <f t="shared" si="8"/>
        <v>19247.927044901604</v>
      </c>
      <c r="G129" s="41">
        <f t="shared" si="8"/>
        <v>7850.4467357042122</v>
      </c>
      <c r="H129" s="41">
        <f t="shared" si="8"/>
        <v>13418.388018859421</v>
      </c>
      <c r="I129" s="41">
        <f t="shared" si="8"/>
        <v>6493.7337716342317</v>
      </c>
      <c r="J129" s="41">
        <f>SUM(J8:J127)</f>
        <v>9395.2113594346119</v>
      </c>
      <c r="K129" s="52"/>
      <c r="L129" s="41">
        <f t="shared" ref="L129:Q129" si="9">SUM(L8:L127)</f>
        <v>17220.665987277433</v>
      </c>
      <c r="M129" s="41">
        <f t="shared" si="9"/>
        <v>2086.7832626005411</v>
      </c>
      <c r="N129" s="41">
        <f t="shared" si="9"/>
        <v>15467.077161476371</v>
      </c>
      <c r="O129" s="41">
        <f t="shared" si="9"/>
        <v>10100.366683211747</v>
      </c>
      <c r="P129" s="41">
        <f t="shared" si="9"/>
        <v>4572.718048650745</v>
      </c>
      <c r="Q129" s="41">
        <f t="shared" si="9"/>
        <v>6104.9379601575683</v>
      </c>
      <c r="R129" s="52"/>
      <c r="S129" s="41">
        <f t="shared" ref="S129:AF129" si="10">SUM(S8:S127)</f>
        <v>553.17000284790993</v>
      </c>
      <c r="T129" s="41">
        <f t="shared" si="10"/>
        <v>2340.3329982997384</v>
      </c>
      <c r="U129" s="41">
        <f t="shared" si="10"/>
        <v>1724.4360006190836</v>
      </c>
      <c r="V129" s="41">
        <f t="shared" si="10"/>
        <v>6169.680009634234</v>
      </c>
      <c r="W129" s="41">
        <f t="shared" si="10"/>
        <v>8953.452001180849</v>
      </c>
      <c r="X129" s="41">
        <f t="shared" si="10"/>
        <v>46166.034020979307</v>
      </c>
      <c r="Y129" s="41"/>
      <c r="Z129" s="41">
        <f t="shared" si="10"/>
        <v>209.21800019592047</v>
      </c>
      <c r="AA129" s="41">
        <f t="shared" si="10"/>
        <v>65.639000132679939</v>
      </c>
      <c r="AB129" s="41">
        <f t="shared" si="10"/>
        <v>785.52999984659255</v>
      </c>
      <c r="AC129" s="41">
        <f t="shared" si="10"/>
        <v>1015.1699998355471</v>
      </c>
      <c r="AD129" s="41">
        <f t="shared" si="10"/>
        <v>961.00799921154976</v>
      </c>
      <c r="AE129" s="41">
        <f t="shared" si="10"/>
        <v>9288.2420087866485</v>
      </c>
      <c r="AF129" s="41">
        <f t="shared" si="10"/>
        <v>78231.91204157006</v>
      </c>
    </row>
    <row r="130" spans="1:32" ht="15.75">
      <c r="A130" s="3"/>
      <c r="B130" s="53" t="s">
        <v>159</v>
      </c>
      <c r="C130" s="51"/>
      <c r="D130" s="41"/>
      <c r="E130" s="54">
        <f>E129/$D$129</f>
        <v>0.14220619065561055</v>
      </c>
      <c r="F130" s="54">
        <f t="shared" ref="F130:Q130" si="11">F129/$D$129</f>
        <v>0.14747239950601299</v>
      </c>
      <c r="G130" s="54">
        <f t="shared" si="11"/>
        <v>6.0147994877978582E-2</v>
      </c>
      <c r="H130" s="54">
        <f t="shared" si="11"/>
        <v>0.10280805169448576</v>
      </c>
      <c r="I130" s="54">
        <f t="shared" si="11"/>
        <v>4.9753227909796839E-2</v>
      </c>
      <c r="J130" s="54">
        <v>7.1983562687545258E-2</v>
      </c>
      <c r="K130" s="54"/>
      <c r="L130" s="54">
        <f t="shared" si="11"/>
        <v>0.13194007480966993</v>
      </c>
      <c r="M130" s="54">
        <f t="shared" si="11"/>
        <v>1.5988367696260736E-2</v>
      </c>
      <c r="N130" s="54">
        <f t="shared" si="11"/>
        <v>0.11850455256955869</v>
      </c>
      <c r="O130" s="54">
        <f t="shared" si="11"/>
        <v>7.7386271632735218E-2</v>
      </c>
      <c r="P130" s="54">
        <f t="shared" si="11"/>
        <v>3.5034926167677921E-2</v>
      </c>
      <c r="Q130" s="54">
        <f t="shared" si="11"/>
        <v>4.6774379792667346E-2</v>
      </c>
      <c r="R130" s="55"/>
      <c r="S130" s="54">
        <f>S129/$AF$129</f>
        <v>7.0708996931325438E-3</v>
      </c>
      <c r="T130" s="54">
        <f t="shared" ref="T130:AE130" si="12">T129/$AF$129</f>
        <v>2.9915324031146735E-2</v>
      </c>
      <c r="U130" s="54">
        <f t="shared" si="12"/>
        <v>2.2042616058045094E-2</v>
      </c>
      <c r="V130" s="54">
        <f t="shared" si="12"/>
        <v>7.8863980805631506E-2</v>
      </c>
      <c r="W130" s="54">
        <f t="shared" si="12"/>
        <v>0.11444756708008436</v>
      </c>
      <c r="X130" s="54">
        <f t="shared" si="12"/>
        <v>0.59011767469582077</v>
      </c>
      <c r="Y130" s="54"/>
      <c r="Z130" s="54">
        <f t="shared" si="12"/>
        <v>2.6743306501923201E-3</v>
      </c>
      <c r="AA130" s="54">
        <f t="shared" si="12"/>
        <v>8.3903100946582218E-4</v>
      </c>
      <c r="AB130" s="54">
        <f t="shared" si="12"/>
        <v>1.004104309030803E-2</v>
      </c>
      <c r="AC130" s="54">
        <f t="shared" si="12"/>
        <v>1.2976418105390504E-2</v>
      </c>
      <c r="AD130" s="54">
        <f t="shared" si="12"/>
        <v>1.228409192786825E-2</v>
      </c>
      <c r="AE130" s="54">
        <f t="shared" si="12"/>
        <v>0.11872702285291403</v>
      </c>
      <c r="AF130" s="54"/>
    </row>
    <row r="131" spans="1:32" ht="12" customHeight="1">
      <c r="B131" s="10"/>
    </row>
    <row r="132" spans="1:32" ht="12" customHeight="1">
      <c r="AE132" s="56"/>
    </row>
    <row r="133" spans="1:32" ht="12" customHeight="1">
      <c r="AE133" s="56"/>
    </row>
    <row r="134" spans="1:32" ht="12" customHeight="1">
      <c r="AE134" s="56"/>
    </row>
    <row r="135" spans="1:32" ht="12" customHeight="1">
      <c r="AE135" s="56"/>
    </row>
    <row r="136" spans="1:32" ht="12" customHeight="1">
      <c r="AE136" s="56"/>
    </row>
    <row r="137" spans="1:32" ht="12" customHeight="1">
      <c r="AE137" s="56"/>
    </row>
    <row r="138" spans="1:32" ht="12" customHeight="1">
      <c r="AE138" s="56"/>
    </row>
    <row r="139" spans="1:32" ht="12" customHeight="1">
      <c r="AE139" s="56"/>
    </row>
    <row r="140" spans="1:32" ht="12" customHeight="1">
      <c r="AE140" s="56"/>
    </row>
    <row r="141" spans="1:32" ht="12" customHeight="1">
      <c r="AE141" s="56"/>
    </row>
  </sheetData>
  <mergeCells count="4">
    <mergeCell ref="Z5:AE5"/>
    <mergeCell ref="E5:J5"/>
    <mergeCell ref="L5:Q5"/>
    <mergeCell ref="S5:X5"/>
  </mergeCells>
  <phoneticPr fontId="19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F26E32A-2470-429C-800B-2218A0CC761C}"/>
</file>

<file path=customXml/itemProps2.xml><?xml version="1.0" encoding="utf-8"?>
<ds:datastoreItem xmlns:ds="http://schemas.openxmlformats.org/officeDocument/2006/customXml" ds:itemID="{B29DD42A-3F63-42B0-8AD5-5FAD1F0CFA3A}"/>
</file>

<file path=customXml/itemProps3.xml><?xml version="1.0" encoding="utf-8"?>
<ds:datastoreItem xmlns:ds="http://schemas.openxmlformats.org/officeDocument/2006/customXml" ds:itemID="{689BB630-39BB-4DD1-8F10-5C5BFAAD5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2007-06-27T20:37:27Z</cp:lastPrinted>
  <dcterms:created xsi:type="dcterms:W3CDTF">2000-09-06T17:52:56Z</dcterms:created>
  <dcterms:modified xsi:type="dcterms:W3CDTF">2013-08-20T20:15:37Z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