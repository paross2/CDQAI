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85" yWindow="240" windowWidth="16500" windowHeight="11550"/>
  </bookViews>
  <sheets>
    <sheet name="VMT1" sheetId="1" r:id="rId1"/>
  </sheets>
  <definedNames>
    <definedName name="_xlnm.Print_Titles" localSheetId="0">'VMT1'!$A:$B,'VMT1'!$5:$7</definedName>
  </definedNames>
  <calcPr calcId="125725" fullCalcOnLoad="1"/>
</workbook>
</file>

<file path=xl/calcChain.xml><?xml version="1.0" encoding="utf-8"?>
<calcChain xmlns="http://schemas.openxmlformats.org/spreadsheetml/2006/main">
  <c r="C9" i="1"/>
  <c r="C129" s="1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37"/>
  <c r="C38"/>
  <c r="C39"/>
  <c r="C40"/>
  <c r="C41"/>
  <c r="C42"/>
  <c r="C43"/>
  <c r="C44"/>
  <c r="C45"/>
  <c r="C46"/>
  <c r="C47"/>
  <c r="C48"/>
  <c r="C49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C78"/>
  <c r="C79"/>
  <c r="C80"/>
  <c r="C81"/>
  <c r="C82"/>
  <c r="C83"/>
  <c r="C84"/>
  <c r="C85"/>
  <c r="C86"/>
  <c r="C87"/>
  <c r="C88"/>
  <c r="C89"/>
  <c r="C90"/>
  <c r="C91"/>
  <c r="C92"/>
  <c r="C93"/>
  <c r="C94"/>
  <c r="C95"/>
  <c r="C96"/>
  <c r="C97"/>
  <c r="C98"/>
  <c r="C99"/>
  <c r="C100"/>
  <c r="C101"/>
  <c r="C102"/>
  <c r="C103"/>
  <c r="C104"/>
  <c r="C105"/>
  <c r="C106"/>
  <c r="C107"/>
  <c r="C108"/>
  <c r="C109"/>
  <c r="C110"/>
  <c r="C111"/>
  <c r="C112"/>
  <c r="C113"/>
  <c r="C114"/>
  <c r="C115"/>
  <c r="C116"/>
  <c r="C117"/>
  <c r="C118"/>
  <c r="C119"/>
  <c r="C120"/>
  <c r="C121"/>
  <c r="C122"/>
  <c r="C123"/>
  <c r="C124"/>
  <c r="C125"/>
  <c r="C126"/>
  <c r="C127"/>
  <c r="C8"/>
  <c r="R129"/>
  <c r="S129"/>
  <c r="T129"/>
  <c r="U129"/>
  <c r="V129"/>
  <c r="W129"/>
  <c r="X129"/>
  <c r="Y129"/>
  <c r="Z129"/>
  <c r="AA129"/>
  <c r="AB129"/>
  <c r="AC129"/>
  <c r="AD129"/>
  <c r="D129"/>
  <c r="E129"/>
  <c r="F129"/>
  <c r="G129"/>
  <c r="H129"/>
  <c r="K129"/>
  <c r="L129"/>
  <c r="M129"/>
  <c r="N129"/>
  <c r="O129"/>
  <c r="P129"/>
  <c r="I129"/>
</calcChain>
</file>

<file path=xl/sharedStrings.xml><?xml version="1.0" encoding="utf-8"?>
<sst xmlns="http://schemas.openxmlformats.org/spreadsheetml/2006/main" count="162" uniqueCount="144">
  <si>
    <t>INTER.</t>
  </si>
  <si>
    <t>PR.ART</t>
  </si>
  <si>
    <t>MN.ART</t>
  </si>
  <si>
    <t>MJ.COL</t>
  </si>
  <si>
    <t>MN.COL</t>
  </si>
  <si>
    <t>LOCAL</t>
  </si>
  <si>
    <t>EXPR.</t>
  </si>
  <si>
    <t>COLL.</t>
  </si>
  <si>
    <t>TOTAL</t>
  </si>
  <si>
    <t>ADAIR</t>
  </si>
  <si>
    <t>ALLEN</t>
  </si>
  <si>
    <t>ANDERSON</t>
  </si>
  <si>
    <t>BALLARD</t>
  </si>
  <si>
    <t>BARREN</t>
  </si>
  <si>
    <t>BATH</t>
  </si>
  <si>
    <t>BELL</t>
  </si>
  <si>
    <t>BOONE</t>
  </si>
  <si>
    <t>BOURBON</t>
  </si>
  <si>
    <t>BOYD</t>
  </si>
  <si>
    <t>BOYLE</t>
  </si>
  <si>
    <t>BRACKEN</t>
  </si>
  <si>
    <t>BREATHITT</t>
  </si>
  <si>
    <t>BRECKINRIDGE</t>
  </si>
  <si>
    <t>BULLITT</t>
  </si>
  <si>
    <t>BUTLER</t>
  </si>
  <si>
    <t>CALDWELL</t>
  </si>
  <si>
    <t>CALLOWAY</t>
  </si>
  <si>
    <t>CAMPBELL</t>
  </si>
  <si>
    <t>CARLISLE</t>
  </si>
  <si>
    <t>CARROLL</t>
  </si>
  <si>
    <t>CARTER</t>
  </si>
  <si>
    <t>CASEY</t>
  </si>
  <si>
    <t>CHRISTIAN</t>
  </si>
  <si>
    <t>CLARK</t>
  </si>
  <si>
    <t>CLAY</t>
  </si>
  <si>
    <t>CLINTON</t>
  </si>
  <si>
    <t>CRITTENDEN</t>
  </si>
  <si>
    <t>CUMBERLAND</t>
  </si>
  <si>
    <t>DAVIESS</t>
  </si>
  <si>
    <t>EDMONSON</t>
  </si>
  <si>
    <t>ELLIOTT</t>
  </si>
  <si>
    <t>ESTILL</t>
  </si>
  <si>
    <t>FAYETTE</t>
  </si>
  <si>
    <t>FLEMING</t>
  </si>
  <si>
    <t>FLOYD</t>
  </si>
  <si>
    <t>FRANKLIN</t>
  </si>
  <si>
    <t>FULTON</t>
  </si>
  <si>
    <t>GALLATIN</t>
  </si>
  <si>
    <t>GARRARD</t>
  </si>
  <si>
    <t>GRANT</t>
  </si>
  <si>
    <t>GRAVES</t>
  </si>
  <si>
    <t>GRAYSON</t>
  </si>
  <si>
    <t>GREEN</t>
  </si>
  <si>
    <t>GREENUP</t>
  </si>
  <si>
    <t>HANCOCK</t>
  </si>
  <si>
    <t>HARDIN</t>
  </si>
  <si>
    <t>HARLAN</t>
  </si>
  <si>
    <t>HARRISON</t>
  </si>
  <si>
    <t>HART</t>
  </si>
  <si>
    <t>HENDERSON</t>
  </si>
  <si>
    <t>HENRY</t>
  </si>
  <si>
    <t>HICKMAN</t>
  </si>
  <si>
    <t>HOPKINS</t>
  </si>
  <si>
    <t>JACKSON</t>
  </si>
  <si>
    <t>JEFFERSON</t>
  </si>
  <si>
    <t>JESSAMINE</t>
  </si>
  <si>
    <t>JOHNSON</t>
  </si>
  <si>
    <t>KENTON</t>
  </si>
  <si>
    <t>KNOTT</t>
  </si>
  <si>
    <t>KNOX</t>
  </si>
  <si>
    <t>LARUE</t>
  </si>
  <si>
    <t>LAUREL</t>
  </si>
  <si>
    <t>LAWRENCE</t>
  </si>
  <si>
    <t>LEE</t>
  </si>
  <si>
    <t>LESLIE</t>
  </si>
  <si>
    <t>LETCHER</t>
  </si>
  <si>
    <t>LEWIS</t>
  </si>
  <si>
    <t>LINCOLN</t>
  </si>
  <si>
    <t>LIVINGSTON</t>
  </si>
  <si>
    <t>LOGAN</t>
  </si>
  <si>
    <t>LYON</t>
  </si>
  <si>
    <t>MCCRACKEN</t>
  </si>
  <si>
    <t>MCCREARY</t>
  </si>
  <si>
    <t>MCLEAN</t>
  </si>
  <si>
    <t>MADISON</t>
  </si>
  <si>
    <t>MAGOFFIN</t>
  </si>
  <si>
    <t>MARION</t>
  </si>
  <si>
    <t>MARSHALL</t>
  </si>
  <si>
    <t>MARTIN</t>
  </si>
  <si>
    <t>MASON</t>
  </si>
  <si>
    <t>MEADE</t>
  </si>
  <si>
    <t>MENIFEE</t>
  </si>
  <si>
    <t>MERCER</t>
  </si>
  <si>
    <t>METCALFE</t>
  </si>
  <si>
    <t>MONROE</t>
  </si>
  <si>
    <t>MONTGOMERY</t>
  </si>
  <si>
    <t>MORGAN</t>
  </si>
  <si>
    <t>MUHLENBERG</t>
  </si>
  <si>
    <t>NELSON</t>
  </si>
  <si>
    <t>NICHOLAS</t>
  </si>
  <si>
    <t>OHIO</t>
  </si>
  <si>
    <t>OLDHAM</t>
  </si>
  <si>
    <t>OWEN</t>
  </si>
  <si>
    <t>OWSLEY</t>
  </si>
  <si>
    <t>PENDLETON</t>
  </si>
  <si>
    <t>PERRY</t>
  </si>
  <si>
    <t>PIKE</t>
  </si>
  <si>
    <t>POWELL</t>
  </si>
  <si>
    <t>PULASKI</t>
  </si>
  <si>
    <t>ROBERTSON</t>
  </si>
  <si>
    <t>ROCKCASTLE</t>
  </si>
  <si>
    <t>ROWAN</t>
  </si>
  <si>
    <t>RUSSELL</t>
  </si>
  <si>
    <t>SCOTT</t>
  </si>
  <si>
    <t>SHELBY</t>
  </si>
  <si>
    <t>SIMPSON</t>
  </si>
  <si>
    <t>SPENCER</t>
  </si>
  <si>
    <t>TAYLOR</t>
  </si>
  <si>
    <t>TODD</t>
  </si>
  <si>
    <t>TRIGG</t>
  </si>
  <si>
    <t>TRIMBLE</t>
  </si>
  <si>
    <t>UNION</t>
  </si>
  <si>
    <t>WARREN</t>
  </si>
  <si>
    <t>WASHINGTON</t>
  </si>
  <si>
    <t>WAYNE</t>
  </si>
  <si>
    <t>WEBSTER</t>
  </si>
  <si>
    <t>WHITLEY</t>
  </si>
  <si>
    <t>WOLFE</t>
  </si>
  <si>
    <t>WOODFORD</t>
  </si>
  <si>
    <t>Rural Miles</t>
  </si>
  <si>
    <t>Urban Miles</t>
  </si>
  <si>
    <t>Rural DVMT (x1,000)</t>
  </si>
  <si>
    <t>Urban DVMT (x1,000)</t>
  </si>
  <si>
    <t>County</t>
  </si>
  <si>
    <t>Loc/</t>
  </si>
  <si>
    <t>MnC</t>
  </si>
  <si>
    <t>Coll.</t>
  </si>
  <si>
    <t>(Revised)</t>
  </si>
  <si>
    <t>Statewide Total</t>
  </si>
  <si>
    <t>with Local DVMT's  adjusted using (Minor) Collector ratios:  Loc. DVMT = Loc. Miles * percentage * (Coll. DVMT / Coll. Miles)</t>
  </si>
  <si>
    <t>Oct 30,1998</t>
  </si>
  <si>
    <t xml:space="preserve">1997 DVMT (in thousands) and Mileage by County and Functional Class </t>
  </si>
  <si>
    <t>Revised 1997</t>
  </si>
  <si>
    <t>Total  DVMT</t>
  </si>
</sst>
</file>

<file path=xl/styles.xml><?xml version="1.0" encoding="utf-8"?>
<styleSheet xmlns="http://schemas.openxmlformats.org/spreadsheetml/2006/main">
  <fonts count="3">
    <font>
      <sz val="10"/>
      <name val="Arial"/>
    </font>
    <font>
      <sz val="12"/>
      <name val="Arial"/>
      <family val="2"/>
    </font>
    <font>
      <sz val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3" fontId="0" fillId="0" borderId="0" xfId="0" applyNumberFormat="1"/>
    <xf numFmtId="0" fontId="0" fillId="0" borderId="0" xfId="0" applyAlignment="1">
      <alignment horizontal="right"/>
    </xf>
    <xf numFmtId="0" fontId="1" fillId="0" borderId="0" xfId="0" applyFont="1"/>
    <xf numFmtId="3" fontId="1" fillId="0" borderId="0" xfId="0" applyNumberFormat="1" applyFont="1"/>
    <xf numFmtId="3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9" fontId="1" fillId="0" borderId="0" xfId="0" applyNumberFormat="1" applyFont="1" applyAlignment="1">
      <alignment horizontal="left"/>
    </xf>
    <xf numFmtId="3" fontId="1" fillId="0" borderId="0" xfId="0" applyNumberFormat="1" applyFont="1" applyAlignment="1">
      <alignment horizontal="right"/>
    </xf>
    <xf numFmtId="49" fontId="1" fillId="0" borderId="0" xfId="0" applyNumberFormat="1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129"/>
  <sheetViews>
    <sheetView tabSelected="1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I8" sqref="I8"/>
    </sheetView>
  </sheetViews>
  <sheetFormatPr defaultRowHeight="12.75"/>
  <cols>
    <col min="1" max="1" width="5.140625" customWidth="1"/>
    <col min="2" max="2" width="18.7109375" customWidth="1"/>
    <col min="3" max="3" width="11.5703125" style="1" customWidth="1"/>
    <col min="9" max="9" width="9.7109375" style="1" customWidth="1"/>
    <col min="10" max="10" width="5.28515625" customWidth="1"/>
    <col min="16" max="16" width="8.85546875" style="1" customWidth="1"/>
    <col min="17" max="17" width="6.5703125" customWidth="1"/>
  </cols>
  <sheetData>
    <row r="1" spans="1:30" ht="15">
      <c r="A1" s="3" t="s">
        <v>140</v>
      </c>
      <c r="B1" s="3"/>
      <c r="C1" s="4"/>
      <c r="D1" s="3"/>
      <c r="E1" s="3"/>
      <c r="F1" s="3"/>
      <c r="G1" s="3"/>
      <c r="H1" s="3"/>
      <c r="I1" s="4"/>
      <c r="J1" s="3"/>
      <c r="K1" s="3"/>
      <c r="L1" s="3"/>
      <c r="M1" s="3"/>
      <c r="N1" s="3"/>
      <c r="O1" s="3"/>
      <c r="P1" s="4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spans="1:30" ht="15">
      <c r="A2" s="3" t="s">
        <v>141</v>
      </c>
      <c r="B2" s="3"/>
      <c r="C2" s="4"/>
      <c r="D2" s="3"/>
      <c r="E2" s="3"/>
      <c r="F2" s="3"/>
      <c r="G2" s="3"/>
      <c r="H2" s="3"/>
      <c r="I2" s="4"/>
      <c r="J2" s="3"/>
      <c r="K2" s="3"/>
      <c r="L2" s="3"/>
      <c r="M2" s="3"/>
      <c r="N2" s="3"/>
      <c r="O2" s="3"/>
      <c r="P2" s="4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 spans="1:30" ht="15">
      <c r="A3" s="3" t="s">
        <v>139</v>
      </c>
      <c r="B3" s="3"/>
      <c r="C3" s="4"/>
      <c r="D3" s="3"/>
      <c r="E3" s="3"/>
      <c r="F3" s="3"/>
      <c r="G3" s="3"/>
      <c r="H3" s="3"/>
      <c r="I3" s="4"/>
      <c r="J3" s="3"/>
      <c r="K3" s="3"/>
      <c r="L3" s="3"/>
      <c r="M3" s="3"/>
      <c r="N3" s="3"/>
      <c r="O3" s="3"/>
      <c r="P3" s="4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 spans="1:30" ht="15">
      <c r="A4" s="3"/>
      <c r="B4" s="3"/>
      <c r="C4" s="4"/>
      <c r="D4" s="3"/>
      <c r="E4" s="3"/>
      <c r="F4" s="3"/>
      <c r="G4" s="3"/>
      <c r="H4" s="3"/>
      <c r="I4" s="4"/>
      <c r="J4" s="3"/>
      <c r="K4" s="3"/>
      <c r="L4" s="3"/>
      <c r="M4" s="3"/>
      <c r="N4" s="3"/>
      <c r="O4" s="3"/>
      <c r="P4" s="4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spans="1:30" ht="15">
      <c r="A5" s="3"/>
      <c r="B5" s="3"/>
      <c r="C5" s="5" t="s">
        <v>142</v>
      </c>
      <c r="D5" s="11" t="s">
        <v>131</v>
      </c>
      <c r="E5" s="11"/>
      <c r="F5" s="11"/>
      <c r="G5" s="11"/>
      <c r="H5" s="11"/>
      <c r="I5" s="11"/>
      <c r="J5" s="6" t="s">
        <v>134</v>
      </c>
      <c r="K5" s="11" t="s">
        <v>132</v>
      </c>
      <c r="L5" s="11"/>
      <c r="M5" s="11"/>
      <c r="N5" s="11"/>
      <c r="O5" s="11"/>
      <c r="P5" s="11"/>
      <c r="Q5" s="6" t="s">
        <v>134</v>
      </c>
      <c r="R5" s="11" t="s">
        <v>129</v>
      </c>
      <c r="S5" s="11"/>
      <c r="T5" s="11"/>
      <c r="U5" s="11"/>
      <c r="V5" s="11"/>
      <c r="W5" s="11"/>
      <c r="X5" s="11" t="s">
        <v>130</v>
      </c>
      <c r="Y5" s="11"/>
      <c r="Z5" s="11"/>
      <c r="AA5" s="11"/>
      <c r="AB5" s="11"/>
      <c r="AC5" s="11"/>
      <c r="AD5" s="3"/>
    </row>
    <row r="6" spans="1:30" s="2" customFormat="1" ht="15">
      <c r="A6" s="7"/>
      <c r="B6" s="8" t="s">
        <v>133</v>
      </c>
      <c r="C6" s="9" t="s">
        <v>143</v>
      </c>
      <c r="D6" s="7" t="s">
        <v>0</v>
      </c>
      <c r="E6" s="7" t="s">
        <v>1</v>
      </c>
      <c r="F6" s="7" t="s">
        <v>2</v>
      </c>
      <c r="G6" s="7" t="s">
        <v>3</v>
      </c>
      <c r="H6" s="7" t="s">
        <v>4</v>
      </c>
      <c r="I6" s="9" t="s">
        <v>5</v>
      </c>
      <c r="J6" s="7" t="s">
        <v>135</v>
      </c>
      <c r="K6" s="7" t="s">
        <v>0</v>
      </c>
      <c r="L6" s="7" t="s">
        <v>6</v>
      </c>
      <c r="M6" s="7" t="s">
        <v>1</v>
      </c>
      <c r="N6" s="7" t="s">
        <v>2</v>
      </c>
      <c r="O6" s="7" t="s">
        <v>7</v>
      </c>
      <c r="P6" s="9" t="s">
        <v>5</v>
      </c>
      <c r="Q6" s="7" t="s">
        <v>136</v>
      </c>
      <c r="R6" s="7" t="s">
        <v>0</v>
      </c>
      <c r="S6" s="7" t="s">
        <v>1</v>
      </c>
      <c r="T6" s="7" t="s">
        <v>2</v>
      </c>
      <c r="U6" s="7" t="s">
        <v>3</v>
      </c>
      <c r="V6" s="7" t="s">
        <v>4</v>
      </c>
      <c r="W6" s="7" t="s">
        <v>5</v>
      </c>
      <c r="X6" s="7" t="s">
        <v>0</v>
      </c>
      <c r="Y6" s="7" t="s">
        <v>6</v>
      </c>
      <c r="Z6" s="7" t="s">
        <v>1</v>
      </c>
      <c r="AA6" s="7" t="s">
        <v>2</v>
      </c>
      <c r="AB6" s="7" t="s">
        <v>7</v>
      </c>
      <c r="AC6" s="7" t="s">
        <v>5</v>
      </c>
      <c r="AD6" s="7" t="s">
        <v>8</v>
      </c>
    </row>
    <row r="7" spans="1:30" ht="15">
      <c r="A7" s="3"/>
      <c r="B7" s="10"/>
      <c r="C7" s="4"/>
      <c r="D7" s="3"/>
      <c r="E7" s="3"/>
      <c r="F7" s="3"/>
      <c r="G7" s="3"/>
      <c r="H7" s="3"/>
      <c r="I7" s="9" t="s">
        <v>137</v>
      </c>
      <c r="J7" s="3"/>
      <c r="K7" s="3"/>
      <c r="L7" s="3"/>
      <c r="M7" s="3"/>
      <c r="N7" s="3"/>
      <c r="O7" s="3"/>
      <c r="P7" s="9" t="s">
        <v>137</v>
      </c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 spans="1:30" ht="15">
      <c r="A8" s="3">
        <v>1</v>
      </c>
      <c r="B8" s="10" t="s">
        <v>9</v>
      </c>
      <c r="C8" s="4">
        <f>SUM(D8:I8)+SUM(K8:P8)</f>
        <v>479.94349999999997</v>
      </c>
      <c r="D8" s="3">
        <v>0</v>
      </c>
      <c r="E8" s="3">
        <v>174</v>
      </c>
      <c r="F8" s="3">
        <v>26</v>
      </c>
      <c r="G8" s="3">
        <v>165</v>
      </c>
      <c r="H8" s="3">
        <v>45</v>
      </c>
      <c r="I8" s="4">
        <v>69.9435</v>
      </c>
      <c r="J8" s="3">
        <v>0.33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4">
        <v>0</v>
      </c>
      <c r="Q8" s="3">
        <v>0.12</v>
      </c>
      <c r="R8" s="3">
        <v>0</v>
      </c>
      <c r="S8" s="3">
        <v>31</v>
      </c>
      <c r="T8" s="3">
        <v>9</v>
      </c>
      <c r="U8" s="3">
        <v>85</v>
      </c>
      <c r="V8" s="3">
        <v>100</v>
      </c>
      <c r="W8" s="3">
        <v>471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697</v>
      </c>
    </row>
    <row r="9" spans="1:30" ht="15">
      <c r="A9" s="3">
        <v>2</v>
      </c>
      <c r="B9" s="10" t="s">
        <v>10</v>
      </c>
      <c r="C9" s="4">
        <f t="shared" ref="C9:C72" si="0">SUM(D9:I9)+SUM(K9:P9)</f>
        <v>383.315</v>
      </c>
      <c r="D9" s="3">
        <v>0</v>
      </c>
      <c r="E9" s="3">
        <v>77</v>
      </c>
      <c r="F9" s="3">
        <v>37</v>
      </c>
      <c r="G9" s="3">
        <v>125</v>
      </c>
      <c r="H9" s="3">
        <v>54</v>
      </c>
      <c r="I9" s="4">
        <v>90.314999999999998</v>
      </c>
      <c r="J9" s="3">
        <v>0.33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4">
        <v>0</v>
      </c>
      <c r="Q9" s="3">
        <v>0.12</v>
      </c>
      <c r="R9" s="3">
        <v>0</v>
      </c>
      <c r="S9" s="3">
        <v>18</v>
      </c>
      <c r="T9" s="3">
        <v>11</v>
      </c>
      <c r="U9" s="3">
        <v>64</v>
      </c>
      <c r="V9" s="3">
        <v>88</v>
      </c>
      <c r="W9" s="3">
        <v>446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626</v>
      </c>
    </row>
    <row r="10" spans="1:30" ht="15">
      <c r="A10" s="3">
        <v>3</v>
      </c>
      <c r="B10" s="10" t="s">
        <v>11</v>
      </c>
      <c r="C10" s="4">
        <f t="shared" si="0"/>
        <v>521.86</v>
      </c>
      <c r="D10" s="3">
        <v>0</v>
      </c>
      <c r="E10" s="3">
        <v>246</v>
      </c>
      <c r="F10" s="3">
        <v>22</v>
      </c>
      <c r="G10" s="3">
        <v>64</v>
      </c>
      <c r="H10" s="3">
        <v>40</v>
      </c>
      <c r="I10" s="4">
        <v>44.16</v>
      </c>
      <c r="J10" s="3">
        <v>0.33</v>
      </c>
      <c r="K10" s="3">
        <v>0</v>
      </c>
      <c r="L10" s="3">
        <v>0</v>
      </c>
      <c r="M10" s="3">
        <v>31</v>
      </c>
      <c r="N10" s="3">
        <v>31</v>
      </c>
      <c r="O10" s="3">
        <v>23</v>
      </c>
      <c r="P10" s="4">
        <v>20.7</v>
      </c>
      <c r="Q10" s="3">
        <v>0.12</v>
      </c>
      <c r="R10" s="3">
        <v>0</v>
      </c>
      <c r="S10" s="3">
        <v>22</v>
      </c>
      <c r="T10" s="3">
        <v>5</v>
      </c>
      <c r="U10" s="3">
        <v>44</v>
      </c>
      <c r="V10" s="3">
        <v>55</v>
      </c>
      <c r="W10" s="3">
        <v>184</v>
      </c>
      <c r="X10" s="3">
        <v>0</v>
      </c>
      <c r="Y10" s="3">
        <v>0</v>
      </c>
      <c r="Z10" s="3">
        <v>2</v>
      </c>
      <c r="AA10" s="3">
        <v>3</v>
      </c>
      <c r="AB10" s="3">
        <v>4</v>
      </c>
      <c r="AC10" s="3">
        <v>30</v>
      </c>
      <c r="AD10" s="3">
        <v>350</v>
      </c>
    </row>
    <row r="11" spans="1:30" ht="15">
      <c r="A11" s="3">
        <v>4</v>
      </c>
      <c r="B11" s="10" t="s">
        <v>12</v>
      </c>
      <c r="C11" s="4">
        <f t="shared" si="0"/>
        <v>244.94951612903225</v>
      </c>
      <c r="D11" s="3">
        <v>0</v>
      </c>
      <c r="E11" s="3">
        <v>119</v>
      </c>
      <c r="F11" s="3">
        <v>15</v>
      </c>
      <c r="G11" s="3">
        <v>61</v>
      </c>
      <c r="H11" s="3">
        <v>21</v>
      </c>
      <c r="I11" s="4">
        <v>28.949516129032258</v>
      </c>
      <c r="J11" s="3">
        <v>0.33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4">
        <v>0</v>
      </c>
      <c r="Q11" s="3">
        <v>0.12</v>
      </c>
      <c r="R11" s="3">
        <v>0</v>
      </c>
      <c r="S11" s="3">
        <v>25</v>
      </c>
      <c r="T11" s="3">
        <v>9</v>
      </c>
      <c r="U11" s="3">
        <v>41</v>
      </c>
      <c r="V11" s="3">
        <v>62</v>
      </c>
      <c r="W11" s="3">
        <v>259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396</v>
      </c>
    </row>
    <row r="12" spans="1:30" ht="15">
      <c r="A12" s="3">
        <v>5</v>
      </c>
      <c r="B12" s="10" t="s">
        <v>13</v>
      </c>
      <c r="C12" s="4">
        <f t="shared" si="0"/>
        <v>1193.0488818897638</v>
      </c>
      <c r="D12" s="3">
        <v>227</v>
      </c>
      <c r="E12" s="3">
        <v>98</v>
      </c>
      <c r="F12" s="3">
        <v>177</v>
      </c>
      <c r="G12" s="3">
        <v>210</v>
      </c>
      <c r="H12" s="3">
        <v>72</v>
      </c>
      <c r="I12" s="4">
        <v>112.0648818897638</v>
      </c>
      <c r="J12" s="3">
        <v>0.33</v>
      </c>
      <c r="K12" s="3">
        <v>0</v>
      </c>
      <c r="L12" s="3">
        <v>26</v>
      </c>
      <c r="M12" s="3">
        <v>116</v>
      </c>
      <c r="N12" s="3">
        <v>113</v>
      </c>
      <c r="O12" s="3">
        <v>32</v>
      </c>
      <c r="P12" s="4">
        <v>9.984</v>
      </c>
      <c r="Q12" s="3">
        <v>0.12</v>
      </c>
      <c r="R12" s="3">
        <v>8</v>
      </c>
      <c r="S12" s="3">
        <v>18</v>
      </c>
      <c r="T12" s="3">
        <v>30</v>
      </c>
      <c r="U12" s="3">
        <v>97</v>
      </c>
      <c r="V12" s="3">
        <v>127</v>
      </c>
      <c r="W12" s="3">
        <v>599</v>
      </c>
      <c r="X12" s="3">
        <v>0</v>
      </c>
      <c r="Y12" s="3">
        <v>4</v>
      </c>
      <c r="Z12" s="3">
        <v>9</v>
      </c>
      <c r="AA12" s="3">
        <v>17</v>
      </c>
      <c r="AB12" s="3">
        <v>10</v>
      </c>
      <c r="AC12" s="3">
        <v>26</v>
      </c>
      <c r="AD12" s="3">
        <v>945</v>
      </c>
    </row>
    <row r="13" spans="1:30" ht="15">
      <c r="A13" s="3">
        <v>6</v>
      </c>
      <c r="B13" s="10" t="s">
        <v>14</v>
      </c>
      <c r="C13" s="4">
        <f t="shared" si="0"/>
        <v>428.89846153846156</v>
      </c>
      <c r="D13" s="3">
        <v>222</v>
      </c>
      <c r="E13" s="3">
        <v>0</v>
      </c>
      <c r="F13" s="3">
        <v>28</v>
      </c>
      <c r="G13" s="3">
        <v>122</v>
      </c>
      <c r="H13" s="3">
        <v>24</v>
      </c>
      <c r="I13" s="4">
        <v>32.89846153846154</v>
      </c>
      <c r="J13" s="3">
        <v>0.33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4">
        <v>0</v>
      </c>
      <c r="Q13" s="3">
        <v>0.12</v>
      </c>
      <c r="R13" s="3">
        <v>13</v>
      </c>
      <c r="S13" s="3">
        <v>0</v>
      </c>
      <c r="T13" s="3">
        <v>13</v>
      </c>
      <c r="U13" s="3">
        <v>66</v>
      </c>
      <c r="V13" s="3">
        <v>52</v>
      </c>
      <c r="W13" s="3">
        <v>216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360</v>
      </c>
    </row>
    <row r="14" spans="1:30" ht="15">
      <c r="A14" s="3">
        <v>7</v>
      </c>
      <c r="B14" s="10" t="s">
        <v>15</v>
      </c>
      <c r="C14" s="4">
        <f t="shared" si="0"/>
        <v>766.75151515151515</v>
      </c>
      <c r="D14" s="3">
        <v>0</v>
      </c>
      <c r="E14" s="3">
        <v>327</v>
      </c>
      <c r="F14" s="3">
        <v>0</v>
      </c>
      <c r="G14" s="3">
        <v>143</v>
      </c>
      <c r="H14" s="3">
        <v>39</v>
      </c>
      <c r="I14" s="4">
        <v>55.293333333333337</v>
      </c>
      <c r="J14" s="3">
        <v>0.33</v>
      </c>
      <c r="K14" s="3">
        <v>0</v>
      </c>
      <c r="L14" s="3">
        <v>0</v>
      </c>
      <c r="M14" s="3">
        <v>61</v>
      </c>
      <c r="N14" s="3">
        <v>87</v>
      </c>
      <c r="O14" s="3">
        <v>36</v>
      </c>
      <c r="P14" s="4">
        <v>18.458181818181817</v>
      </c>
      <c r="Q14" s="3">
        <v>0.12</v>
      </c>
      <c r="R14" s="3">
        <v>0</v>
      </c>
      <c r="S14" s="3">
        <v>32</v>
      </c>
      <c r="T14" s="3">
        <v>0</v>
      </c>
      <c r="U14" s="3">
        <v>99</v>
      </c>
      <c r="V14" s="3">
        <v>54</v>
      </c>
      <c r="W14" s="3">
        <v>232</v>
      </c>
      <c r="X14" s="3">
        <v>0</v>
      </c>
      <c r="Y14" s="3">
        <v>0</v>
      </c>
      <c r="Z14" s="3">
        <v>3</v>
      </c>
      <c r="AA14" s="3">
        <v>10</v>
      </c>
      <c r="AB14" s="3">
        <v>11</v>
      </c>
      <c r="AC14" s="3">
        <v>47</v>
      </c>
      <c r="AD14" s="3">
        <v>486</v>
      </c>
    </row>
    <row r="15" spans="1:30" ht="15">
      <c r="A15" s="3">
        <v>8</v>
      </c>
      <c r="B15" s="10" t="s">
        <v>16</v>
      </c>
      <c r="C15" s="4">
        <f t="shared" si="0"/>
        <v>4252.1964705882356</v>
      </c>
      <c r="D15" s="3">
        <v>705</v>
      </c>
      <c r="E15" s="3">
        <v>0</v>
      </c>
      <c r="F15" s="3">
        <v>0</v>
      </c>
      <c r="G15" s="3">
        <v>157</v>
      </c>
      <c r="H15" s="3">
        <v>55</v>
      </c>
      <c r="I15" s="4">
        <v>79.86</v>
      </c>
      <c r="J15" s="3">
        <v>0.33</v>
      </c>
      <c r="K15" s="4">
        <v>1063</v>
      </c>
      <c r="L15" s="3">
        <v>0</v>
      </c>
      <c r="M15" s="3">
        <v>0</v>
      </c>
      <c r="N15" s="3">
        <v>629</v>
      </c>
      <c r="O15" s="3">
        <v>284</v>
      </c>
      <c r="P15" s="4">
        <v>1279.3364705882357</v>
      </c>
      <c r="Q15" s="3">
        <v>0.28000000000000003</v>
      </c>
      <c r="R15" s="3">
        <v>19</v>
      </c>
      <c r="S15" s="3">
        <v>0</v>
      </c>
      <c r="T15" s="3">
        <v>0</v>
      </c>
      <c r="U15" s="3">
        <v>56</v>
      </c>
      <c r="V15" s="3">
        <v>55</v>
      </c>
      <c r="W15" s="3">
        <v>242</v>
      </c>
      <c r="X15" s="3">
        <v>15</v>
      </c>
      <c r="Y15" s="3">
        <v>0</v>
      </c>
      <c r="Z15" s="3">
        <v>0</v>
      </c>
      <c r="AA15" s="3">
        <v>46</v>
      </c>
      <c r="AB15" s="3">
        <v>34</v>
      </c>
      <c r="AC15" s="3">
        <v>547</v>
      </c>
      <c r="AD15" s="4">
        <v>1013</v>
      </c>
    </row>
    <row r="16" spans="1:30" ht="15">
      <c r="A16" s="3">
        <v>9</v>
      </c>
      <c r="B16" s="10" t="s">
        <v>17</v>
      </c>
      <c r="C16" s="4">
        <f t="shared" si="0"/>
        <v>517.86015625000005</v>
      </c>
      <c r="D16" s="3">
        <v>0</v>
      </c>
      <c r="E16" s="3">
        <v>112</v>
      </c>
      <c r="F16" s="3">
        <v>99</v>
      </c>
      <c r="G16" s="3">
        <v>37</v>
      </c>
      <c r="H16" s="3">
        <v>49</v>
      </c>
      <c r="I16" s="4">
        <v>44.720156250000002</v>
      </c>
      <c r="J16" s="3">
        <v>0.33</v>
      </c>
      <c r="K16" s="3">
        <v>0</v>
      </c>
      <c r="L16" s="3">
        <v>0</v>
      </c>
      <c r="M16" s="3">
        <v>97</v>
      </c>
      <c r="N16" s="3">
        <v>55</v>
      </c>
      <c r="O16" s="3">
        <v>17</v>
      </c>
      <c r="P16" s="4">
        <v>7.14</v>
      </c>
      <c r="Q16" s="3">
        <v>0.12</v>
      </c>
      <c r="R16" s="3">
        <v>0</v>
      </c>
      <c r="S16" s="3">
        <v>13</v>
      </c>
      <c r="T16" s="3">
        <v>36</v>
      </c>
      <c r="U16" s="3">
        <v>26</v>
      </c>
      <c r="V16" s="3">
        <v>64</v>
      </c>
      <c r="W16" s="3">
        <v>177</v>
      </c>
      <c r="X16" s="3">
        <v>0</v>
      </c>
      <c r="Y16" s="3">
        <v>0</v>
      </c>
      <c r="Z16" s="3">
        <v>10</v>
      </c>
      <c r="AA16" s="3">
        <v>8</v>
      </c>
      <c r="AB16" s="3">
        <v>8</v>
      </c>
      <c r="AC16" s="3">
        <v>28</v>
      </c>
      <c r="AD16" s="3">
        <v>369</v>
      </c>
    </row>
    <row r="17" spans="1:30" ht="15">
      <c r="A17" s="3">
        <v>10</v>
      </c>
      <c r="B17" s="10" t="s">
        <v>18</v>
      </c>
      <c r="C17" s="4">
        <f t="shared" si="0"/>
        <v>1511.9895833333333</v>
      </c>
      <c r="D17" s="3">
        <v>168</v>
      </c>
      <c r="E17" s="3">
        <v>128</v>
      </c>
      <c r="F17" s="3">
        <v>0</v>
      </c>
      <c r="G17" s="3">
        <v>111</v>
      </c>
      <c r="H17" s="3">
        <v>26</v>
      </c>
      <c r="I17" s="4">
        <v>19.543333333333337</v>
      </c>
      <c r="J17" s="3">
        <v>0.33</v>
      </c>
      <c r="K17" s="3">
        <v>0</v>
      </c>
      <c r="L17" s="3">
        <v>0</v>
      </c>
      <c r="M17" s="3">
        <v>449</v>
      </c>
      <c r="N17" s="3">
        <v>139</v>
      </c>
      <c r="O17" s="3">
        <v>121</v>
      </c>
      <c r="P17" s="4">
        <v>350.44625000000002</v>
      </c>
      <c r="Q17" s="3">
        <v>0.28000000000000003</v>
      </c>
      <c r="R17" s="3">
        <v>11</v>
      </c>
      <c r="S17" s="3">
        <v>11</v>
      </c>
      <c r="T17" s="3">
        <v>0</v>
      </c>
      <c r="U17" s="3">
        <v>39</v>
      </c>
      <c r="V17" s="3">
        <v>36</v>
      </c>
      <c r="W17" s="3">
        <v>82</v>
      </c>
      <c r="X17" s="3">
        <v>0</v>
      </c>
      <c r="Y17" s="3">
        <v>0</v>
      </c>
      <c r="Z17" s="3">
        <v>22</v>
      </c>
      <c r="AA17" s="3">
        <v>18</v>
      </c>
      <c r="AB17" s="3">
        <v>32</v>
      </c>
      <c r="AC17" s="3">
        <v>331</v>
      </c>
      <c r="AD17" s="3">
        <v>582</v>
      </c>
    </row>
    <row r="18" spans="1:30" ht="15">
      <c r="A18" s="3">
        <v>11</v>
      </c>
      <c r="B18" s="10" t="s">
        <v>19</v>
      </c>
      <c r="C18" s="4">
        <f t="shared" si="0"/>
        <v>622.19509433962264</v>
      </c>
      <c r="D18" s="3">
        <v>0</v>
      </c>
      <c r="E18" s="3">
        <v>107</v>
      </c>
      <c r="F18" s="3">
        <v>73</v>
      </c>
      <c r="G18" s="3">
        <v>54</v>
      </c>
      <c r="H18" s="3">
        <v>29</v>
      </c>
      <c r="I18" s="4">
        <v>30.335094339622646</v>
      </c>
      <c r="J18" s="3">
        <v>0.33</v>
      </c>
      <c r="K18" s="3">
        <v>0</v>
      </c>
      <c r="L18" s="3">
        <v>0</v>
      </c>
      <c r="M18" s="3">
        <v>212</v>
      </c>
      <c r="N18" s="3">
        <v>51</v>
      </c>
      <c r="O18" s="3">
        <v>37</v>
      </c>
      <c r="P18" s="4">
        <v>28.86</v>
      </c>
      <c r="Q18" s="3">
        <v>0.12</v>
      </c>
      <c r="R18" s="3">
        <v>0</v>
      </c>
      <c r="S18" s="3">
        <v>12</v>
      </c>
      <c r="T18" s="3">
        <v>17</v>
      </c>
      <c r="U18" s="3">
        <v>28</v>
      </c>
      <c r="V18" s="3">
        <v>53</v>
      </c>
      <c r="W18" s="3">
        <v>168</v>
      </c>
      <c r="X18" s="3">
        <v>0</v>
      </c>
      <c r="Y18" s="3">
        <v>0</v>
      </c>
      <c r="Z18" s="3">
        <v>17</v>
      </c>
      <c r="AA18" s="3">
        <v>9</v>
      </c>
      <c r="AB18" s="3">
        <v>10</v>
      </c>
      <c r="AC18" s="3">
        <v>65</v>
      </c>
      <c r="AD18" s="3">
        <v>378</v>
      </c>
    </row>
    <row r="19" spans="1:30" ht="15">
      <c r="A19" s="3">
        <v>12</v>
      </c>
      <c r="B19" s="10" t="s">
        <v>20</v>
      </c>
      <c r="C19" s="4">
        <f t="shared" si="0"/>
        <v>203.78</v>
      </c>
      <c r="D19" s="3">
        <v>0</v>
      </c>
      <c r="E19" s="3">
        <v>86</v>
      </c>
      <c r="F19" s="3">
        <v>0</v>
      </c>
      <c r="G19" s="3">
        <v>81</v>
      </c>
      <c r="H19" s="3">
        <v>15</v>
      </c>
      <c r="I19" s="4">
        <v>21.78</v>
      </c>
      <c r="J19" s="3">
        <v>0.33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4">
        <v>0</v>
      </c>
      <c r="Q19" s="3">
        <v>0.12</v>
      </c>
      <c r="R19" s="3">
        <v>0</v>
      </c>
      <c r="S19" s="3">
        <v>20</v>
      </c>
      <c r="T19" s="3">
        <v>0</v>
      </c>
      <c r="U19" s="3">
        <v>69</v>
      </c>
      <c r="V19" s="3">
        <v>45</v>
      </c>
      <c r="W19" s="3">
        <v>198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332</v>
      </c>
    </row>
    <row r="20" spans="1:30" ht="15">
      <c r="A20" s="3">
        <v>13</v>
      </c>
      <c r="B20" s="10" t="s">
        <v>21</v>
      </c>
      <c r="C20" s="4">
        <f t="shared" si="0"/>
        <v>418.77704225352113</v>
      </c>
      <c r="D20" s="3">
        <v>0</v>
      </c>
      <c r="E20" s="3">
        <v>203</v>
      </c>
      <c r="F20" s="3">
        <v>0</v>
      </c>
      <c r="G20" s="3">
        <v>103</v>
      </c>
      <c r="H20" s="3">
        <v>67</v>
      </c>
      <c r="I20" s="4">
        <v>45.777042253521131</v>
      </c>
      <c r="J20" s="3">
        <v>0.33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4">
        <v>0</v>
      </c>
      <c r="Q20" s="3">
        <v>0.12</v>
      </c>
      <c r="R20" s="3">
        <v>0</v>
      </c>
      <c r="S20" s="3">
        <v>28</v>
      </c>
      <c r="T20" s="3">
        <v>0</v>
      </c>
      <c r="U20" s="3">
        <v>76</v>
      </c>
      <c r="V20" s="3">
        <v>142</v>
      </c>
      <c r="W20" s="3">
        <v>294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540</v>
      </c>
    </row>
    <row r="21" spans="1:30" ht="15">
      <c r="A21" s="3">
        <v>14</v>
      </c>
      <c r="B21" s="10" t="s">
        <v>22</v>
      </c>
      <c r="C21" s="4">
        <f t="shared" si="0"/>
        <v>401.28833333333336</v>
      </c>
      <c r="D21" s="3">
        <v>0</v>
      </c>
      <c r="E21" s="3">
        <v>128</v>
      </c>
      <c r="F21" s="3">
        <v>42</v>
      </c>
      <c r="G21" s="3">
        <v>89</v>
      </c>
      <c r="H21" s="3">
        <v>59</v>
      </c>
      <c r="I21" s="4">
        <v>83.288333333333341</v>
      </c>
      <c r="J21" s="3">
        <v>0.33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4">
        <v>0</v>
      </c>
      <c r="Q21" s="3">
        <v>0.12</v>
      </c>
      <c r="R21" s="3">
        <v>0</v>
      </c>
      <c r="S21" s="3">
        <v>31</v>
      </c>
      <c r="T21" s="3">
        <v>18</v>
      </c>
      <c r="U21" s="3">
        <v>77</v>
      </c>
      <c r="V21" s="3">
        <v>144</v>
      </c>
      <c r="W21" s="3">
        <v>616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886</v>
      </c>
    </row>
    <row r="22" spans="1:30" ht="15">
      <c r="A22" s="3">
        <v>15</v>
      </c>
      <c r="B22" s="10" t="s">
        <v>23</v>
      </c>
      <c r="C22" s="4">
        <f t="shared" si="0"/>
        <v>2054.4604444444444</v>
      </c>
      <c r="D22" s="3">
        <v>868</v>
      </c>
      <c r="E22" s="3">
        <v>15</v>
      </c>
      <c r="F22" s="3">
        <v>59</v>
      </c>
      <c r="G22" s="3">
        <v>320</v>
      </c>
      <c r="H22" s="3">
        <v>64</v>
      </c>
      <c r="I22" s="4">
        <v>108.416</v>
      </c>
      <c r="J22" s="3">
        <v>0.33</v>
      </c>
      <c r="K22" s="3">
        <v>322</v>
      </c>
      <c r="L22" s="3">
        <v>0</v>
      </c>
      <c r="M22" s="3">
        <v>62</v>
      </c>
      <c r="N22" s="3">
        <v>94</v>
      </c>
      <c r="O22" s="3">
        <v>47</v>
      </c>
      <c r="P22" s="4">
        <v>95.044444444444451</v>
      </c>
      <c r="Q22" s="3">
        <v>0.28000000000000003</v>
      </c>
      <c r="R22" s="3">
        <v>16</v>
      </c>
      <c r="S22" s="3">
        <v>1</v>
      </c>
      <c r="T22" s="3">
        <v>7</v>
      </c>
      <c r="U22" s="3">
        <v>60</v>
      </c>
      <c r="V22" s="3">
        <v>60</v>
      </c>
      <c r="W22" s="3">
        <v>308</v>
      </c>
      <c r="X22" s="3">
        <v>4</v>
      </c>
      <c r="Y22" s="3">
        <v>0</v>
      </c>
      <c r="Z22" s="3">
        <v>5</v>
      </c>
      <c r="AA22" s="3">
        <v>11</v>
      </c>
      <c r="AB22" s="3">
        <v>9</v>
      </c>
      <c r="AC22" s="3">
        <v>65</v>
      </c>
      <c r="AD22" s="3">
        <v>547</v>
      </c>
    </row>
    <row r="23" spans="1:30" ht="15">
      <c r="A23" s="3">
        <v>16</v>
      </c>
      <c r="B23" s="10" t="s">
        <v>24</v>
      </c>
      <c r="C23" s="4">
        <f t="shared" si="0"/>
        <v>489.36181818181819</v>
      </c>
      <c r="D23" s="3">
        <v>0</v>
      </c>
      <c r="E23" s="3">
        <v>128</v>
      </c>
      <c r="F23" s="3">
        <v>0</v>
      </c>
      <c r="G23" s="3">
        <v>186</v>
      </c>
      <c r="H23" s="3">
        <v>86</v>
      </c>
      <c r="I23" s="4">
        <v>89.361818181818194</v>
      </c>
      <c r="J23" s="3">
        <v>0.33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4">
        <v>0</v>
      </c>
      <c r="Q23" s="3">
        <v>0.12</v>
      </c>
      <c r="R23" s="3">
        <v>0</v>
      </c>
      <c r="S23" s="3">
        <v>18</v>
      </c>
      <c r="T23" s="3">
        <v>0</v>
      </c>
      <c r="U23" s="3">
        <v>91</v>
      </c>
      <c r="V23" s="3">
        <v>121</v>
      </c>
      <c r="W23" s="3">
        <v>381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611</v>
      </c>
    </row>
    <row r="24" spans="1:30" ht="15">
      <c r="A24" s="3">
        <v>17</v>
      </c>
      <c r="B24" s="10" t="s">
        <v>25</v>
      </c>
      <c r="C24" s="4">
        <f t="shared" si="0"/>
        <v>488.61114285714285</v>
      </c>
      <c r="D24" s="3">
        <v>29</v>
      </c>
      <c r="E24" s="3">
        <v>143</v>
      </c>
      <c r="F24" s="3">
        <v>15</v>
      </c>
      <c r="G24" s="3">
        <v>113</v>
      </c>
      <c r="H24" s="3">
        <v>25</v>
      </c>
      <c r="I24" s="4">
        <v>36.107142857142854</v>
      </c>
      <c r="J24" s="3">
        <v>0.33</v>
      </c>
      <c r="K24" s="3">
        <v>0</v>
      </c>
      <c r="L24" s="3">
        <v>0</v>
      </c>
      <c r="M24" s="3">
        <v>5</v>
      </c>
      <c r="N24" s="3">
        <v>102</v>
      </c>
      <c r="O24" s="3">
        <v>11</v>
      </c>
      <c r="P24" s="4">
        <v>9.5040000000000013</v>
      </c>
      <c r="Q24" s="3">
        <v>0.12</v>
      </c>
      <c r="R24" s="3">
        <v>3</v>
      </c>
      <c r="S24" s="3">
        <v>16</v>
      </c>
      <c r="T24" s="3">
        <v>5</v>
      </c>
      <c r="U24" s="3">
        <v>73</v>
      </c>
      <c r="V24" s="3">
        <v>77</v>
      </c>
      <c r="W24" s="3">
        <v>337</v>
      </c>
      <c r="X24" s="3">
        <v>0</v>
      </c>
      <c r="Y24" s="3">
        <v>0</v>
      </c>
      <c r="Z24" s="3">
        <v>1</v>
      </c>
      <c r="AA24" s="3">
        <v>17</v>
      </c>
      <c r="AB24" s="3">
        <v>5</v>
      </c>
      <c r="AC24" s="3">
        <v>36</v>
      </c>
      <c r="AD24" s="3">
        <v>568</v>
      </c>
    </row>
    <row r="25" spans="1:30" ht="15">
      <c r="A25" s="3">
        <v>18</v>
      </c>
      <c r="B25" s="10" t="s">
        <v>26</v>
      </c>
      <c r="C25" s="4">
        <f t="shared" si="0"/>
        <v>768.01307692307694</v>
      </c>
      <c r="D25" s="3">
        <v>0</v>
      </c>
      <c r="E25" s="3">
        <v>185</v>
      </c>
      <c r="F25" s="3">
        <v>59</v>
      </c>
      <c r="G25" s="3">
        <v>82</v>
      </c>
      <c r="H25" s="3">
        <v>55</v>
      </c>
      <c r="I25" s="4">
        <v>143.80384615384614</v>
      </c>
      <c r="J25" s="3">
        <v>0.33</v>
      </c>
      <c r="K25" s="3">
        <v>0</v>
      </c>
      <c r="L25" s="3">
        <v>0</v>
      </c>
      <c r="M25" s="3">
        <v>77</v>
      </c>
      <c r="N25" s="3">
        <v>86</v>
      </c>
      <c r="O25" s="3">
        <v>49</v>
      </c>
      <c r="P25" s="4">
        <v>31.209230769230768</v>
      </c>
      <c r="Q25" s="3">
        <v>0.12</v>
      </c>
      <c r="R25" s="3">
        <v>0</v>
      </c>
      <c r="S25" s="3">
        <v>22</v>
      </c>
      <c r="T25" s="3">
        <v>13</v>
      </c>
      <c r="U25" s="3">
        <v>42</v>
      </c>
      <c r="V25" s="3">
        <v>91</v>
      </c>
      <c r="W25" s="3">
        <v>721</v>
      </c>
      <c r="X25" s="3">
        <v>0</v>
      </c>
      <c r="Y25" s="3">
        <v>0</v>
      </c>
      <c r="Z25" s="3">
        <v>5</v>
      </c>
      <c r="AA25" s="3">
        <v>10</v>
      </c>
      <c r="AB25" s="3">
        <v>13</v>
      </c>
      <c r="AC25" s="3">
        <v>69</v>
      </c>
      <c r="AD25" s="3">
        <v>986</v>
      </c>
    </row>
    <row r="26" spans="1:30" ht="15">
      <c r="A26" s="3">
        <v>19</v>
      </c>
      <c r="B26" s="10" t="s">
        <v>27</v>
      </c>
      <c r="C26" s="4">
        <f t="shared" si="0"/>
        <v>2332.7599999999998</v>
      </c>
      <c r="D26" s="3">
        <v>0</v>
      </c>
      <c r="E26" s="3">
        <v>63</v>
      </c>
      <c r="F26" s="3">
        <v>59</v>
      </c>
      <c r="G26" s="3">
        <v>24</v>
      </c>
      <c r="H26" s="3">
        <v>16</v>
      </c>
      <c r="I26" s="4">
        <v>34.56</v>
      </c>
      <c r="J26" s="3">
        <v>0.33</v>
      </c>
      <c r="K26" s="3">
        <v>711</v>
      </c>
      <c r="L26" s="3">
        <v>26</v>
      </c>
      <c r="M26" s="3">
        <v>570</v>
      </c>
      <c r="N26" s="3">
        <v>156</v>
      </c>
      <c r="O26" s="3">
        <v>150</v>
      </c>
      <c r="P26" s="4">
        <v>523.20000000000005</v>
      </c>
      <c r="Q26" s="3">
        <v>0.28000000000000003</v>
      </c>
      <c r="R26" s="3">
        <v>0</v>
      </c>
      <c r="S26" s="3">
        <v>8</v>
      </c>
      <c r="T26" s="3">
        <v>9</v>
      </c>
      <c r="U26" s="3">
        <v>21</v>
      </c>
      <c r="V26" s="3">
        <v>33</v>
      </c>
      <c r="W26" s="3">
        <v>216</v>
      </c>
      <c r="X26" s="3">
        <v>10</v>
      </c>
      <c r="Y26" s="3">
        <v>1</v>
      </c>
      <c r="Z26" s="3">
        <v>33</v>
      </c>
      <c r="AA26" s="3">
        <v>30</v>
      </c>
      <c r="AB26" s="3">
        <v>35</v>
      </c>
      <c r="AC26" s="3">
        <v>436</v>
      </c>
      <c r="AD26" s="3">
        <v>830</v>
      </c>
    </row>
    <row r="27" spans="1:30" ht="15">
      <c r="A27" s="3">
        <v>20</v>
      </c>
      <c r="B27" s="10" t="s">
        <v>28</v>
      </c>
      <c r="C27" s="4">
        <f t="shared" si="0"/>
        <v>142.68121951219513</v>
      </c>
      <c r="D27" s="3">
        <v>0</v>
      </c>
      <c r="E27" s="3">
        <v>32</v>
      </c>
      <c r="F27" s="3">
        <v>23</v>
      </c>
      <c r="G27" s="3">
        <v>58</v>
      </c>
      <c r="H27" s="3">
        <v>11</v>
      </c>
      <c r="I27" s="4">
        <v>18.681219512195124</v>
      </c>
      <c r="J27" s="3">
        <v>0.33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4">
        <v>0</v>
      </c>
      <c r="Q27" s="3">
        <v>0.12</v>
      </c>
      <c r="R27" s="3">
        <v>0</v>
      </c>
      <c r="S27" s="3">
        <v>13</v>
      </c>
      <c r="T27" s="3">
        <v>19</v>
      </c>
      <c r="U27" s="3">
        <v>39</v>
      </c>
      <c r="V27" s="3">
        <v>41</v>
      </c>
      <c r="W27" s="3">
        <v>211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323</v>
      </c>
    </row>
    <row r="28" spans="1:30" ht="15">
      <c r="A28" s="3">
        <v>21</v>
      </c>
      <c r="B28" s="10" t="s">
        <v>29</v>
      </c>
      <c r="C28" s="4">
        <f t="shared" si="0"/>
        <v>546.23580645161292</v>
      </c>
      <c r="D28" s="3">
        <v>326</v>
      </c>
      <c r="E28" s="3">
        <v>0</v>
      </c>
      <c r="F28" s="3">
        <v>0</v>
      </c>
      <c r="G28" s="3">
        <v>188</v>
      </c>
      <c r="H28" s="3">
        <v>13</v>
      </c>
      <c r="I28" s="4">
        <v>19.235806451612905</v>
      </c>
      <c r="J28" s="3">
        <v>0.33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4">
        <v>0</v>
      </c>
      <c r="Q28" s="3">
        <v>0.12</v>
      </c>
      <c r="R28" s="3">
        <v>15</v>
      </c>
      <c r="S28" s="3">
        <v>0</v>
      </c>
      <c r="T28" s="3">
        <v>0</v>
      </c>
      <c r="U28" s="3">
        <v>63</v>
      </c>
      <c r="V28" s="3">
        <v>31</v>
      </c>
      <c r="W28" s="3">
        <v>139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247</v>
      </c>
    </row>
    <row r="29" spans="1:30" ht="15">
      <c r="A29" s="3">
        <v>22</v>
      </c>
      <c r="B29" s="10" t="s">
        <v>30</v>
      </c>
      <c r="C29" s="4">
        <f t="shared" si="0"/>
        <v>1033.7093749999999</v>
      </c>
      <c r="D29" s="3">
        <v>441</v>
      </c>
      <c r="E29" s="3">
        <v>61</v>
      </c>
      <c r="F29" s="3">
        <v>54</v>
      </c>
      <c r="G29" s="3">
        <v>224</v>
      </c>
      <c r="H29" s="3">
        <v>95</v>
      </c>
      <c r="I29" s="4">
        <v>158.70937499999999</v>
      </c>
      <c r="J29" s="3">
        <v>0.33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4">
        <v>0</v>
      </c>
      <c r="Q29" s="3">
        <v>0.12</v>
      </c>
      <c r="R29" s="3">
        <v>32</v>
      </c>
      <c r="S29" s="3">
        <v>19</v>
      </c>
      <c r="T29" s="3">
        <v>12</v>
      </c>
      <c r="U29" s="3">
        <v>85</v>
      </c>
      <c r="V29" s="3">
        <v>112</v>
      </c>
      <c r="W29" s="3">
        <v>567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827</v>
      </c>
    </row>
    <row r="30" spans="1:30" ht="15">
      <c r="A30" s="3">
        <v>23</v>
      </c>
      <c r="B30" s="10" t="s">
        <v>31</v>
      </c>
      <c r="C30" s="4">
        <f t="shared" si="0"/>
        <v>359.24</v>
      </c>
      <c r="D30" s="3">
        <v>0</v>
      </c>
      <c r="E30" s="3">
        <v>97</v>
      </c>
      <c r="F30" s="3">
        <v>0</v>
      </c>
      <c r="G30" s="3">
        <v>120</v>
      </c>
      <c r="H30" s="3">
        <v>56</v>
      </c>
      <c r="I30" s="4">
        <v>86.24</v>
      </c>
      <c r="J30" s="3">
        <v>0.33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4">
        <v>0</v>
      </c>
      <c r="Q30" s="3">
        <v>0.12</v>
      </c>
      <c r="R30" s="3">
        <v>0</v>
      </c>
      <c r="S30" s="3">
        <v>24</v>
      </c>
      <c r="T30" s="3">
        <v>0</v>
      </c>
      <c r="U30" s="3">
        <v>83</v>
      </c>
      <c r="V30" s="3">
        <v>108</v>
      </c>
      <c r="W30" s="3">
        <v>504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718</v>
      </c>
    </row>
    <row r="31" spans="1:30" ht="15">
      <c r="A31" s="3">
        <v>24</v>
      </c>
      <c r="B31" s="10" t="s">
        <v>32</v>
      </c>
      <c r="C31" s="4">
        <f t="shared" si="0"/>
        <v>1891.9147560975612</v>
      </c>
      <c r="D31" s="3">
        <v>249</v>
      </c>
      <c r="E31" s="3">
        <v>378</v>
      </c>
      <c r="F31" s="3">
        <v>21</v>
      </c>
      <c r="G31" s="3">
        <v>185</v>
      </c>
      <c r="H31" s="3">
        <v>92</v>
      </c>
      <c r="I31" s="4">
        <v>105.88975609756099</v>
      </c>
      <c r="J31" s="3">
        <v>0.33</v>
      </c>
      <c r="K31" s="3">
        <v>61</v>
      </c>
      <c r="L31" s="3">
        <v>66</v>
      </c>
      <c r="M31" s="3">
        <v>200</v>
      </c>
      <c r="N31" s="3">
        <v>334</v>
      </c>
      <c r="O31" s="3">
        <v>105</v>
      </c>
      <c r="P31" s="4">
        <v>95.025000000000006</v>
      </c>
      <c r="Q31" s="3">
        <v>0.12</v>
      </c>
      <c r="R31" s="3">
        <v>20</v>
      </c>
      <c r="S31" s="3">
        <v>40</v>
      </c>
      <c r="T31" s="3">
        <v>8</v>
      </c>
      <c r="U31" s="3">
        <v>99</v>
      </c>
      <c r="V31" s="3">
        <v>164</v>
      </c>
      <c r="W31" s="3">
        <v>572</v>
      </c>
      <c r="X31" s="3">
        <v>4</v>
      </c>
      <c r="Y31" s="3">
        <v>5</v>
      </c>
      <c r="Z31" s="3">
        <v>18</v>
      </c>
      <c r="AA31" s="3">
        <v>48</v>
      </c>
      <c r="AB31" s="3">
        <v>24</v>
      </c>
      <c r="AC31" s="3">
        <v>181</v>
      </c>
      <c r="AD31" s="4">
        <v>1181</v>
      </c>
    </row>
    <row r="32" spans="1:30" ht="15">
      <c r="A32" s="3">
        <v>25</v>
      </c>
      <c r="B32" s="10" t="s">
        <v>33</v>
      </c>
      <c r="C32" s="4">
        <f t="shared" si="0"/>
        <v>1134.0434090909091</v>
      </c>
      <c r="D32" s="3">
        <v>371</v>
      </c>
      <c r="E32" s="3">
        <v>175</v>
      </c>
      <c r="F32" s="3">
        <v>19</v>
      </c>
      <c r="G32" s="3">
        <v>126</v>
      </c>
      <c r="H32" s="3">
        <v>48</v>
      </c>
      <c r="I32" s="4">
        <v>55.192500000000003</v>
      </c>
      <c r="J32" s="3">
        <v>0.33</v>
      </c>
      <c r="K32" s="3">
        <v>91</v>
      </c>
      <c r="L32" s="3">
        <v>0</v>
      </c>
      <c r="M32" s="3">
        <v>56</v>
      </c>
      <c r="N32" s="3">
        <v>142</v>
      </c>
      <c r="O32" s="3">
        <v>32</v>
      </c>
      <c r="P32" s="4">
        <v>18.850909090909088</v>
      </c>
      <c r="Q32" s="3">
        <v>0.12</v>
      </c>
      <c r="R32" s="3">
        <v>12</v>
      </c>
      <c r="S32" s="3">
        <v>18</v>
      </c>
      <c r="T32" s="3">
        <v>6</v>
      </c>
      <c r="U32" s="3">
        <v>45</v>
      </c>
      <c r="V32" s="3">
        <v>64</v>
      </c>
      <c r="W32" s="3">
        <v>223</v>
      </c>
      <c r="X32" s="3">
        <v>3</v>
      </c>
      <c r="Y32" s="3">
        <v>0</v>
      </c>
      <c r="Z32" s="3">
        <v>4</v>
      </c>
      <c r="AA32" s="3">
        <v>14</v>
      </c>
      <c r="AB32" s="3">
        <v>11</v>
      </c>
      <c r="AC32" s="3">
        <v>54</v>
      </c>
      <c r="AD32" s="3">
        <v>453</v>
      </c>
    </row>
    <row r="33" spans="1:30" ht="15">
      <c r="A33" s="3">
        <v>26</v>
      </c>
      <c r="B33" s="10" t="s">
        <v>34</v>
      </c>
      <c r="C33" s="4">
        <f t="shared" si="0"/>
        <v>625.23333333333335</v>
      </c>
      <c r="D33" s="3">
        <v>0</v>
      </c>
      <c r="E33" s="3">
        <v>176</v>
      </c>
      <c r="F33" s="3">
        <v>121</v>
      </c>
      <c r="G33" s="3">
        <v>153</v>
      </c>
      <c r="H33" s="3">
        <v>70</v>
      </c>
      <c r="I33" s="4">
        <v>105.23333333333333</v>
      </c>
      <c r="J33" s="3">
        <v>0.33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4">
        <v>0</v>
      </c>
      <c r="Q33" s="3">
        <v>0.12</v>
      </c>
      <c r="R33" s="3">
        <v>0</v>
      </c>
      <c r="S33" s="3">
        <v>25</v>
      </c>
      <c r="T33" s="3">
        <v>16</v>
      </c>
      <c r="U33" s="3">
        <v>92</v>
      </c>
      <c r="V33" s="3">
        <v>90</v>
      </c>
      <c r="W33" s="3">
        <v>410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633</v>
      </c>
    </row>
    <row r="34" spans="1:30" ht="15">
      <c r="A34" s="3">
        <v>27</v>
      </c>
      <c r="B34" s="10" t="s">
        <v>35</v>
      </c>
      <c r="C34" s="4">
        <f t="shared" si="0"/>
        <v>248.84117647058824</v>
      </c>
      <c r="D34" s="3">
        <v>0</v>
      </c>
      <c r="E34" s="3">
        <v>85</v>
      </c>
      <c r="F34" s="3">
        <v>41</v>
      </c>
      <c r="G34" s="3">
        <v>38</v>
      </c>
      <c r="H34" s="3">
        <v>40</v>
      </c>
      <c r="I34" s="4">
        <v>44.841176470588238</v>
      </c>
      <c r="J34" s="3">
        <v>0.33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4">
        <v>0</v>
      </c>
      <c r="Q34" s="3">
        <v>0.12</v>
      </c>
      <c r="R34" s="3">
        <v>0</v>
      </c>
      <c r="S34" s="3">
        <v>21</v>
      </c>
      <c r="T34" s="3">
        <v>13</v>
      </c>
      <c r="U34" s="3">
        <v>21</v>
      </c>
      <c r="V34" s="3">
        <v>68</v>
      </c>
      <c r="W34" s="3">
        <v>231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355</v>
      </c>
    </row>
    <row r="35" spans="1:30" ht="15">
      <c r="A35" s="3">
        <v>28</v>
      </c>
      <c r="B35" s="10" t="s">
        <v>36</v>
      </c>
      <c r="C35" s="4">
        <f t="shared" si="0"/>
        <v>224.57191780821918</v>
      </c>
      <c r="D35" s="3">
        <v>0</v>
      </c>
      <c r="E35" s="3">
        <v>0</v>
      </c>
      <c r="F35" s="3">
        <v>111</v>
      </c>
      <c r="G35" s="3">
        <v>48</v>
      </c>
      <c r="H35" s="3">
        <v>25</v>
      </c>
      <c r="I35" s="4">
        <v>40.571917808219176</v>
      </c>
      <c r="J35" s="3">
        <v>0.33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4">
        <v>0</v>
      </c>
      <c r="Q35" s="3">
        <v>0.12</v>
      </c>
      <c r="R35" s="3">
        <v>0</v>
      </c>
      <c r="S35" s="3">
        <v>0</v>
      </c>
      <c r="T35" s="3">
        <v>31</v>
      </c>
      <c r="U35" s="3">
        <v>57</v>
      </c>
      <c r="V35" s="3">
        <v>73</v>
      </c>
      <c r="W35" s="3">
        <v>359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521</v>
      </c>
    </row>
    <row r="36" spans="1:30" ht="15">
      <c r="A36" s="3">
        <v>29</v>
      </c>
      <c r="B36" s="10" t="s">
        <v>37</v>
      </c>
      <c r="C36" s="4">
        <f t="shared" si="0"/>
        <v>192.88800000000001</v>
      </c>
      <c r="D36" s="3">
        <v>0</v>
      </c>
      <c r="E36" s="3">
        <v>0</v>
      </c>
      <c r="F36" s="3">
        <v>114</v>
      </c>
      <c r="G36" s="3">
        <v>22</v>
      </c>
      <c r="H36" s="3">
        <v>26</v>
      </c>
      <c r="I36" s="4">
        <v>30.887999999999998</v>
      </c>
      <c r="J36" s="3">
        <v>0.33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4">
        <v>0</v>
      </c>
      <c r="Q36" s="3">
        <v>0.12</v>
      </c>
      <c r="R36" s="3">
        <v>0</v>
      </c>
      <c r="S36" s="3">
        <v>0</v>
      </c>
      <c r="T36" s="3">
        <v>36</v>
      </c>
      <c r="U36" s="3">
        <v>21</v>
      </c>
      <c r="V36" s="3">
        <v>80</v>
      </c>
      <c r="W36" s="3">
        <v>288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425</v>
      </c>
    </row>
    <row r="37" spans="1:30" ht="15">
      <c r="A37" s="3">
        <v>30</v>
      </c>
      <c r="B37" s="10" t="s">
        <v>38</v>
      </c>
      <c r="C37" s="4">
        <f t="shared" si="0"/>
        <v>2152.7975264270613</v>
      </c>
      <c r="D37" s="3">
        <v>0</v>
      </c>
      <c r="E37" s="3">
        <v>235</v>
      </c>
      <c r="F37" s="3">
        <v>120</v>
      </c>
      <c r="G37" s="3">
        <v>251</v>
      </c>
      <c r="H37" s="3">
        <v>79</v>
      </c>
      <c r="I37" s="4">
        <v>138.10636363636362</v>
      </c>
      <c r="J37" s="3">
        <v>0.33</v>
      </c>
      <c r="K37" s="3">
        <v>0</v>
      </c>
      <c r="L37" s="3">
        <v>215</v>
      </c>
      <c r="M37" s="3">
        <v>442</v>
      </c>
      <c r="N37" s="3">
        <v>275</v>
      </c>
      <c r="O37" s="3">
        <v>182</v>
      </c>
      <c r="P37" s="4">
        <v>215.69116279069769</v>
      </c>
      <c r="Q37" s="3">
        <v>0.28000000000000003</v>
      </c>
      <c r="R37" s="3">
        <v>0</v>
      </c>
      <c r="S37" s="3">
        <v>28</v>
      </c>
      <c r="T37" s="3">
        <v>21</v>
      </c>
      <c r="U37" s="3">
        <v>68</v>
      </c>
      <c r="V37" s="3">
        <v>121</v>
      </c>
      <c r="W37" s="3">
        <v>641</v>
      </c>
      <c r="X37" s="3">
        <v>0</v>
      </c>
      <c r="Y37" s="3">
        <v>15</v>
      </c>
      <c r="Z37" s="3">
        <v>31</v>
      </c>
      <c r="AA37" s="3">
        <v>34</v>
      </c>
      <c r="AB37" s="3">
        <v>43</v>
      </c>
      <c r="AC37" s="3">
        <v>182</v>
      </c>
      <c r="AD37" s="4">
        <v>1184</v>
      </c>
    </row>
    <row r="38" spans="1:30" ht="15">
      <c r="A38" s="3">
        <v>31</v>
      </c>
      <c r="B38" s="10" t="s">
        <v>39</v>
      </c>
      <c r="C38" s="4">
        <f t="shared" si="0"/>
        <v>284.16250000000002</v>
      </c>
      <c r="D38" s="3">
        <v>68</v>
      </c>
      <c r="E38" s="3">
        <v>0</v>
      </c>
      <c r="F38" s="3">
        <v>73</v>
      </c>
      <c r="G38" s="3">
        <v>61</v>
      </c>
      <c r="H38" s="3">
        <v>35</v>
      </c>
      <c r="I38" s="4">
        <v>47.162500000000001</v>
      </c>
      <c r="J38" s="3">
        <v>0.33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4">
        <v>0</v>
      </c>
      <c r="Q38" s="3">
        <v>0.12</v>
      </c>
      <c r="R38" s="3">
        <v>3</v>
      </c>
      <c r="S38" s="3">
        <v>0</v>
      </c>
      <c r="T38" s="3">
        <v>20</v>
      </c>
      <c r="U38" s="3">
        <v>55</v>
      </c>
      <c r="V38" s="3">
        <v>72</v>
      </c>
      <c r="W38" s="3">
        <v>294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443</v>
      </c>
    </row>
    <row r="39" spans="1:30" ht="15">
      <c r="A39" s="3">
        <v>32</v>
      </c>
      <c r="B39" s="10" t="s">
        <v>40</v>
      </c>
      <c r="C39" s="4">
        <f t="shared" si="0"/>
        <v>115.10490566037737</v>
      </c>
      <c r="D39" s="3">
        <v>0</v>
      </c>
      <c r="E39" s="3">
        <v>0</v>
      </c>
      <c r="F39" s="3">
        <v>44</v>
      </c>
      <c r="G39" s="3">
        <v>30</v>
      </c>
      <c r="H39" s="3">
        <v>16</v>
      </c>
      <c r="I39" s="4">
        <v>25.104905660377362</v>
      </c>
      <c r="J39" s="3">
        <v>0.33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4">
        <v>0</v>
      </c>
      <c r="Q39" s="3">
        <v>0.12</v>
      </c>
      <c r="R39" s="3">
        <v>0</v>
      </c>
      <c r="S39" s="3">
        <v>0</v>
      </c>
      <c r="T39" s="3">
        <v>19</v>
      </c>
      <c r="U39" s="3">
        <v>51</v>
      </c>
      <c r="V39" s="3">
        <v>53</v>
      </c>
      <c r="W39" s="3">
        <v>252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376</v>
      </c>
    </row>
    <row r="40" spans="1:30" ht="15">
      <c r="A40" s="3">
        <v>33</v>
      </c>
      <c r="B40" s="10" t="s">
        <v>41</v>
      </c>
      <c r="C40" s="4">
        <f t="shared" si="0"/>
        <v>330.0879104477612</v>
      </c>
      <c r="D40" s="3">
        <v>0</v>
      </c>
      <c r="E40" s="3">
        <v>0</v>
      </c>
      <c r="F40" s="3">
        <v>0</v>
      </c>
      <c r="G40" s="3">
        <v>208</v>
      </c>
      <c r="H40" s="3">
        <v>51</v>
      </c>
      <c r="I40" s="4">
        <v>71.087910447761203</v>
      </c>
      <c r="J40" s="3">
        <v>0.33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4">
        <v>0</v>
      </c>
      <c r="Q40" s="3">
        <v>0.12</v>
      </c>
      <c r="R40" s="3">
        <v>0</v>
      </c>
      <c r="S40" s="3">
        <v>0</v>
      </c>
      <c r="T40" s="3">
        <v>0</v>
      </c>
      <c r="U40" s="3">
        <v>59</v>
      </c>
      <c r="V40" s="3">
        <v>67</v>
      </c>
      <c r="W40" s="3">
        <v>283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409</v>
      </c>
    </row>
    <row r="41" spans="1:30" ht="15">
      <c r="A41" s="3">
        <v>34</v>
      </c>
      <c r="B41" s="10" t="s">
        <v>42</v>
      </c>
      <c r="C41" s="4">
        <f t="shared" si="0"/>
        <v>6965.4701886792454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4">
        <v>0</v>
      </c>
      <c r="J41" s="3">
        <v>0.33</v>
      </c>
      <c r="K41" s="4">
        <v>1594</v>
      </c>
      <c r="L41" s="3">
        <v>767</v>
      </c>
      <c r="M41" s="4">
        <v>1634</v>
      </c>
      <c r="N41" s="4">
        <v>1541</v>
      </c>
      <c r="O41" s="3">
        <v>624</v>
      </c>
      <c r="P41" s="4">
        <v>805.47018867924533</v>
      </c>
      <c r="Q41" s="3">
        <v>0.28000000000000003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35</v>
      </c>
      <c r="Y41" s="3">
        <v>14</v>
      </c>
      <c r="Z41" s="3">
        <v>57</v>
      </c>
      <c r="AA41" s="3">
        <v>142</v>
      </c>
      <c r="AB41" s="3">
        <v>159</v>
      </c>
      <c r="AC41" s="3">
        <v>733</v>
      </c>
      <c r="AD41" s="4">
        <v>1139</v>
      </c>
    </row>
    <row r="42" spans="1:30" ht="15">
      <c r="A42" s="3">
        <v>35</v>
      </c>
      <c r="B42" s="10" t="s">
        <v>43</v>
      </c>
      <c r="C42" s="4">
        <f t="shared" si="0"/>
        <v>325.20366197183097</v>
      </c>
      <c r="D42" s="3">
        <v>0</v>
      </c>
      <c r="E42" s="3">
        <v>15</v>
      </c>
      <c r="F42" s="3">
        <v>127</v>
      </c>
      <c r="G42" s="3">
        <v>95</v>
      </c>
      <c r="H42" s="3">
        <v>34</v>
      </c>
      <c r="I42" s="4">
        <v>54.203661971830989</v>
      </c>
      <c r="J42" s="3">
        <v>0.33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4">
        <v>0</v>
      </c>
      <c r="Q42" s="3">
        <v>0.12</v>
      </c>
      <c r="R42" s="3">
        <v>0</v>
      </c>
      <c r="S42" s="3">
        <v>5</v>
      </c>
      <c r="T42" s="3">
        <v>35</v>
      </c>
      <c r="U42" s="3">
        <v>52</v>
      </c>
      <c r="V42" s="3">
        <v>71</v>
      </c>
      <c r="W42" s="3">
        <v>343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506</v>
      </c>
    </row>
    <row r="43" spans="1:30" ht="15">
      <c r="A43" s="3">
        <v>36</v>
      </c>
      <c r="B43" s="10" t="s">
        <v>44</v>
      </c>
      <c r="C43" s="4">
        <f t="shared" si="0"/>
        <v>1485.1682926829269</v>
      </c>
      <c r="D43" s="3">
        <v>0</v>
      </c>
      <c r="E43" s="3">
        <v>679</v>
      </c>
      <c r="F43" s="3">
        <v>39</v>
      </c>
      <c r="G43" s="3">
        <v>324</v>
      </c>
      <c r="H43" s="3">
        <v>202</v>
      </c>
      <c r="I43" s="4">
        <v>241.16829268292682</v>
      </c>
      <c r="J43" s="3">
        <v>0.33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4">
        <v>0</v>
      </c>
      <c r="Q43" s="3">
        <v>0.12</v>
      </c>
      <c r="R43" s="3">
        <v>0</v>
      </c>
      <c r="S43" s="3">
        <v>48</v>
      </c>
      <c r="T43" s="3">
        <v>5</v>
      </c>
      <c r="U43" s="3">
        <v>101</v>
      </c>
      <c r="V43" s="3">
        <v>123</v>
      </c>
      <c r="W43" s="3">
        <v>445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721</v>
      </c>
    </row>
    <row r="44" spans="1:30" ht="15">
      <c r="A44" s="3">
        <v>37</v>
      </c>
      <c r="B44" s="10" t="s">
        <v>45</v>
      </c>
      <c r="C44" s="4">
        <f t="shared" si="0"/>
        <v>1364.6390540540542</v>
      </c>
      <c r="D44" s="3">
        <v>394</v>
      </c>
      <c r="E44" s="3">
        <v>89</v>
      </c>
      <c r="F44" s="3">
        <v>115</v>
      </c>
      <c r="G44" s="3">
        <v>11</v>
      </c>
      <c r="H44" s="3">
        <v>53</v>
      </c>
      <c r="I44" s="4">
        <v>53.179054054054056</v>
      </c>
      <c r="J44" s="3">
        <v>0.33</v>
      </c>
      <c r="K44" s="3">
        <v>0</v>
      </c>
      <c r="L44" s="3">
        <v>0</v>
      </c>
      <c r="M44" s="3">
        <v>370</v>
      </c>
      <c r="N44" s="3">
        <v>162</v>
      </c>
      <c r="O44" s="3">
        <v>70</v>
      </c>
      <c r="P44" s="4">
        <v>47.46</v>
      </c>
      <c r="Q44" s="3">
        <v>0.12</v>
      </c>
      <c r="R44" s="3">
        <v>13</v>
      </c>
      <c r="S44" s="3">
        <v>5</v>
      </c>
      <c r="T44" s="3">
        <v>34</v>
      </c>
      <c r="U44" s="3">
        <v>3</v>
      </c>
      <c r="V44" s="3">
        <v>74</v>
      </c>
      <c r="W44" s="3">
        <v>225</v>
      </c>
      <c r="X44" s="3">
        <v>0</v>
      </c>
      <c r="Y44" s="3">
        <v>0</v>
      </c>
      <c r="Z44" s="3">
        <v>19</v>
      </c>
      <c r="AA44" s="3">
        <v>17</v>
      </c>
      <c r="AB44" s="3">
        <v>20</v>
      </c>
      <c r="AC44" s="3">
        <v>113</v>
      </c>
      <c r="AD44" s="3">
        <v>523</v>
      </c>
    </row>
    <row r="45" spans="1:30" ht="15">
      <c r="A45" s="3">
        <v>38</v>
      </c>
      <c r="B45" s="10" t="s">
        <v>46</v>
      </c>
      <c r="C45" s="4">
        <f t="shared" si="0"/>
        <v>194.44516129032257</v>
      </c>
      <c r="D45" s="3">
        <v>0</v>
      </c>
      <c r="E45" s="3">
        <v>39</v>
      </c>
      <c r="F45" s="3">
        <v>19</v>
      </c>
      <c r="G45" s="3">
        <v>80</v>
      </c>
      <c r="H45" s="3">
        <v>26</v>
      </c>
      <c r="I45" s="4">
        <v>30.445161290322584</v>
      </c>
      <c r="J45" s="3">
        <v>0.33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4">
        <v>0</v>
      </c>
      <c r="Q45" s="3">
        <v>0.12</v>
      </c>
      <c r="R45" s="3">
        <v>0</v>
      </c>
      <c r="S45" s="3">
        <v>9</v>
      </c>
      <c r="T45" s="3">
        <v>22</v>
      </c>
      <c r="U45" s="3">
        <v>43</v>
      </c>
      <c r="V45" s="3">
        <v>62</v>
      </c>
      <c r="W45" s="3">
        <v>220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355</v>
      </c>
    </row>
    <row r="46" spans="1:30" ht="15">
      <c r="A46" s="3">
        <v>39</v>
      </c>
      <c r="B46" s="10" t="s">
        <v>47</v>
      </c>
      <c r="C46" s="4">
        <f t="shared" si="0"/>
        <v>500.51882352941175</v>
      </c>
      <c r="D46" s="3">
        <v>366</v>
      </c>
      <c r="E46" s="3">
        <v>0</v>
      </c>
      <c r="F46" s="3">
        <v>4</v>
      </c>
      <c r="G46" s="3">
        <v>94</v>
      </c>
      <c r="H46" s="3">
        <v>18</v>
      </c>
      <c r="I46" s="4">
        <v>18.518823529411769</v>
      </c>
      <c r="J46" s="3">
        <v>0.33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4">
        <v>0</v>
      </c>
      <c r="Q46" s="3">
        <v>0.12</v>
      </c>
      <c r="R46" s="3">
        <v>16</v>
      </c>
      <c r="S46" s="3">
        <v>0</v>
      </c>
      <c r="T46" s="3">
        <v>2</v>
      </c>
      <c r="U46" s="3">
        <v>41</v>
      </c>
      <c r="V46" s="3">
        <v>34</v>
      </c>
      <c r="W46" s="3">
        <v>106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199</v>
      </c>
    </row>
    <row r="47" spans="1:30" ht="15">
      <c r="A47" s="3">
        <v>40</v>
      </c>
      <c r="B47" s="10" t="s">
        <v>48</v>
      </c>
      <c r="C47" s="4">
        <f t="shared" si="0"/>
        <v>317.42452830188677</v>
      </c>
      <c r="D47" s="3">
        <v>0</v>
      </c>
      <c r="E47" s="3">
        <v>170</v>
      </c>
      <c r="F47" s="3">
        <v>59</v>
      </c>
      <c r="G47" s="3">
        <v>27</v>
      </c>
      <c r="H47" s="3">
        <v>25</v>
      </c>
      <c r="I47" s="4">
        <v>36.424528301886795</v>
      </c>
      <c r="J47" s="3">
        <v>0.33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4">
        <v>0</v>
      </c>
      <c r="Q47" s="3">
        <v>0.12</v>
      </c>
      <c r="R47" s="3">
        <v>0</v>
      </c>
      <c r="S47" s="3">
        <v>18</v>
      </c>
      <c r="T47" s="3">
        <v>28</v>
      </c>
      <c r="U47" s="3">
        <v>24</v>
      </c>
      <c r="V47" s="3">
        <v>53</v>
      </c>
      <c r="W47" s="3">
        <v>234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357</v>
      </c>
    </row>
    <row r="48" spans="1:30" ht="15">
      <c r="A48" s="3">
        <v>41</v>
      </c>
      <c r="B48" s="10" t="s">
        <v>49</v>
      </c>
      <c r="C48" s="4">
        <f t="shared" si="0"/>
        <v>1253.8684210526317</v>
      </c>
      <c r="D48" s="3">
        <v>899</v>
      </c>
      <c r="E48" s="3">
        <v>0</v>
      </c>
      <c r="F48" s="3">
        <v>0</v>
      </c>
      <c r="G48" s="3">
        <v>205</v>
      </c>
      <c r="H48" s="3">
        <v>50</v>
      </c>
      <c r="I48" s="4">
        <v>99.868421052631575</v>
      </c>
      <c r="J48" s="3">
        <v>0.33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4">
        <v>0</v>
      </c>
      <c r="Q48" s="3">
        <v>0.12</v>
      </c>
      <c r="R48" s="3">
        <v>23</v>
      </c>
      <c r="S48" s="3">
        <v>0</v>
      </c>
      <c r="T48" s="3">
        <v>0</v>
      </c>
      <c r="U48" s="3">
        <v>72</v>
      </c>
      <c r="V48" s="3">
        <v>57</v>
      </c>
      <c r="W48" s="3">
        <v>345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496</v>
      </c>
    </row>
    <row r="49" spans="1:30" ht="15">
      <c r="A49" s="3">
        <v>42</v>
      </c>
      <c r="B49" s="10" t="s">
        <v>50</v>
      </c>
      <c r="C49" s="4">
        <f t="shared" si="0"/>
        <v>1126.4369620253165</v>
      </c>
      <c r="D49" s="3">
        <v>0</v>
      </c>
      <c r="E49" s="3">
        <v>348</v>
      </c>
      <c r="F49" s="3">
        <v>62</v>
      </c>
      <c r="G49" s="3">
        <v>178</v>
      </c>
      <c r="H49" s="3">
        <v>128</v>
      </c>
      <c r="I49" s="4">
        <v>199.43696202531646</v>
      </c>
      <c r="J49" s="3">
        <v>0.33</v>
      </c>
      <c r="K49" s="3">
        <v>0</v>
      </c>
      <c r="L49" s="3">
        <v>52</v>
      </c>
      <c r="M49" s="3">
        <v>83</v>
      </c>
      <c r="N49" s="3">
        <v>36</v>
      </c>
      <c r="O49" s="3">
        <v>25</v>
      </c>
      <c r="P49" s="4">
        <v>15</v>
      </c>
      <c r="Q49" s="3">
        <v>0.12</v>
      </c>
      <c r="R49" s="3">
        <v>0</v>
      </c>
      <c r="S49" s="3">
        <v>44</v>
      </c>
      <c r="T49" s="3">
        <v>19</v>
      </c>
      <c r="U49" s="3">
        <v>106</v>
      </c>
      <c r="V49" s="3">
        <v>158</v>
      </c>
      <c r="W49" s="3">
        <v>746</v>
      </c>
      <c r="X49" s="3">
        <v>0</v>
      </c>
      <c r="Y49" s="3">
        <v>4</v>
      </c>
      <c r="Z49" s="3">
        <v>8</v>
      </c>
      <c r="AA49" s="3">
        <v>8</v>
      </c>
      <c r="AB49" s="3">
        <v>8</v>
      </c>
      <c r="AC49" s="3">
        <v>40</v>
      </c>
      <c r="AD49" s="4">
        <v>1141</v>
      </c>
    </row>
    <row r="50" spans="1:30" ht="15">
      <c r="A50" s="3">
        <v>43</v>
      </c>
      <c r="B50" s="10" t="s">
        <v>51</v>
      </c>
      <c r="C50" s="4">
        <f t="shared" si="0"/>
        <v>863.62291262135932</v>
      </c>
      <c r="D50" s="3">
        <v>0</v>
      </c>
      <c r="E50" s="3">
        <v>277</v>
      </c>
      <c r="F50" s="3">
        <v>85</v>
      </c>
      <c r="G50" s="3">
        <v>231</v>
      </c>
      <c r="H50" s="3">
        <v>92</v>
      </c>
      <c r="I50" s="4">
        <v>178.62291262135926</v>
      </c>
      <c r="J50" s="3">
        <v>0.33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4">
        <v>0</v>
      </c>
      <c r="Q50" s="3">
        <v>0.12</v>
      </c>
      <c r="R50" s="3">
        <v>0</v>
      </c>
      <c r="S50" s="3">
        <v>31</v>
      </c>
      <c r="T50" s="3">
        <v>22</v>
      </c>
      <c r="U50" s="3">
        <v>107</v>
      </c>
      <c r="V50" s="3">
        <v>103</v>
      </c>
      <c r="W50" s="3">
        <v>606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869</v>
      </c>
    </row>
    <row r="51" spans="1:30" ht="15">
      <c r="A51" s="3">
        <v>44</v>
      </c>
      <c r="B51" s="10" t="s">
        <v>52</v>
      </c>
      <c r="C51" s="4">
        <f t="shared" si="0"/>
        <v>240.86461538461538</v>
      </c>
      <c r="D51" s="3">
        <v>0</v>
      </c>
      <c r="E51" s="3">
        <v>0</v>
      </c>
      <c r="F51" s="3">
        <v>90</v>
      </c>
      <c r="G51" s="3">
        <v>75</v>
      </c>
      <c r="H51" s="3">
        <v>32</v>
      </c>
      <c r="I51" s="4">
        <v>43.864615384615391</v>
      </c>
      <c r="J51" s="3">
        <v>0.33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4">
        <v>0</v>
      </c>
      <c r="Q51" s="3">
        <v>0.12</v>
      </c>
      <c r="R51" s="3">
        <v>0</v>
      </c>
      <c r="S51" s="3">
        <v>0</v>
      </c>
      <c r="T51" s="3">
        <v>27</v>
      </c>
      <c r="U51" s="3">
        <v>38</v>
      </c>
      <c r="V51" s="3">
        <v>91</v>
      </c>
      <c r="W51" s="3">
        <v>378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533</v>
      </c>
    </row>
    <row r="52" spans="1:30" ht="15">
      <c r="A52" s="3">
        <v>45</v>
      </c>
      <c r="B52" s="10" t="s">
        <v>53</v>
      </c>
      <c r="C52" s="4">
        <f t="shared" si="0"/>
        <v>919.4064615384616</v>
      </c>
      <c r="D52" s="3">
        <v>0</v>
      </c>
      <c r="E52" s="3">
        <v>267</v>
      </c>
      <c r="F52" s="3">
        <v>0</v>
      </c>
      <c r="G52" s="3">
        <v>129</v>
      </c>
      <c r="H52" s="3">
        <v>34</v>
      </c>
      <c r="I52" s="4">
        <v>79.575692307692307</v>
      </c>
      <c r="J52" s="3">
        <v>0.33</v>
      </c>
      <c r="K52" s="3">
        <v>0</v>
      </c>
      <c r="L52" s="3">
        <v>0</v>
      </c>
      <c r="M52" s="3">
        <v>155</v>
      </c>
      <c r="N52" s="3">
        <v>83</v>
      </c>
      <c r="O52" s="3">
        <v>51</v>
      </c>
      <c r="P52" s="4">
        <v>120.83076923076925</v>
      </c>
      <c r="Q52" s="3">
        <v>0.28000000000000003</v>
      </c>
      <c r="R52" s="3">
        <v>0</v>
      </c>
      <c r="S52" s="3">
        <v>37</v>
      </c>
      <c r="T52" s="3">
        <v>0</v>
      </c>
      <c r="U52" s="3">
        <v>75</v>
      </c>
      <c r="V52" s="3">
        <v>65</v>
      </c>
      <c r="W52" s="3">
        <v>461</v>
      </c>
      <c r="X52" s="3">
        <v>0</v>
      </c>
      <c r="Y52" s="3">
        <v>0</v>
      </c>
      <c r="Z52" s="3">
        <v>8</v>
      </c>
      <c r="AA52" s="3">
        <v>11</v>
      </c>
      <c r="AB52" s="3">
        <v>13</v>
      </c>
      <c r="AC52" s="3">
        <v>110</v>
      </c>
      <c r="AD52" s="3">
        <v>781</v>
      </c>
    </row>
    <row r="53" spans="1:30" ht="15">
      <c r="A53" s="3">
        <v>46</v>
      </c>
      <c r="B53" s="10" t="s">
        <v>54</v>
      </c>
      <c r="C53" s="4">
        <f t="shared" si="0"/>
        <v>240.30240506329113</v>
      </c>
      <c r="D53" s="3">
        <v>0</v>
      </c>
      <c r="E53" s="3">
        <v>141</v>
      </c>
      <c r="F53" s="3">
        <v>0</v>
      </c>
      <c r="G53" s="3">
        <v>30</v>
      </c>
      <c r="H53" s="3">
        <v>37</v>
      </c>
      <c r="I53" s="4">
        <v>32.30240506329114</v>
      </c>
      <c r="J53" s="3">
        <v>0.33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4">
        <v>0</v>
      </c>
      <c r="Q53" s="3">
        <v>0.12</v>
      </c>
      <c r="R53" s="3">
        <v>0</v>
      </c>
      <c r="S53" s="3">
        <v>19</v>
      </c>
      <c r="T53" s="3">
        <v>0</v>
      </c>
      <c r="U53" s="3">
        <v>24</v>
      </c>
      <c r="V53" s="3">
        <v>79</v>
      </c>
      <c r="W53" s="3">
        <v>209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331</v>
      </c>
    </row>
    <row r="54" spans="1:30" ht="15">
      <c r="A54" s="3">
        <v>47</v>
      </c>
      <c r="B54" s="10" t="s">
        <v>55</v>
      </c>
      <c r="C54" s="4">
        <f t="shared" si="0"/>
        <v>3418.3482014388492</v>
      </c>
      <c r="D54" s="3">
        <v>713</v>
      </c>
      <c r="E54" s="3">
        <v>284</v>
      </c>
      <c r="F54" s="3">
        <v>94</v>
      </c>
      <c r="G54" s="3">
        <v>220</v>
      </c>
      <c r="H54" s="3">
        <v>158</v>
      </c>
      <c r="I54" s="4">
        <v>237.06820143884894</v>
      </c>
      <c r="J54" s="3">
        <v>0.33</v>
      </c>
      <c r="K54" s="3">
        <v>242</v>
      </c>
      <c r="L54" s="3">
        <v>116</v>
      </c>
      <c r="M54" s="3">
        <v>453</v>
      </c>
      <c r="N54" s="3">
        <v>544</v>
      </c>
      <c r="O54" s="3">
        <v>232</v>
      </c>
      <c r="P54" s="4">
        <v>125.28</v>
      </c>
      <c r="Q54" s="3">
        <v>0.12</v>
      </c>
      <c r="R54" s="3">
        <v>19</v>
      </c>
      <c r="S54" s="3">
        <v>25</v>
      </c>
      <c r="T54" s="3">
        <v>14</v>
      </c>
      <c r="U54" s="3">
        <v>79</v>
      </c>
      <c r="V54" s="3">
        <v>139</v>
      </c>
      <c r="W54" s="3">
        <v>632</v>
      </c>
      <c r="X54" s="3">
        <v>6</v>
      </c>
      <c r="Y54" s="3">
        <v>8</v>
      </c>
      <c r="Z54" s="3">
        <v>17</v>
      </c>
      <c r="AA54" s="3">
        <v>62</v>
      </c>
      <c r="AB54" s="3">
        <v>52</v>
      </c>
      <c r="AC54" s="3">
        <v>234</v>
      </c>
      <c r="AD54" s="4">
        <v>1288</v>
      </c>
    </row>
    <row r="55" spans="1:30" ht="15">
      <c r="A55" s="3">
        <v>48</v>
      </c>
      <c r="B55" s="10" t="s">
        <v>56</v>
      </c>
      <c r="C55" s="4">
        <f t="shared" si="0"/>
        <v>825.21802816901413</v>
      </c>
      <c r="D55" s="3">
        <v>0</v>
      </c>
      <c r="E55" s="3">
        <v>240</v>
      </c>
      <c r="F55" s="3">
        <v>155</v>
      </c>
      <c r="G55" s="3">
        <v>211</v>
      </c>
      <c r="H55" s="3">
        <v>93</v>
      </c>
      <c r="I55" s="4">
        <v>126.21802816901408</v>
      </c>
      <c r="J55" s="3">
        <v>0.33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4">
        <v>0</v>
      </c>
      <c r="Q55" s="3">
        <v>0.12</v>
      </c>
      <c r="R55" s="3">
        <v>0</v>
      </c>
      <c r="S55" s="3">
        <v>39</v>
      </c>
      <c r="T55" s="3">
        <v>28</v>
      </c>
      <c r="U55" s="3">
        <v>90</v>
      </c>
      <c r="V55" s="3">
        <v>71</v>
      </c>
      <c r="W55" s="3">
        <v>292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519</v>
      </c>
    </row>
    <row r="56" spans="1:30" ht="15">
      <c r="A56" s="3">
        <v>49</v>
      </c>
      <c r="B56" s="10" t="s">
        <v>57</v>
      </c>
      <c r="C56" s="4">
        <f t="shared" si="0"/>
        <v>314.85705882352943</v>
      </c>
      <c r="D56" s="3">
        <v>0</v>
      </c>
      <c r="E56" s="3">
        <v>0</v>
      </c>
      <c r="F56" s="3">
        <v>60</v>
      </c>
      <c r="G56" s="3">
        <v>110</v>
      </c>
      <c r="H56" s="3">
        <v>36</v>
      </c>
      <c r="I56" s="4">
        <v>34.417058823529416</v>
      </c>
      <c r="J56" s="3">
        <v>0.33</v>
      </c>
      <c r="K56" s="3">
        <v>0</v>
      </c>
      <c r="L56" s="3">
        <v>0</v>
      </c>
      <c r="M56" s="3">
        <v>24</v>
      </c>
      <c r="N56" s="3">
        <v>21</v>
      </c>
      <c r="O56" s="3">
        <v>16</v>
      </c>
      <c r="P56" s="4">
        <v>13.44</v>
      </c>
      <c r="Q56" s="3">
        <v>0.12</v>
      </c>
      <c r="R56" s="3">
        <v>0</v>
      </c>
      <c r="S56" s="3">
        <v>0</v>
      </c>
      <c r="T56" s="3">
        <v>17</v>
      </c>
      <c r="U56" s="3">
        <v>55</v>
      </c>
      <c r="V56" s="3">
        <v>68</v>
      </c>
      <c r="W56" s="3">
        <v>197</v>
      </c>
      <c r="X56" s="3">
        <v>0</v>
      </c>
      <c r="Y56" s="3">
        <v>0</v>
      </c>
      <c r="Z56" s="3">
        <v>2</v>
      </c>
      <c r="AA56" s="3">
        <v>4</v>
      </c>
      <c r="AB56" s="3">
        <v>5</v>
      </c>
      <c r="AC56" s="3">
        <v>35</v>
      </c>
      <c r="AD56" s="3">
        <v>385</v>
      </c>
    </row>
    <row r="57" spans="1:30" ht="15">
      <c r="A57" s="3">
        <v>50</v>
      </c>
      <c r="B57" s="10" t="s">
        <v>58</v>
      </c>
      <c r="C57" s="4">
        <f t="shared" si="0"/>
        <v>979.38041237113407</v>
      </c>
      <c r="D57" s="3">
        <v>634</v>
      </c>
      <c r="E57" s="3">
        <v>0</v>
      </c>
      <c r="F57" s="3">
        <v>0</v>
      </c>
      <c r="G57" s="3">
        <v>237</v>
      </c>
      <c r="H57" s="3">
        <v>45</v>
      </c>
      <c r="I57" s="4">
        <v>63.380412371134028</v>
      </c>
      <c r="J57" s="3">
        <v>0.33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4">
        <v>0</v>
      </c>
      <c r="Q57" s="3">
        <v>0.12</v>
      </c>
      <c r="R57" s="3">
        <v>21</v>
      </c>
      <c r="S57" s="3">
        <v>0</v>
      </c>
      <c r="T57" s="3">
        <v>0</v>
      </c>
      <c r="U57" s="3">
        <v>114</v>
      </c>
      <c r="V57" s="3">
        <v>97</v>
      </c>
      <c r="W57" s="3">
        <v>414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646</v>
      </c>
    </row>
    <row r="58" spans="1:30" ht="15">
      <c r="A58" s="3">
        <v>51</v>
      </c>
      <c r="B58" s="10" t="s">
        <v>59</v>
      </c>
      <c r="C58" s="4">
        <f t="shared" si="0"/>
        <v>1626.4339736933193</v>
      </c>
      <c r="D58" s="3">
        <v>0</v>
      </c>
      <c r="E58" s="3">
        <v>331</v>
      </c>
      <c r="F58" s="3">
        <v>109</v>
      </c>
      <c r="G58" s="3">
        <v>73</v>
      </c>
      <c r="H58" s="3">
        <v>67</v>
      </c>
      <c r="I58" s="4">
        <v>94.019158878504683</v>
      </c>
      <c r="J58" s="3">
        <v>0.33</v>
      </c>
      <c r="K58" s="3">
        <v>0</v>
      </c>
      <c r="L58" s="3">
        <v>159</v>
      </c>
      <c r="M58" s="3">
        <v>386</v>
      </c>
      <c r="N58" s="3">
        <v>207</v>
      </c>
      <c r="O58" s="3">
        <v>95</v>
      </c>
      <c r="P58" s="4">
        <v>105.41481481481482</v>
      </c>
      <c r="Q58" s="3">
        <v>0.28000000000000003</v>
      </c>
      <c r="R58" s="3">
        <v>0</v>
      </c>
      <c r="S58" s="3">
        <v>33</v>
      </c>
      <c r="T58" s="3">
        <v>24</v>
      </c>
      <c r="U58" s="3">
        <v>31</v>
      </c>
      <c r="V58" s="3">
        <v>107</v>
      </c>
      <c r="W58" s="3">
        <v>455</v>
      </c>
      <c r="X58" s="3">
        <v>0</v>
      </c>
      <c r="Y58" s="3">
        <v>7</v>
      </c>
      <c r="Z58" s="3">
        <v>18</v>
      </c>
      <c r="AA58" s="3">
        <v>27</v>
      </c>
      <c r="AB58" s="3">
        <v>27</v>
      </c>
      <c r="AC58" s="3">
        <v>107</v>
      </c>
      <c r="AD58" s="3">
        <v>835</v>
      </c>
    </row>
    <row r="59" spans="1:30" ht="15">
      <c r="A59" s="3">
        <v>52</v>
      </c>
      <c r="B59" s="10" t="s">
        <v>60</v>
      </c>
      <c r="C59" s="4">
        <f t="shared" si="0"/>
        <v>791.10205607476632</v>
      </c>
      <c r="D59" s="3">
        <v>344</v>
      </c>
      <c r="E59" s="3">
        <v>0</v>
      </c>
      <c r="F59" s="3">
        <v>87</v>
      </c>
      <c r="G59" s="3">
        <v>97</v>
      </c>
      <c r="H59" s="3">
        <v>152</v>
      </c>
      <c r="I59" s="4">
        <v>111.10205607476637</v>
      </c>
      <c r="J59" s="3">
        <v>0.33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4">
        <v>0</v>
      </c>
      <c r="Q59" s="3">
        <v>0.12</v>
      </c>
      <c r="R59" s="3">
        <v>13</v>
      </c>
      <c r="S59" s="3">
        <v>0</v>
      </c>
      <c r="T59" s="3">
        <v>30</v>
      </c>
      <c r="U59" s="3">
        <v>52</v>
      </c>
      <c r="V59" s="3">
        <v>107</v>
      </c>
      <c r="W59" s="3">
        <v>237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438</v>
      </c>
    </row>
    <row r="60" spans="1:30" ht="15">
      <c r="A60" s="3">
        <v>53</v>
      </c>
      <c r="B60" s="10" t="s">
        <v>61</v>
      </c>
      <c r="C60" s="4">
        <f t="shared" si="0"/>
        <v>170.696</v>
      </c>
      <c r="D60" s="3">
        <v>0</v>
      </c>
      <c r="E60" s="3">
        <v>71</v>
      </c>
      <c r="F60" s="3">
        <v>9</v>
      </c>
      <c r="G60" s="3">
        <v>52</v>
      </c>
      <c r="H60" s="3">
        <v>14</v>
      </c>
      <c r="I60" s="4">
        <v>24.696000000000005</v>
      </c>
      <c r="J60" s="3">
        <v>0.33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4">
        <v>0</v>
      </c>
      <c r="Q60" s="3">
        <v>0.12</v>
      </c>
      <c r="R60" s="3">
        <v>0</v>
      </c>
      <c r="S60" s="3">
        <v>19</v>
      </c>
      <c r="T60" s="3">
        <v>18</v>
      </c>
      <c r="U60" s="3">
        <v>47</v>
      </c>
      <c r="V60" s="3">
        <v>55</v>
      </c>
      <c r="W60" s="3">
        <v>294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434</v>
      </c>
    </row>
    <row r="61" spans="1:30" ht="15">
      <c r="A61" s="3">
        <v>54</v>
      </c>
      <c r="B61" s="10" t="s">
        <v>62</v>
      </c>
      <c r="C61" s="4">
        <f t="shared" si="0"/>
        <v>1751.5987288135593</v>
      </c>
      <c r="D61" s="3">
        <v>0</v>
      </c>
      <c r="E61" s="3">
        <v>537</v>
      </c>
      <c r="F61" s="3">
        <v>74</v>
      </c>
      <c r="G61" s="3">
        <v>274</v>
      </c>
      <c r="H61" s="3">
        <v>117</v>
      </c>
      <c r="I61" s="4">
        <v>263.39872881355933</v>
      </c>
      <c r="J61" s="3">
        <v>0.33</v>
      </c>
      <c r="K61" s="3">
        <v>0</v>
      </c>
      <c r="L61" s="3">
        <v>127</v>
      </c>
      <c r="M61" s="3">
        <v>56</v>
      </c>
      <c r="N61" s="3">
        <v>184</v>
      </c>
      <c r="O61" s="3">
        <v>76</v>
      </c>
      <c r="P61" s="4">
        <v>43.2</v>
      </c>
      <c r="Q61" s="3">
        <v>0.12</v>
      </c>
      <c r="R61" s="3">
        <v>0</v>
      </c>
      <c r="S61" s="3">
        <v>42</v>
      </c>
      <c r="T61" s="3">
        <v>13</v>
      </c>
      <c r="U61" s="3">
        <v>93</v>
      </c>
      <c r="V61" s="3">
        <v>118</v>
      </c>
      <c r="W61" s="3">
        <v>805</v>
      </c>
      <c r="X61" s="3">
        <v>0</v>
      </c>
      <c r="Y61" s="3">
        <v>6</v>
      </c>
      <c r="Z61" s="3">
        <v>4</v>
      </c>
      <c r="AA61" s="3">
        <v>16</v>
      </c>
      <c r="AB61" s="3">
        <v>19</v>
      </c>
      <c r="AC61" s="3">
        <v>90</v>
      </c>
      <c r="AD61" s="4">
        <v>1206</v>
      </c>
    </row>
    <row r="62" spans="1:30" ht="15">
      <c r="A62" s="3">
        <v>55</v>
      </c>
      <c r="B62" s="10" t="s">
        <v>63</v>
      </c>
      <c r="C62" s="4">
        <f t="shared" si="0"/>
        <v>256.72000000000003</v>
      </c>
      <c r="D62" s="3">
        <v>0</v>
      </c>
      <c r="E62" s="3">
        <v>0</v>
      </c>
      <c r="F62" s="3">
        <v>149</v>
      </c>
      <c r="G62" s="3">
        <v>30</v>
      </c>
      <c r="H62" s="3">
        <v>28</v>
      </c>
      <c r="I62" s="4">
        <v>49.72</v>
      </c>
      <c r="J62" s="3">
        <v>0.33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4">
        <v>0</v>
      </c>
      <c r="Q62" s="3">
        <v>0.12</v>
      </c>
      <c r="R62" s="3">
        <v>0</v>
      </c>
      <c r="S62" s="3">
        <v>0</v>
      </c>
      <c r="T62" s="3">
        <v>51</v>
      </c>
      <c r="U62" s="3">
        <v>41</v>
      </c>
      <c r="V62" s="3">
        <v>84</v>
      </c>
      <c r="W62" s="3">
        <v>452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627</v>
      </c>
    </row>
    <row r="63" spans="1:30" ht="15">
      <c r="A63" s="3">
        <v>56</v>
      </c>
      <c r="B63" s="10" t="s">
        <v>64</v>
      </c>
      <c r="C63" s="4">
        <f t="shared" si="0"/>
        <v>20048.932377358491</v>
      </c>
      <c r="D63" s="3">
        <v>138</v>
      </c>
      <c r="E63" s="3">
        <v>111</v>
      </c>
      <c r="F63" s="3">
        <v>82</v>
      </c>
      <c r="G63" s="3">
        <v>3</v>
      </c>
      <c r="H63" s="3">
        <v>20</v>
      </c>
      <c r="I63" s="4">
        <v>74.400000000000006</v>
      </c>
      <c r="J63" s="3">
        <v>0.33</v>
      </c>
      <c r="K63" s="4">
        <v>7360</v>
      </c>
      <c r="L63" s="3">
        <v>469</v>
      </c>
      <c r="M63" s="4">
        <v>3501</v>
      </c>
      <c r="N63" s="4">
        <v>3126</v>
      </c>
      <c r="O63" s="4">
        <v>1533</v>
      </c>
      <c r="P63" s="4">
        <v>3631.5323773584914</v>
      </c>
      <c r="Q63" s="3">
        <v>0.28000000000000003</v>
      </c>
      <c r="R63" s="3">
        <v>3</v>
      </c>
      <c r="S63" s="3">
        <v>5</v>
      </c>
      <c r="T63" s="3">
        <v>8</v>
      </c>
      <c r="U63" s="3">
        <v>0</v>
      </c>
      <c r="V63" s="3">
        <v>22</v>
      </c>
      <c r="W63" s="3">
        <v>248</v>
      </c>
      <c r="X63" s="3">
        <v>94</v>
      </c>
      <c r="Y63" s="3">
        <v>14</v>
      </c>
      <c r="Z63" s="3">
        <v>149</v>
      </c>
      <c r="AA63" s="3">
        <v>240</v>
      </c>
      <c r="AB63" s="3">
        <v>265</v>
      </c>
      <c r="AC63" s="4">
        <v>2242</v>
      </c>
      <c r="AD63" s="4">
        <v>3290</v>
      </c>
    </row>
    <row r="64" spans="1:30" ht="15">
      <c r="A64" s="3">
        <v>57</v>
      </c>
      <c r="B64" s="10" t="s">
        <v>65</v>
      </c>
      <c r="C64" s="4">
        <f t="shared" si="0"/>
        <v>878.69057471264375</v>
      </c>
      <c r="D64" s="3">
        <v>0</v>
      </c>
      <c r="E64" s="3">
        <v>288</v>
      </c>
      <c r="F64" s="3">
        <v>77</v>
      </c>
      <c r="G64" s="3">
        <v>59</v>
      </c>
      <c r="H64" s="3">
        <v>66</v>
      </c>
      <c r="I64" s="4">
        <v>70.597241379310347</v>
      </c>
      <c r="J64" s="3">
        <v>0.33</v>
      </c>
      <c r="K64" s="3">
        <v>0</v>
      </c>
      <c r="L64" s="3">
        <v>0</v>
      </c>
      <c r="M64" s="3">
        <v>119</v>
      </c>
      <c r="N64" s="3">
        <v>116</v>
      </c>
      <c r="O64" s="3">
        <v>41</v>
      </c>
      <c r="P64" s="4">
        <v>42.093333333333341</v>
      </c>
      <c r="Q64" s="3">
        <v>0.28000000000000003</v>
      </c>
      <c r="R64" s="3">
        <v>0</v>
      </c>
      <c r="S64" s="3">
        <v>11</v>
      </c>
      <c r="T64" s="3">
        <v>11</v>
      </c>
      <c r="U64" s="3">
        <v>21</v>
      </c>
      <c r="V64" s="3">
        <v>58</v>
      </c>
      <c r="W64" s="3">
        <v>188</v>
      </c>
      <c r="X64" s="3">
        <v>0</v>
      </c>
      <c r="Y64" s="3">
        <v>0</v>
      </c>
      <c r="Z64" s="3">
        <v>6</v>
      </c>
      <c r="AA64" s="3">
        <v>11</v>
      </c>
      <c r="AB64" s="3">
        <v>15</v>
      </c>
      <c r="AC64" s="3">
        <v>55</v>
      </c>
      <c r="AD64" s="3">
        <v>375</v>
      </c>
    </row>
    <row r="65" spans="1:30" ht="15">
      <c r="A65" s="3">
        <v>58</v>
      </c>
      <c r="B65" s="10" t="s">
        <v>66</v>
      </c>
      <c r="C65" s="4">
        <f t="shared" si="0"/>
        <v>559.42124999999999</v>
      </c>
      <c r="D65" s="3">
        <v>0</v>
      </c>
      <c r="E65" s="3">
        <v>137</v>
      </c>
      <c r="F65" s="3">
        <v>19</v>
      </c>
      <c r="G65" s="3">
        <v>223</v>
      </c>
      <c r="H65" s="3">
        <v>83</v>
      </c>
      <c r="I65" s="4">
        <v>97.421250000000001</v>
      </c>
      <c r="J65" s="3">
        <v>0.33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4">
        <v>0</v>
      </c>
      <c r="Q65" s="3">
        <v>0.12</v>
      </c>
      <c r="R65" s="3">
        <v>0</v>
      </c>
      <c r="S65" s="3">
        <v>25</v>
      </c>
      <c r="T65" s="3">
        <v>5</v>
      </c>
      <c r="U65" s="3">
        <v>57</v>
      </c>
      <c r="V65" s="3">
        <v>88</v>
      </c>
      <c r="W65" s="3">
        <v>313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487</v>
      </c>
    </row>
    <row r="66" spans="1:30" ht="15">
      <c r="A66" s="3">
        <v>59</v>
      </c>
      <c r="B66" s="10" t="s">
        <v>67</v>
      </c>
      <c r="C66" s="4">
        <f t="shared" si="0"/>
        <v>4054.7488610240339</v>
      </c>
      <c r="D66" s="3">
        <v>158</v>
      </c>
      <c r="E66" s="3">
        <v>0</v>
      </c>
      <c r="F66" s="3">
        <v>0</v>
      </c>
      <c r="G66" s="3">
        <v>107</v>
      </c>
      <c r="H66" s="3">
        <v>15</v>
      </c>
      <c r="I66" s="4">
        <v>18.093103448275862</v>
      </c>
      <c r="J66" s="3">
        <v>0.33</v>
      </c>
      <c r="K66" s="4">
        <v>1800</v>
      </c>
      <c r="L66" s="3">
        <v>0</v>
      </c>
      <c r="M66" s="3">
        <v>138</v>
      </c>
      <c r="N66" s="3">
        <v>760</v>
      </c>
      <c r="O66" s="3">
        <v>314</v>
      </c>
      <c r="P66" s="4">
        <v>744.65575757575766</v>
      </c>
      <c r="Q66" s="3">
        <v>0.28000000000000003</v>
      </c>
      <c r="R66" s="3">
        <v>3</v>
      </c>
      <c r="S66" s="3">
        <v>0</v>
      </c>
      <c r="T66" s="3">
        <v>0</v>
      </c>
      <c r="U66" s="3">
        <v>37</v>
      </c>
      <c r="V66" s="3">
        <v>29</v>
      </c>
      <c r="W66" s="3">
        <v>106</v>
      </c>
      <c r="X66" s="3">
        <v>16</v>
      </c>
      <c r="Y66" s="3">
        <v>0</v>
      </c>
      <c r="Z66" s="3">
        <v>13</v>
      </c>
      <c r="AA66" s="3">
        <v>68</v>
      </c>
      <c r="AB66" s="3">
        <v>66</v>
      </c>
      <c r="AC66" s="3">
        <v>559</v>
      </c>
      <c r="AD66" s="3">
        <v>896</v>
      </c>
    </row>
    <row r="67" spans="1:30" ht="15">
      <c r="A67" s="3">
        <v>60</v>
      </c>
      <c r="B67" s="10" t="s">
        <v>68</v>
      </c>
      <c r="C67" s="4">
        <f t="shared" si="0"/>
        <v>545.58000000000004</v>
      </c>
      <c r="D67" s="3">
        <v>0</v>
      </c>
      <c r="E67" s="3">
        <v>197</v>
      </c>
      <c r="F67" s="3">
        <v>0</v>
      </c>
      <c r="G67" s="3">
        <v>173</v>
      </c>
      <c r="H67" s="3">
        <v>101</v>
      </c>
      <c r="I67" s="4">
        <v>74.58</v>
      </c>
      <c r="J67" s="3">
        <v>0.33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4">
        <v>0</v>
      </c>
      <c r="Q67" s="3">
        <v>0.12</v>
      </c>
      <c r="R67" s="3">
        <v>0</v>
      </c>
      <c r="S67" s="3">
        <v>29</v>
      </c>
      <c r="T67" s="3">
        <v>0</v>
      </c>
      <c r="U67" s="3">
        <v>68</v>
      </c>
      <c r="V67" s="3">
        <v>101</v>
      </c>
      <c r="W67" s="3">
        <v>226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">
        <v>424</v>
      </c>
    </row>
    <row r="68" spans="1:30" ht="15">
      <c r="A68" s="3">
        <v>61</v>
      </c>
      <c r="B68" s="10" t="s">
        <v>69</v>
      </c>
      <c r="C68" s="4">
        <f t="shared" si="0"/>
        <v>758.0379120879121</v>
      </c>
      <c r="D68" s="3">
        <v>0</v>
      </c>
      <c r="E68" s="3">
        <v>382</v>
      </c>
      <c r="F68" s="3">
        <v>0</v>
      </c>
      <c r="G68" s="3">
        <v>110</v>
      </c>
      <c r="H68" s="3">
        <v>81</v>
      </c>
      <c r="I68" s="4">
        <v>124.83791208791209</v>
      </c>
      <c r="J68" s="3">
        <v>0.33</v>
      </c>
      <c r="K68" s="3">
        <v>0</v>
      </c>
      <c r="L68" s="3">
        <v>0</v>
      </c>
      <c r="M68" s="3">
        <v>20</v>
      </c>
      <c r="N68" s="3">
        <v>25</v>
      </c>
      <c r="O68" s="3">
        <v>10</v>
      </c>
      <c r="P68" s="4">
        <v>5.2</v>
      </c>
      <c r="Q68" s="3">
        <v>0.12</v>
      </c>
      <c r="R68" s="3">
        <v>0</v>
      </c>
      <c r="S68" s="3">
        <v>29</v>
      </c>
      <c r="T68" s="3">
        <v>0</v>
      </c>
      <c r="U68" s="3">
        <v>64</v>
      </c>
      <c r="V68" s="3">
        <v>91</v>
      </c>
      <c r="W68" s="3">
        <v>425</v>
      </c>
      <c r="X68" s="3">
        <v>0</v>
      </c>
      <c r="Y68" s="3">
        <v>0</v>
      </c>
      <c r="Z68" s="3">
        <v>1</v>
      </c>
      <c r="AA68" s="3">
        <v>3</v>
      </c>
      <c r="AB68" s="3">
        <v>6</v>
      </c>
      <c r="AC68" s="3">
        <v>26</v>
      </c>
      <c r="AD68" s="3">
        <v>646</v>
      </c>
    </row>
    <row r="69" spans="1:30" ht="15">
      <c r="A69" s="3">
        <v>62</v>
      </c>
      <c r="B69" s="10" t="s">
        <v>70</v>
      </c>
      <c r="C69" s="4">
        <f t="shared" si="0"/>
        <v>465.19285714285718</v>
      </c>
      <c r="D69" s="3">
        <v>132</v>
      </c>
      <c r="E69" s="3">
        <v>0</v>
      </c>
      <c r="F69" s="3">
        <v>132</v>
      </c>
      <c r="G69" s="3">
        <v>102</v>
      </c>
      <c r="H69" s="3">
        <v>45</v>
      </c>
      <c r="I69" s="4">
        <v>54.19285714285715</v>
      </c>
      <c r="J69" s="3">
        <v>0.33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4">
        <v>0</v>
      </c>
      <c r="Q69" s="3">
        <v>0.12</v>
      </c>
      <c r="R69" s="3">
        <v>4</v>
      </c>
      <c r="S69" s="3">
        <v>0</v>
      </c>
      <c r="T69" s="3">
        <v>27</v>
      </c>
      <c r="U69" s="3">
        <v>46</v>
      </c>
      <c r="V69" s="3">
        <v>77</v>
      </c>
      <c r="W69" s="3">
        <v>281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435</v>
      </c>
    </row>
    <row r="70" spans="1:30" ht="15">
      <c r="A70" s="3">
        <v>63</v>
      </c>
      <c r="B70" s="10" t="s">
        <v>71</v>
      </c>
      <c r="C70" s="4">
        <f t="shared" si="0"/>
        <v>1845.6093548387098</v>
      </c>
      <c r="D70" s="3">
        <v>613</v>
      </c>
      <c r="E70" s="3">
        <v>123</v>
      </c>
      <c r="F70" s="3">
        <v>60</v>
      </c>
      <c r="G70" s="3">
        <v>342</v>
      </c>
      <c r="H70" s="3">
        <v>70</v>
      </c>
      <c r="I70" s="4">
        <v>197.21935483870971</v>
      </c>
      <c r="J70" s="3">
        <v>0.33</v>
      </c>
      <c r="K70" s="3">
        <v>119</v>
      </c>
      <c r="L70" s="3">
        <v>0</v>
      </c>
      <c r="M70" s="3">
        <v>180</v>
      </c>
      <c r="N70" s="3">
        <v>107</v>
      </c>
      <c r="O70" s="3">
        <v>19</v>
      </c>
      <c r="P70" s="4">
        <v>15.39</v>
      </c>
      <c r="Q70" s="3">
        <v>0.12</v>
      </c>
      <c r="R70" s="3">
        <v>19</v>
      </c>
      <c r="S70" s="3">
        <v>16</v>
      </c>
      <c r="T70" s="3">
        <v>12</v>
      </c>
      <c r="U70" s="3">
        <v>102</v>
      </c>
      <c r="V70" s="3">
        <v>93</v>
      </c>
      <c r="W70" s="3">
        <v>794</v>
      </c>
      <c r="X70" s="3">
        <v>4</v>
      </c>
      <c r="Y70" s="3">
        <v>0</v>
      </c>
      <c r="Z70" s="3">
        <v>11</v>
      </c>
      <c r="AA70" s="3">
        <v>11</v>
      </c>
      <c r="AB70" s="3">
        <v>8</v>
      </c>
      <c r="AC70" s="3">
        <v>54</v>
      </c>
      <c r="AD70" s="4">
        <v>1123</v>
      </c>
    </row>
    <row r="71" spans="1:30" ht="15">
      <c r="A71" s="3">
        <v>64</v>
      </c>
      <c r="B71" s="10" t="s">
        <v>72</v>
      </c>
      <c r="C71" s="4">
        <f t="shared" si="0"/>
        <v>545.38461538461536</v>
      </c>
      <c r="D71" s="3">
        <v>0</v>
      </c>
      <c r="E71" s="3">
        <v>292</v>
      </c>
      <c r="F71" s="3">
        <v>0</v>
      </c>
      <c r="G71" s="3">
        <v>112</v>
      </c>
      <c r="H71" s="3">
        <v>50</v>
      </c>
      <c r="I71" s="4">
        <v>91.384615384615401</v>
      </c>
      <c r="J71" s="3">
        <v>0.33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4">
        <v>0</v>
      </c>
      <c r="Q71" s="3">
        <v>0.12</v>
      </c>
      <c r="R71" s="3">
        <v>0</v>
      </c>
      <c r="S71" s="3">
        <v>34</v>
      </c>
      <c r="T71" s="3">
        <v>0</v>
      </c>
      <c r="U71" s="3">
        <v>96</v>
      </c>
      <c r="V71" s="3">
        <v>65</v>
      </c>
      <c r="W71" s="3">
        <v>360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554</v>
      </c>
    </row>
    <row r="72" spans="1:30" ht="15">
      <c r="A72" s="3">
        <v>65</v>
      </c>
      <c r="B72" s="10" t="s">
        <v>73</v>
      </c>
      <c r="C72" s="4">
        <f t="shared" si="0"/>
        <v>175.75</v>
      </c>
      <c r="D72" s="3">
        <v>0</v>
      </c>
      <c r="E72" s="3">
        <v>0</v>
      </c>
      <c r="F72" s="3">
        <v>54</v>
      </c>
      <c r="G72" s="3">
        <v>57</v>
      </c>
      <c r="H72" s="3">
        <v>25</v>
      </c>
      <c r="I72" s="4">
        <v>39.75</v>
      </c>
      <c r="J72" s="3">
        <v>0.33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4">
        <v>0</v>
      </c>
      <c r="Q72" s="3">
        <v>0.12</v>
      </c>
      <c r="R72" s="3">
        <v>0</v>
      </c>
      <c r="S72" s="3">
        <v>0</v>
      </c>
      <c r="T72" s="3">
        <v>15</v>
      </c>
      <c r="U72" s="3">
        <v>39</v>
      </c>
      <c r="V72" s="3">
        <v>55</v>
      </c>
      <c r="W72" s="3">
        <v>265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374</v>
      </c>
    </row>
    <row r="73" spans="1:30" ht="15">
      <c r="A73" s="3">
        <v>66</v>
      </c>
      <c r="B73" s="10" t="s">
        <v>74</v>
      </c>
      <c r="C73" s="4">
        <f t="shared" ref="C73:C127" si="1">SUM(D73:I73)+SUM(K73:P73)</f>
        <v>409.17083333333335</v>
      </c>
      <c r="D73" s="3">
        <v>0</v>
      </c>
      <c r="E73" s="3">
        <v>96</v>
      </c>
      <c r="F73" s="3">
        <v>95</v>
      </c>
      <c r="G73" s="3">
        <v>82</v>
      </c>
      <c r="H73" s="3">
        <v>55</v>
      </c>
      <c r="I73" s="4">
        <v>81.170833333333334</v>
      </c>
      <c r="J73" s="3">
        <v>0.33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4">
        <v>0</v>
      </c>
      <c r="Q73" s="3">
        <v>0.12</v>
      </c>
      <c r="R73" s="3">
        <v>0</v>
      </c>
      <c r="S73" s="3">
        <v>15</v>
      </c>
      <c r="T73" s="3">
        <v>26</v>
      </c>
      <c r="U73" s="3">
        <v>43</v>
      </c>
      <c r="V73" s="3">
        <v>72</v>
      </c>
      <c r="W73" s="3">
        <v>322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478</v>
      </c>
    </row>
    <row r="74" spans="1:30" ht="15">
      <c r="A74" s="3">
        <v>67</v>
      </c>
      <c r="B74" s="10" t="s">
        <v>75</v>
      </c>
      <c r="C74" s="4">
        <f t="shared" si="1"/>
        <v>694.4594520547945</v>
      </c>
      <c r="D74" s="3">
        <v>0</v>
      </c>
      <c r="E74" s="3">
        <v>295</v>
      </c>
      <c r="F74" s="3">
        <v>0</v>
      </c>
      <c r="G74" s="3">
        <v>184</v>
      </c>
      <c r="H74" s="3">
        <v>86</v>
      </c>
      <c r="I74" s="4">
        <v>129.45945205479453</v>
      </c>
      <c r="J74" s="3">
        <v>0.33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4">
        <v>0</v>
      </c>
      <c r="Q74" s="3">
        <v>0.12</v>
      </c>
      <c r="R74" s="3">
        <v>0</v>
      </c>
      <c r="S74" s="3">
        <v>46</v>
      </c>
      <c r="T74" s="3">
        <v>0</v>
      </c>
      <c r="U74" s="3">
        <v>90</v>
      </c>
      <c r="V74" s="3">
        <v>73</v>
      </c>
      <c r="W74" s="3">
        <v>333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542</v>
      </c>
    </row>
    <row r="75" spans="1:30" ht="15">
      <c r="A75" s="3">
        <v>68</v>
      </c>
      <c r="B75" s="10" t="s">
        <v>76</v>
      </c>
      <c r="C75" s="4">
        <f t="shared" si="1"/>
        <v>408.01783132530124</v>
      </c>
      <c r="D75" s="3">
        <v>0</v>
      </c>
      <c r="E75" s="3">
        <v>210</v>
      </c>
      <c r="F75" s="3">
        <v>0</v>
      </c>
      <c r="G75" s="3">
        <v>88</v>
      </c>
      <c r="H75" s="3">
        <v>43</v>
      </c>
      <c r="I75" s="4">
        <v>67.017831325301216</v>
      </c>
      <c r="J75" s="3">
        <v>0.33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4">
        <v>0</v>
      </c>
      <c r="Q75" s="3">
        <v>0.12</v>
      </c>
      <c r="R75" s="3">
        <v>0</v>
      </c>
      <c r="S75" s="3">
        <v>53</v>
      </c>
      <c r="T75" s="3">
        <v>0</v>
      </c>
      <c r="U75" s="3">
        <v>67</v>
      </c>
      <c r="V75" s="3">
        <v>83</v>
      </c>
      <c r="W75" s="3">
        <v>392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595</v>
      </c>
    </row>
    <row r="76" spans="1:30" ht="15">
      <c r="A76" s="3">
        <v>69</v>
      </c>
      <c r="B76" s="10" t="s">
        <v>77</v>
      </c>
      <c r="C76" s="4">
        <f t="shared" si="1"/>
        <v>600.53750000000002</v>
      </c>
      <c r="D76" s="3">
        <v>0</v>
      </c>
      <c r="E76" s="3">
        <v>293</v>
      </c>
      <c r="F76" s="3">
        <v>65</v>
      </c>
      <c r="G76" s="3">
        <v>72</v>
      </c>
      <c r="H76" s="3">
        <v>70</v>
      </c>
      <c r="I76" s="4">
        <v>100.53749999999999</v>
      </c>
      <c r="J76" s="3">
        <v>0.33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4">
        <v>0</v>
      </c>
      <c r="Q76" s="3">
        <v>0.12</v>
      </c>
      <c r="R76" s="3">
        <v>0</v>
      </c>
      <c r="S76" s="3">
        <v>38</v>
      </c>
      <c r="T76" s="3">
        <v>13</v>
      </c>
      <c r="U76" s="3">
        <v>58</v>
      </c>
      <c r="V76" s="3">
        <v>88</v>
      </c>
      <c r="W76" s="3">
        <v>383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580</v>
      </c>
    </row>
    <row r="77" spans="1:30" ht="15">
      <c r="A77" s="3">
        <v>70</v>
      </c>
      <c r="B77" s="10" t="s">
        <v>78</v>
      </c>
      <c r="C77" s="4">
        <f t="shared" si="1"/>
        <v>357.07499999999999</v>
      </c>
      <c r="D77" s="3">
        <v>94</v>
      </c>
      <c r="E77" s="3">
        <v>0</v>
      </c>
      <c r="F77" s="3">
        <v>141</v>
      </c>
      <c r="G77" s="3">
        <v>46</v>
      </c>
      <c r="H77" s="3">
        <v>34</v>
      </c>
      <c r="I77" s="4">
        <v>42.075000000000003</v>
      </c>
      <c r="J77" s="3">
        <v>0.33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4">
        <v>0</v>
      </c>
      <c r="Q77" s="3">
        <v>0.12</v>
      </c>
      <c r="R77" s="3">
        <v>5</v>
      </c>
      <c r="S77" s="3">
        <v>0</v>
      </c>
      <c r="T77" s="3">
        <v>32</v>
      </c>
      <c r="U77" s="3">
        <v>34</v>
      </c>
      <c r="V77" s="3">
        <v>88</v>
      </c>
      <c r="W77" s="3">
        <v>330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489</v>
      </c>
    </row>
    <row r="78" spans="1:30" ht="15">
      <c r="A78" s="3">
        <v>71</v>
      </c>
      <c r="B78" s="10" t="s">
        <v>79</v>
      </c>
      <c r="C78" s="4">
        <f t="shared" si="1"/>
        <v>699.47058823529414</v>
      </c>
      <c r="D78" s="3">
        <v>0</v>
      </c>
      <c r="E78" s="3">
        <v>156</v>
      </c>
      <c r="F78" s="3">
        <v>158</v>
      </c>
      <c r="G78" s="3">
        <v>62</v>
      </c>
      <c r="H78" s="3">
        <v>72</v>
      </c>
      <c r="I78" s="4">
        <v>100.63058823529411</v>
      </c>
      <c r="J78" s="3">
        <v>0.33</v>
      </c>
      <c r="K78" s="3">
        <v>0</v>
      </c>
      <c r="L78" s="3">
        <v>0</v>
      </c>
      <c r="M78" s="3">
        <v>86</v>
      </c>
      <c r="N78" s="3">
        <v>27</v>
      </c>
      <c r="O78" s="3">
        <v>22</v>
      </c>
      <c r="P78" s="4">
        <v>15.84</v>
      </c>
      <c r="Q78" s="3">
        <v>0.12</v>
      </c>
      <c r="R78" s="3">
        <v>0</v>
      </c>
      <c r="S78" s="3">
        <v>24</v>
      </c>
      <c r="T78" s="3">
        <v>37</v>
      </c>
      <c r="U78" s="3">
        <v>54</v>
      </c>
      <c r="V78" s="3">
        <v>136</v>
      </c>
      <c r="W78" s="3">
        <v>576</v>
      </c>
      <c r="X78" s="3">
        <v>0</v>
      </c>
      <c r="Y78" s="3">
        <v>0</v>
      </c>
      <c r="Z78" s="3">
        <v>10</v>
      </c>
      <c r="AA78" s="3">
        <v>6</v>
      </c>
      <c r="AB78" s="3">
        <v>7</v>
      </c>
      <c r="AC78" s="3">
        <v>42</v>
      </c>
      <c r="AD78" s="3">
        <v>893</v>
      </c>
    </row>
    <row r="79" spans="1:30" ht="15">
      <c r="A79" s="3">
        <v>72</v>
      </c>
      <c r="B79" s="10" t="s">
        <v>80</v>
      </c>
      <c r="C79" s="4">
        <f t="shared" si="1"/>
        <v>600.66551724137935</v>
      </c>
      <c r="D79" s="3">
        <v>300</v>
      </c>
      <c r="E79" s="3">
        <v>44</v>
      </c>
      <c r="F79" s="3">
        <v>88</v>
      </c>
      <c r="G79" s="3">
        <v>68</v>
      </c>
      <c r="H79" s="3">
        <v>30</v>
      </c>
      <c r="I79" s="4">
        <v>70.66551724137932</v>
      </c>
      <c r="J79" s="3">
        <v>0.33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4">
        <v>0</v>
      </c>
      <c r="Q79" s="3">
        <v>0.12</v>
      </c>
      <c r="R79" s="3">
        <v>21</v>
      </c>
      <c r="S79" s="3">
        <v>6</v>
      </c>
      <c r="T79" s="3">
        <v>16</v>
      </c>
      <c r="U79" s="3">
        <v>42</v>
      </c>
      <c r="V79" s="3">
        <v>58</v>
      </c>
      <c r="W79" s="3">
        <v>414</v>
      </c>
      <c r="X79" s="3">
        <v>0</v>
      </c>
      <c r="Y79" s="3">
        <v>0</v>
      </c>
      <c r="Z79" s="3">
        <v>0</v>
      </c>
      <c r="AA79" s="3">
        <v>0</v>
      </c>
      <c r="AB79" s="3">
        <v>0</v>
      </c>
      <c r="AC79" s="3">
        <v>0</v>
      </c>
      <c r="AD79" s="3">
        <v>556</v>
      </c>
    </row>
    <row r="80" spans="1:30" ht="15">
      <c r="A80" s="3">
        <v>73</v>
      </c>
      <c r="B80" s="10" t="s">
        <v>81</v>
      </c>
      <c r="C80" s="4">
        <f t="shared" si="1"/>
        <v>1923.2623320158104</v>
      </c>
      <c r="D80" s="3">
        <v>162</v>
      </c>
      <c r="E80" s="3">
        <v>194</v>
      </c>
      <c r="F80" s="3">
        <v>0</v>
      </c>
      <c r="G80" s="3">
        <v>151</v>
      </c>
      <c r="H80" s="3">
        <v>59</v>
      </c>
      <c r="I80" s="4">
        <v>59.538695652173928</v>
      </c>
      <c r="J80" s="3">
        <v>0.33</v>
      </c>
      <c r="K80" s="3">
        <v>305</v>
      </c>
      <c r="L80" s="3">
        <v>0</v>
      </c>
      <c r="M80" s="3">
        <v>435</v>
      </c>
      <c r="N80" s="3">
        <v>306</v>
      </c>
      <c r="O80" s="3">
        <v>136</v>
      </c>
      <c r="P80" s="4">
        <v>115.72363636363636</v>
      </c>
      <c r="Q80" s="3">
        <v>0.12</v>
      </c>
      <c r="R80" s="3">
        <v>7</v>
      </c>
      <c r="S80" s="3">
        <v>18</v>
      </c>
      <c r="T80" s="3">
        <v>0</v>
      </c>
      <c r="U80" s="3">
        <v>58</v>
      </c>
      <c r="V80" s="3">
        <v>69</v>
      </c>
      <c r="W80" s="3">
        <v>211</v>
      </c>
      <c r="X80" s="3">
        <v>10</v>
      </c>
      <c r="Y80" s="3">
        <v>0</v>
      </c>
      <c r="Z80" s="3">
        <v>26</v>
      </c>
      <c r="AA80" s="3">
        <v>43</v>
      </c>
      <c r="AB80" s="3">
        <v>33</v>
      </c>
      <c r="AC80" s="3">
        <v>234</v>
      </c>
      <c r="AD80" s="3">
        <v>709</v>
      </c>
    </row>
    <row r="81" spans="1:30" ht="15">
      <c r="A81" s="3">
        <v>74</v>
      </c>
      <c r="B81" s="10" t="s">
        <v>82</v>
      </c>
      <c r="C81" s="4">
        <f t="shared" si="1"/>
        <v>425.00374999999997</v>
      </c>
      <c r="D81" s="3">
        <v>0</v>
      </c>
      <c r="E81" s="3">
        <v>164</v>
      </c>
      <c r="F81" s="3">
        <v>12</v>
      </c>
      <c r="G81" s="3">
        <v>51</v>
      </c>
      <c r="H81" s="3">
        <v>76</v>
      </c>
      <c r="I81" s="4">
        <v>122.00375</v>
      </c>
      <c r="J81" s="3">
        <v>0.33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4">
        <v>0</v>
      </c>
      <c r="Q81" s="3">
        <v>0.12</v>
      </c>
      <c r="R81" s="3">
        <v>0</v>
      </c>
      <c r="S81" s="3">
        <v>22</v>
      </c>
      <c r="T81" s="3">
        <v>12</v>
      </c>
      <c r="U81" s="3">
        <v>36</v>
      </c>
      <c r="V81" s="3">
        <v>96</v>
      </c>
      <c r="W81" s="3">
        <v>467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633</v>
      </c>
    </row>
    <row r="82" spans="1:30" ht="15">
      <c r="A82" s="3">
        <v>75</v>
      </c>
      <c r="B82" s="10" t="s">
        <v>83</v>
      </c>
      <c r="C82" s="4">
        <f t="shared" si="1"/>
        <v>288.71782608695651</v>
      </c>
      <c r="D82" s="3">
        <v>0</v>
      </c>
      <c r="E82" s="3">
        <v>0</v>
      </c>
      <c r="F82" s="3">
        <v>67</v>
      </c>
      <c r="G82" s="3">
        <v>145</v>
      </c>
      <c r="H82" s="3">
        <v>33</v>
      </c>
      <c r="I82" s="4">
        <v>43.717826086956528</v>
      </c>
      <c r="J82" s="3">
        <v>0.33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4">
        <v>0</v>
      </c>
      <c r="Q82" s="3">
        <v>0.12</v>
      </c>
      <c r="R82" s="3">
        <v>0</v>
      </c>
      <c r="S82" s="3">
        <v>0</v>
      </c>
      <c r="T82" s="3">
        <v>12</v>
      </c>
      <c r="U82" s="3">
        <v>69</v>
      </c>
      <c r="V82" s="3">
        <v>69</v>
      </c>
      <c r="W82" s="3">
        <v>277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426</v>
      </c>
    </row>
    <row r="83" spans="1:30" ht="15">
      <c r="A83" s="3">
        <v>76</v>
      </c>
      <c r="B83" s="10" t="s">
        <v>84</v>
      </c>
      <c r="C83" s="4">
        <f t="shared" si="1"/>
        <v>2342.9075000000003</v>
      </c>
      <c r="D83" s="3">
        <v>739</v>
      </c>
      <c r="E83" s="3">
        <v>72</v>
      </c>
      <c r="F83" s="3">
        <v>102</v>
      </c>
      <c r="G83" s="3">
        <v>205</v>
      </c>
      <c r="H83" s="3">
        <v>123</v>
      </c>
      <c r="I83" s="4">
        <v>162.36000000000001</v>
      </c>
      <c r="J83" s="3">
        <v>0.33</v>
      </c>
      <c r="K83" s="3">
        <v>387</v>
      </c>
      <c r="L83" s="3">
        <v>0</v>
      </c>
      <c r="M83" s="3">
        <v>183</v>
      </c>
      <c r="N83" s="3">
        <v>231</v>
      </c>
      <c r="O83" s="3">
        <v>87</v>
      </c>
      <c r="P83" s="4">
        <v>51.547499999999999</v>
      </c>
      <c r="Q83" s="3">
        <v>0.12</v>
      </c>
      <c r="R83" s="3">
        <v>15</v>
      </c>
      <c r="S83" s="3">
        <v>9</v>
      </c>
      <c r="T83" s="3">
        <v>25</v>
      </c>
      <c r="U83" s="3">
        <v>48</v>
      </c>
      <c r="V83" s="3">
        <v>106</v>
      </c>
      <c r="W83" s="3">
        <v>424</v>
      </c>
      <c r="X83" s="3">
        <v>9</v>
      </c>
      <c r="Y83" s="3">
        <v>0</v>
      </c>
      <c r="Z83" s="3">
        <v>11</v>
      </c>
      <c r="AA83" s="3">
        <v>23</v>
      </c>
      <c r="AB83" s="3">
        <v>16</v>
      </c>
      <c r="AC83" s="3">
        <v>79</v>
      </c>
      <c r="AD83" s="3">
        <v>765</v>
      </c>
    </row>
    <row r="84" spans="1:30" ht="15">
      <c r="A84" s="3">
        <v>77</v>
      </c>
      <c r="B84" s="10" t="s">
        <v>85</v>
      </c>
      <c r="C84" s="4">
        <f t="shared" si="1"/>
        <v>369.65189873417722</v>
      </c>
      <c r="D84" s="3">
        <v>0</v>
      </c>
      <c r="E84" s="3">
        <v>145</v>
      </c>
      <c r="F84" s="3">
        <v>50</v>
      </c>
      <c r="G84" s="3">
        <v>93</v>
      </c>
      <c r="H84" s="3">
        <v>38</v>
      </c>
      <c r="I84" s="4">
        <v>43.651898734177216</v>
      </c>
      <c r="J84" s="3">
        <v>0.33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4">
        <v>0</v>
      </c>
      <c r="Q84" s="3">
        <v>0.12</v>
      </c>
      <c r="R84" s="3">
        <v>0</v>
      </c>
      <c r="S84" s="3">
        <v>25</v>
      </c>
      <c r="T84" s="3">
        <v>13</v>
      </c>
      <c r="U84" s="3">
        <v>65</v>
      </c>
      <c r="V84" s="3">
        <v>79</v>
      </c>
      <c r="W84" s="3">
        <v>275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457</v>
      </c>
    </row>
    <row r="85" spans="1:30" ht="15">
      <c r="A85" s="3">
        <v>78</v>
      </c>
      <c r="B85" s="10" t="s">
        <v>86</v>
      </c>
      <c r="C85" s="4">
        <f t="shared" si="1"/>
        <v>364.1639534883721</v>
      </c>
      <c r="D85" s="3">
        <v>0</v>
      </c>
      <c r="E85" s="3">
        <v>64</v>
      </c>
      <c r="F85" s="3">
        <v>0</v>
      </c>
      <c r="G85" s="3">
        <v>100</v>
      </c>
      <c r="H85" s="3">
        <v>62</v>
      </c>
      <c r="I85" s="4">
        <v>35.923953488372099</v>
      </c>
      <c r="J85" s="3">
        <v>0.33</v>
      </c>
      <c r="K85" s="3">
        <v>0</v>
      </c>
      <c r="L85" s="3">
        <v>0</v>
      </c>
      <c r="M85" s="3">
        <v>45</v>
      </c>
      <c r="N85" s="3">
        <v>37</v>
      </c>
      <c r="O85" s="3">
        <v>14</v>
      </c>
      <c r="P85" s="4">
        <v>6.24</v>
      </c>
      <c r="Q85" s="3">
        <v>0.12</v>
      </c>
      <c r="R85" s="3">
        <v>0</v>
      </c>
      <c r="S85" s="3">
        <v>12</v>
      </c>
      <c r="T85" s="3">
        <v>0</v>
      </c>
      <c r="U85" s="3">
        <v>68</v>
      </c>
      <c r="V85" s="3">
        <v>86</v>
      </c>
      <c r="W85" s="3">
        <v>151</v>
      </c>
      <c r="X85" s="3">
        <v>0</v>
      </c>
      <c r="Y85" s="3">
        <v>0</v>
      </c>
      <c r="Z85" s="3">
        <v>4</v>
      </c>
      <c r="AA85" s="3">
        <v>8</v>
      </c>
      <c r="AB85" s="3">
        <v>7</v>
      </c>
      <c r="AC85" s="3">
        <v>26</v>
      </c>
      <c r="AD85" s="3">
        <v>361</v>
      </c>
    </row>
    <row r="86" spans="1:30" ht="15">
      <c r="A86" s="3">
        <v>79</v>
      </c>
      <c r="B86" s="10" t="s">
        <v>87</v>
      </c>
      <c r="C86" s="4">
        <f t="shared" si="1"/>
        <v>1162.1991836734694</v>
      </c>
      <c r="D86" s="3">
        <v>247</v>
      </c>
      <c r="E86" s="3">
        <v>476</v>
      </c>
      <c r="F86" s="3">
        <v>99</v>
      </c>
      <c r="G86" s="3">
        <v>159</v>
      </c>
      <c r="H86" s="3">
        <v>44</v>
      </c>
      <c r="I86" s="4">
        <v>137.19918367346941</v>
      </c>
      <c r="J86" s="3">
        <v>0.33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4">
        <v>0</v>
      </c>
      <c r="Q86" s="3">
        <v>0.12</v>
      </c>
      <c r="R86" s="3">
        <v>12</v>
      </c>
      <c r="S86" s="3">
        <v>69</v>
      </c>
      <c r="T86" s="3">
        <v>25</v>
      </c>
      <c r="U86" s="3">
        <v>48</v>
      </c>
      <c r="V86" s="3">
        <v>49</v>
      </c>
      <c r="W86" s="3">
        <v>463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666</v>
      </c>
    </row>
    <row r="87" spans="1:30" ht="15">
      <c r="A87" s="3">
        <v>80</v>
      </c>
      <c r="B87" s="10" t="s">
        <v>88</v>
      </c>
      <c r="C87" s="4">
        <f t="shared" si="1"/>
        <v>431.24452830188682</v>
      </c>
      <c r="D87" s="3">
        <v>0</v>
      </c>
      <c r="E87" s="3">
        <v>140</v>
      </c>
      <c r="F87" s="3">
        <v>76</v>
      </c>
      <c r="G87" s="3">
        <v>89</v>
      </c>
      <c r="H87" s="3">
        <v>72</v>
      </c>
      <c r="I87" s="4">
        <v>54.244528301886795</v>
      </c>
      <c r="J87" s="3">
        <v>0.33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4">
        <v>0</v>
      </c>
      <c r="Q87" s="3">
        <v>0.12</v>
      </c>
      <c r="R87" s="3">
        <v>0</v>
      </c>
      <c r="S87" s="3">
        <v>16</v>
      </c>
      <c r="T87" s="3">
        <v>10</v>
      </c>
      <c r="U87" s="3">
        <v>40</v>
      </c>
      <c r="V87" s="3">
        <v>53</v>
      </c>
      <c r="W87" s="3">
        <v>121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240</v>
      </c>
    </row>
    <row r="88" spans="1:30" ht="15">
      <c r="A88" s="3">
        <v>81</v>
      </c>
      <c r="B88" s="10" t="s">
        <v>89</v>
      </c>
      <c r="C88" s="4">
        <f t="shared" si="1"/>
        <v>605.97846153846149</v>
      </c>
      <c r="D88" s="3">
        <v>0</v>
      </c>
      <c r="E88" s="3">
        <v>177</v>
      </c>
      <c r="F88" s="3">
        <v>46</v>
      </c>
      <c r="G88" s="3">
        <v>51</v>
      </c>
      <c r="H88" s="3">
        <v>28</v>
      </c>
      <c r="I88" s="4">
        <v>35.53846153846154</v>
      </c>
      <c r="J88" s="3">
        <v>0.33</v>
      </c>
      <c r="K88" s="3">
        <v>0</v>
      </c>
      <c r="L88" s="3">
        <v>0</v>
      </c>
      <c r="M88" s="3">
        <v>175</v>
      </c>
      <c r="N88" s="3">
        <v>54</v>
      </c>
      <c r="O88" s="3">
        <v>32</v>
      </c>
      <c r="P88" s="4">
        <v>7.44</v>
      </c>
      <c r="Q88" s="3">
        <v>0.12</v>
      </c>
      <c r="R88" s="3">
        <v>0</v>
      </c>
      <c r="S88" s="3">
        <v>28</v>
      </c>
      <c r="T88" s="3">
        <v>8</v>
      </c>
      <c r="U88" s="3">
        <v>42</v>
      </c>
      <c r="V88" s="3">
        <v>52</v>
      </c>
      <c r="W88" s="3">
        <v>200</v>
      </c>
      <c r="X88" s="3">
        <v>0</v>
      </c>
      <c r="Y88" s="3">
        <v>0</v>
      </c>
      <c r="Z88" s="3">
        <v>13</v>
      </c>
      <c r="AA88" s="3">
        <v>12</v>
      </c>
      <c r="AB88" s="3">
        <v>16</v>
      </c>
      <c r="AC88" s="3">
        <v>31</v>
      </c>
      <c r="AD88" s="3">
        <v>402</v>
      </c>
    </row>
    <row r="89" spans="1:30" ht="15">
      <c r="A89" s="3">
        <v>82</v>
      </c>
      <c r="B89" s="10" t="s">
        <v>90</v>
      </c>
      <c r="C89" s="4">
        <f t="shared" si="1"/>
        <v>625.02546511627907</v>
      </c>
      <c r="D89" s="3">
        <v>0</v>
      </c>
      <c r="E89" s="3">
        <v>126</v>
      </c>
      <c r="F89" s="3">
        <v>71</v>
      </c>
      <c r="G89" s="3">
        <v>210</v>
      </c>
      <c r="H89" s="3">
        <v>71</v>
      </c>
      <c r="I89" s="4">
        <v>79.825465116279062</v>
      </c>
      <c r="J89" s="3">
        <v>0.33</v>
      </c>
      <c r="K89" s="3">
        <v>0</v>
      </c>
      <c r="L89" s="3">
        <v>0</v>
      </c>
      <c r="M89" s="3">
        <v>35</v>
      </c>
      <c r="N89" s="3">
        <v>5</v>
      </c>
      <c r="O89" s="3">
        <v>20</v>
      </c>
      <c r="P89" s="4">
        <v>7.2</v>
      </c>
      <c r="Q89" s="3">
        <v>0.12</v>
      </c>
      <c r="R89" s="3">
        <v>0</v>
      </c>
      <c r="S89" s="3">
        <v>16</v>
      </c>
      <c r="T89" s="3">
        <v>12</v>
      </c>
      <c r="U89" s="3">
        <v>69</v>
      </c>
      <c r="V89" s="3">
        <v>86</v>
      </c>
      <c r="W89" s="3">
        <v>293</v>
      </c>
      <c r="X89" s="3">
        <v>0</v>
      </c>
      <c r="Y89" s="3">
        <v>0</v>
      </c>
      <c r="Z89" s="3">
        <v>3</v>
      </c>
      <c r="AA89" s="3">
        <v>2</v>
      </c>
      <c r="AB89" s="3">
        <v>3</v>
      </c>
      <c r="AC89" s="3">
        <v>9</v>
      </c>
      <c r="AD89" s="3">
        <v>493</v>
      </c>
    </row>
    <row r="90" spans="1:30" ht="15">
      <c r="A90" s="3">
        <v>83</v>
      </c>
      <c r="B90" s="10" t="s">
        <v>91</v>
      </c>
      <c r="C90" s="4">
        <f t="shared" si="1"/>
        <v>126.89615384615385</v>
      </c>
      <c r="D90" s="3">
        <v>0</v>
      </c>
      <c r="E90" s="3">
        <v>0</v>
      </c>
      <c r="F90" s="3">
        <v>62</v>
      </c>
      <c r="G90" s="3">
        <v>32</v>
      </c>
      <c r="H90" s="3">
        <v>15</v>
      </c>
      <c r="I90" s="4">
        <v>17.896153846153847</v>
      </c>
      <c r="J90" s="3">
        <v>0.33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4">
        <v>0</v>
      </c>
      <c r="Q90" s="3">
        <v>0.12</v>
      </c>
      <c r="R90" s="3">
        <v>0</v>
      </c>
      <c r="S90" s="3">
        <v>0</v>
      </c>
      <c r="T90" s="3">
        <v>20</v>
      </c>
      <c r="U90" s="3">
        <v>45</v>
      </c>
      <c r="V90" s="3">
        <v>39</v>
      </c>
      <c r="W90" s="3">
        <v>141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244</v>
      </c>
    </row>
    <row r="91" spans="1:30" ht="15">
      <c r="A91" s="3">
        <v>84</v>
      </c>
      <c r="B91" s="10" t="s">
        <v>92</v>
      </c>
      <c r="C91" s="4">
        <f t="shared" si="1"/>
        <v>533.45333333333338</v>
      </c>
      <c r="D91" s="3">
        <v>0</v>
      </c>
      <c r="E91" s="3">
        <v>222</v>
      </c>
      <c r="F91" s="3">
        <v>30</v>
      </c>
      <c r="G91" s="3">
        <v>72</v>
      </c>
      <c r="H91" s="3">
        <v>28</v>
      </c>
      <c r="I91" s="4">
        <v>37.253333333333337</v>
      </c>
      <c r="J91" s="3">
        <v>0.33</v>
      </c>
      <c r="K91" s="3">
        <v>0</v>
      </c>
      <c r="L91" s="3">
        <v>0</v>
      </c>
      <c r="M91" s="3">
        <v>73</v>
      </c>
      <c r="N91" s="3">
        <v>20</v>
      </c>
      <c r="O91" s="3">
        <v>32</v>
      </c>
      <c r="P91" s="4">
        <v>19.2</v>
      </c>
      <c r="Q91" s="3">
        <v>0.12</v>
      </c>
      <c r="R91" s="3">
        <v>0</v>
      </c>
      <c r="S91" s="3">
        <v>18</v>
      </c>
      <c r="T91" s="3">
        <v>12</v>
      </c>
      <c r="U91" s="3">
        <v>43</v>
      </c>
      <c r="V91" s="3">
        <v>63</v>
      </c>
      <c r="W91" s="3">
        <v>254</v>
      </c>
      <c r="X91" s="3">
        <v>0</v>
      </c>
      <c r="Y91" s="3">
        <v>0</v>
      </c>
      <c r="Z91" s="3">
        <v>5</v>
      </c>
      <c r="AA91" s="3">
        <v>5</v>
      </c>
      <c r="AB91" s="3">
        <v>7</v>
      </c>
      <c r="AC91" s="3">
        <v>35</v>
      </c>
      <c r="AD91" s="3">
        <v>443</v>
      </c>
    </row>
    <row r="92" spans="1:30" ht="15">
      <c r="A92" s="3">
        <v>85</v>
      </c>
      <c r="B92" s="10" t="s">
        <v>93</v>
      </c>
      <c r="C92" s="4">
        <f t="shared" si="1"/>
        <v>342.47142857142859</v>
      </c>
      <c r="D92" s="3">
        <v>0</v>
      </c>
      <c r="E92" s="3">
        <v>57</v>
      </c>
      <c r="F92" s="3">
        <v>35</v>
      </c>
      <c r="G92" s="3">
        <v>112</v>
      </c>
      <c r="H92" s="3">
        <v>54</v>
      </c>
      <c r="I92" s="4">
        <v>84.471428571428575</v>
      </c>
      <c r="J92" s="3">
        <v>0.33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4">
        <v>0</v>
      </c>
      <c r="Q92" s="3">
        <v>0.12</v>
      </c>
      <c r="R92" s="3">
        <v>0</v>
      </c>
      <c r="S92" s="3">
        <v>14</v>
      </c>
      <c r="T92" s="3">
        <v>12</v>
      </c>
      <c r="U92" s="3">
        <v>52</v>
      </c>
      <c r="V92" s="3">
        <v>77</v>
      </c>
      <c r="W92" s="3">
        <v>365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520</v>
      </c>
    </row>
    <row r="93" spans="1:30" ht="15">
      <c r="A93" s="3">
        <v>86</v>
      </c>
      <c r="B93" s="10" t="s">
        <v>94</v>
      </c>
      <c r="C93" s="4">
        <f t="shared" si="1"/>
        <v>273.83677419354842</v>
      </c>
      <c r="D93" s="3">
        <v>0</v>
      </c>
      <c r="E93" s="3">
        <v>0</v>
      </c>
      <c r="F93" s="3">
        <v>0</v>
      </c>
      <c r="G93" s="3">
        <v>143</v>
      </c>
      <c r="H93" s="3">
        <v>54</v>
      </c>
      <c r="I93" s="4">
        <v>76.836774193548393</v>
      </c>
      <c r="J93" s="3">
        <v>0.33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4">
        <v>0</v>
      </c>
      <c r="Q93" s="3">
        <v>0.12</v>
      </c>
      <c r="R93" s="3">
        <v>0</v>
      </c>
      <c r="S93" s="3">
        <v>0</v>
      </c>
      <c r="T93" s="3">
        <v>0</v>
      </c>
      <c r="U93" s="3">
        <v>75</v>
      </c>
      <c r="V93" s="3">
        <v>93</v>
      </c>
      <c r="W93" s="3">
        <v>401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569</v>
      </c>
    </row>
    <row r="94" spans="1:30" ht="15">
      <c r="A94" s="3">
        <v>87</v>
      </c>
      <c r="B94" s="10" t="s">
        <v>95</v>
      </c>
      <c r="C94" s="4">
        <f t="shared" si="1"/>
        <v>651.875</v>
      </c>
      <c r="D94" s="3">
        <v>217</v>
      </c>
      <c r="E94" s="3">
        <v>0</v>
      </c>
      <c r="F94" s="3">
        <v>122</v>
      </c>
      <c r="G94" s="3">
        <v>76</v>
      </c>
      <c r="H94" s="3">
        <v>32</v>
      </c>
      <c r="I94" s="4">
        <v>38.4</v>
      </c>
      <c r="J94" s="3">
        <v>0.33</v>
      </c>
      <c r="K94" s="3">
        <v>0</v>
      </c>
      <c r="L94" s="3">
        <v>0</v>
      </c>
      <c r="M94" s="3">
        <v>53</v>
      </c>
      <c r="N94" s="3">
        <v>87</v>
      </c>
      <c r="O94" s="3">
        <v>15</v>
      </c>
      <c r="P94" s="4">
        <v>11.475</v>
      </c>
      <c r="Q94" s="3">
        <v>0.12</v>
      </c>
      <c r="R94" s="3">
        <v>11</v>
      </c>
      <c r="S94" s="3">
        <v>0</v>
      </c>
      <c r="T94" s="3">
        <v>25</v>
      </c>
      <c r="U94" s="3">
        <v>30</v>
      </c>
      <c r="V94" s="3">
        <v>44</v>
      </c>
      <c r="W94" s="3">
        <v>160</v>
      </c>
      <c r="X94" s="3">
        <v>0</v>
      </c>
      <c r="Y94" s="3">
        <v>0</v>
      </c>
      <c r="Z94" s="3">
        <v>4</v>
      </c>
      <c r="AA94" s="3">
        <v>15</v>
      </c>
      <c r="AB94" s="3">
        <v>8</v>
      </c>
      <c r="AC94" s="3">
        <v>51</v>
      </c>
      <c r="AD94" s="3">
        <v>349</v>
      </c>
    </row>
    <row r="95" spans="1:30" ht="15">
      <c r="A95" s="3">
        <v>88</v>
      </c>
      <c r="B95" s="10" t="s">
        <v>96</v>
      </c>
      <c r="C95" s="4">
        <f t="shared" si="1"/>
        <v>317.03037974683548</v>
      </c>
      <c r="D95" s="3">
        <v>0</v>
      </c>
      <c r="E95" s="3">
        <v>25</v>
      </c>
      <c r="F95" s="3">
        <v>116</v>
      </c>
      <c r="G95" s="3">
        <v>103</v>
      </c>
      <c r="H95" s="3">
        <v>28</v>
      </c>
      <c r="I95" s="4">
        <v>45.03037974683545</v>
      </c>
      <c r="J95" s="3">
        <v>0.33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4">
        <v>0</v>
      </c>
      <c r="Q95" s="3">
        <v>0.12</v>
      </c>
      <c r="R95" s="3">
        <v>0</v>
      </c>
      <c r="S95" s="3">
        <v>5</v>
      </c>
      <c r="T95" s="3">
        <v>44</v>
      </c>
      <c r="U95" s="3">
        <v>56</v>
      </c>
      <c r="V95" s="3">
        <v>79</v>
      </c>
      <c r="W95" s="3">
        <v>385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3">
        <v>570</v>
      </c>
    </row>
    <row r="96" spans="1:30" ht="15">
      <c r="A96" s="3">
        <v>89</v>
      </c>
      <c r="B96" s="10" t="s">
        <v>97</v>
      </c>
      <c r="C96" s="4">
        <f t="shared" si="1"/>
        <v>1073.7160975609756</v>
      </c>
      <c r="D96" s="3">
        <v>0</v>
      </c>
      <c r="E96" s="3">
        <v>202</v>
      </c>
      <c r="F96" s="3">
        <v>126</v>
      </c>
      <c r="G96" s="3">
        <v>341</v>
      </c>
      <c r="H96" s="3">
        <v>166</v>
      </c>
      <c r="I96" s="4">
        <v>238.71609756097558</v>
      </c>
      <c r="J96" s="3">
        <v>0.33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4">
        <v>0</v>
      </c>
      <c r="Q96" s="3">
        <v>0.12</v>
      </c>
      <c r="R96" s="3">
        <v>0</v>
      </c>
      <c r="S96" s="3">
        <v>22</v>
      </c>
      <c r="T96" s="3">
        <v>28</v>
      </c>
      <c r="U96" s="3">
        <v>89</v>
      </c>
      <c r="V96" s="3">
        <v>123</v>
      </c>
      <c r="W96" s="3">
        <v>536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24</v>
      </c>
      <c r="AD96" s="3">
        <v>822</v>
      </c>
    </row>
    <row r="97" spans="1:30" ht="15">
      <c r="A97" s="3">
        <v>90</v>
      </c>
      <c r="B97" s="10" t="s">
        <v>98</v>
      </c>
      <c r="C97" s="4">
        <f t="shared" si="1"/>
        <v>1024.8434285714286</v>
      </c>
      <c r="D97" s="3">
        <v>0</v>
      </c>
      <c r="E97" s="3">
        <v>202</v>
      </c>
      <c r="F97" s="3">
        <v>150</v>
      </c>
      <c r="G97" s="3">
        <v>210</v>
      </c>
      <c r="H97" s="3">
        <v>64</v>
      </c>
      <c r="I97" s="4">
        <v>71.003428571428572</v>
      </c>
      <c r="J97" s="3">
        <v>0.33</v>
      </c>
      <c r="K97" s="3">
        <v>0</v>
      </c>
      <c r="L97" s="3">
        <v>56</v>
      </c>
      <c r="M97" s="3">
        <v>96</v>
      </c>
      <c r="N97" s="3">
        <v>152</v>
      </c>
      <c r="O97" s="3">
        <v>14</v>
      </c>
      <c r="P97" s="4">
        <v>9.84</v>
      </c>
      <c r="Q97" s="3">
        <v>0.12</v>
      </c>
      <c r="R97" s="3">
        <v>0</v>
      </c>
      <c r="S97" s="3">
        <v>24</v>
      </c>
      <c r="T97" s="3">
        <v>28</v>
      </c>
      <c r="U97" s="3">
        <v>89</v>
      </c>
      <c r="V97" s="3">
        <v>105</v>
      </c>
      <c r="W97" s="3">
        <v>353</v>
      </c>
      <c r="X97" s="3">
        <v>0</v>
      </c>
      <c r="Y97" s="3">
        <v>6</v>
      </c>
      <c r="Z97" s="3">
        <v>8</v>
      </c>
      <c r="AA97" s="3">
        <v>15</v>
      </c>
      <c r="AB97" s="3">
        <v>7</v>
      </c>
      <c r="AC97" s="3">
        <v>41</v>
      </c>
      <c r="AD97" s="3">
        <v>677</v>
      </c>
    </row>
    <row r="98" spans="1:30" ht="15">
      <c r="A98" s="3">
        <v>91</v>
      </c>
      <c r="B98" s="10" t="s">
        <v>99</v>
      </c>
      <c r="C98" s="4">
        <f t="shared" si="1"/>
        <v>151.65660377358492</v>
      </c>
      <c r="D98" s="3">
        <v>0</v>
      </c>
      <c r="E98" s="3">
        <v>51</v>
      </c>
      <c r="F98" s="3">
        <v>0</v>
      </c>
      <c r="G98" s="3">
        <v>56</v>
      </c>
      <c r="H98" s="3">
        <v>20</v>
      </c>
      <c r="I98" s="4">
        <v>24.656603773584909</v>
      </c>
      <c r="J98" s="3">
        <v>0.33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4">
        <v>0</v>
      </c>
      <c r="Q98" s="3">
        <v>0.12</v>
      </c>
      <c r="R98" s="3">
        <v>0</v>
      </c>
      <c r="S98" s="3">
        <v>12</v>
      </c>
      <c r="T98" s="3">
        <v>0</v>
      </c>
      <c r="U98" s="3">
        <v>28</v>
      </c>
      <c r="V98" s="3">
        <v>53</v>
      </c>
      <c r="W98" s="3">
        <v>198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291</v>
      </c>
    </row>
    <row r="99" spans="1:30" ht="15">
      <c r="A99" s="3">
        <v>92</v>
      </c>
      <c r="B99" s="10" t="s">
        <v>100</v>
      </c>
      <c r="C99" s="4">
        <f t="shared" si="1"/>
        <v>929.70550847457628</v>
      </c>
      <c r="D99" s="3">
        <v>0</v>
      </c>
      <c r="E99" s="3">
        <v>346</v>
      </c>
      <c r="F99" s="3">
        <v>0</v>
      </c>
      <c r="G99" s="3">
        <v>373</v>
      </c>
      <c r="H99" s="3">
        <v>75</v>
      </c>
      <c r="I99" s="4">
        <v>135.70550847457628</v>
      </c>
      <c r="J99" s="3">
        <v>0.33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4">
        <v>0</v>
      </c>
      <c r="Q99" s="3">
        <v>0.12</v>
      </c>
      <c r="R99" s="3">
        <v>0</v>
      </c>
      <c r="S99" s="3">
        <v>46</v>
      </c>
      <c r="T99" s="3">
        <v>0</v>
      </c>
      <c r="U99" s="3">
        <v>120</v>
      </c>
      <c r="V99" s="3">
        <v>118</v>
      </c>
      <c r="W99" s="3">
        <v>647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931</v>
      </c>
    </row>
    <row r="100" spans="1:30" ht="15">
      <c r="A100" s="3">
        <v>93</v>
      </c>
      <c r="B100" s="10" t="s">
        <v>101</v>
      </c>
      <c r="C100" s="4">
        <f t="shared" si="1"/>
        <v>1155.3083098591549</v>
      </c>
      <c r="D100" s="3">
        <v>524</v>
      </c>
      <c r="E100" s="3">
        <v>0</v>
      </c>
      <c r="F100" s="3">
        <v>185</v>
      </c>
      <c r="G100" s="3">
        <v>102</v>
      </c>
      <c r="H100" s="3">
        <v>83</v>
      </c>
      <c r="I100" s="4">
        <v>126.14830985915493</v>
      </c>
      <c r="J100" s="3">
        <v>0.33</v>
      </c>
      <c r="K100" s="3">
        <v>0</v>
      </c>
      <c r="L100" s="3">
        <v>0</v>
      </c>
      <c r="M100" s="3">
        <v>0</v>
      </c>
      <c r="N100" s="3">
        <v>66</v>
      </c>
      <c r="O100" s="3">
        <v>28</v>
      </c>
      <c r="P100" s="4">
        <v>41.16</v>
      </c>
      <c r="Q100" s="3">
        <v>0.28000000000000003</v>
      </c>
      <c r="R100" s="3">
        <v>13</v>
      </c>
      <c r="S100" s="3">
        <v>0</v>
      </c>
      <c r="T100" s="3">
        <v>25</v>
      </c>
      <c r="U100" s="3">
        <v>38</v>
      </c>
      <c r="V100" s="3">
        <v>71</v>
      </c>
      <c r="W100" s="3">
        <v>327</v>
      </c>
      <c r="X100" s="3">
        <v>0</v>
      </c>
      <c r="Y100" s="3">
        <v>0</v>
      </c>
      <c r="Z100" s="3">
        <v>0</v>
      </c>
      <c r="AA100" s="3">
        <v>8</v>
      </c>
      <c r="AB100" s="3">
        <v>8</v>
      </c>
      <c r="AC100" s="3">
        <v>42</v>
      </c>
      <c r="AD100" s="3">
        <v>532</v>
      </c>
    </row>
    <row r="101" spans="1:30" ht="15">
      <c r="A101" s="3">
        <v>94</v>
      </c>
      <c r="B101" s="10" t="s">
        <v>102</v>
      </c>
      <c r="C101" s="4">
        <f t="shared" si="1"/>
        <v>209.99</v>
      </c>
      <c r="D101" s="3">
        <v>0</v>
      </c>
      <c r="E101" s="3">
        <v>0</v>
      </c>
      <c r="F101" s="3">
        <v>64</v>
      </c>
      <c r="G101" s="3">
        <v>82</v>
      </c>
      <c r="H101" s="3">
        <v>27</v>
      </c>
      <c r="I101" s="4">
        <v>36.99</v>
      </c>
      <c r="J101" s="3">
        <v>0.33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4">
        <v>0</v>
      </c>
      <c r="Q101" s="3">
        <v>0.12</v>
      </c>
      <c r="R101" s="3">
        <v>0</v>
      </c>
      <c r="S101" s="3">
        <v>0</v>
      </c>
      <c r="T101" s="3">
        <v>29</v>
      </c>
      <c r="U101" s="3">
        <v>89</v>
      </c>
      <c r="V101" s="3">
        <v>66</v>
      </c>
      <c r="W101" s="3">
        <v>274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458</v>
      </c>
    </row>
    <row r="102" spans="1:30" ht="15">
      <c r="A102" s="3">
        <v>95</v>
      </c>
      <c r="B102" s="10" t="s">
        <v>103</v>
      </c>
      <c r="C102" s="4">
        <f t="shared" si="1"/>
        <v>107.38826086956522</v>
      </c>
      <c r="D102" s="3">
        <v>0</v>
      </c>
      <c r="E102" s="3">
        <v>0</v>
      </c>
      <c r="F102" s="3">
        <v>17</v>
      </c>
      <c r="G102" s="3">
        <v>56</v>
      </c>
      <c r="H102" s="3">
        <v>14</v>
      </c>
      <c r="I102" s="4">
        <v>20.388260869565219</v>
      </c>
      <c r="J102" s="3">
        <v>0.33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4">
        <v>0</v>
      </c>
      <c r="Q102" s="3">
        <v>0.12</v>
      </c>
      <c r="R102" s="3">
        <v>0</v>
      </c>
      <c r="S102" s="3">
        <v>0</v>
      </c>
      <c r="T102" s="3">
        <v>14</v>
      </c>
      <c r="U102" s="3">
        <v>41</v>
      </c>
      <c r="V102" s="3">
        <v>46</v>
      </c>
      <c r="W102" s="3">
        <v>203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305</v>
      </c>
    </row>
    <row r="103" spans="1:30" ht="15">
      <c r="A103" s="3">
        <v>96</v>
      </c>
      <c r="B103" s="10" t="s">
        <v>104</v>
      </c>
      <c r="C103" s="4">
        <f t="shared" si="1"/>
        <v>280.26315789473682</v>
      </c>
      <c r="D103" s="3">
        <v>0</v>
      </c>
      <c r="E103" s="3">
        <v>20</v>
      </c>
      <c r="F103" s="3">
        <v>103</v>
      </c>
      <c r="G103" s="3">
        <v>43</v>
      </c>
      <c r="H103" s="3">
        <v>50</v>
      </c>
      <c r="I103" s="4">
        <v>64.263157894736835</v>
      </c>
      <c r="J103" s="3">
        <v>0.33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4">
        <v>0</v>
      </c>
      <c r="Q103" s="3">
        <v>0.12</v>
      </c>
      <c r="R103" s="3">
        <v>0</v>
      </c>
      <c r="S103" s="3">
        <v>4</v>
      </c>
      <c r="T103" s="3">
        <v>19</v>
      </c>
      <c r="U103" s="3">
        <v>44</v>
      </c>
      <c r="V103" s="3">
        <v>76</v>
      </c>
      <c r="W103" s="3">
        <v>296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440</v>
      </c>
    </row>
    <row r="104" spans="1:30" ht="15">
      <c r="A104" s="3">
        <v>97</v>
      </c>
      <c r="B104" s="10" t="s">
        <v>105</v>
      </c>
      <c r="C104" s="4">
        <f t="shared" si="1"/>
        <v>921.62</v>
      </c>
      <c r="D104" s="3">
        <v>0</v>
      </c>
      <c r="E104" s="3">
        <v>310</v>
      </c>
      <c r="F104" s="3">
        <v>0</v>
      </c>
      <c r="G104" s="3">
        <v>188</v>
      </c>
      <c r="H104" s="3">
        <v>95</v>
      </c>
      <c r="I104" s="4">
        <v>110.88</v>
      </c>
      <c r="J104" s="3">
        <v>0.33</v>
      </c>
      <c r="K104" s="3">
        <v>0</v>
      </c>
      <c r="L104" s="3">
        <v>0</v>
      </c>
      <c r="M104" s="3">
        <v>107</v>
      </c>
      <c r="N104" s="3">
        <v>76</v>
      </c>
      <c r="O104" s="3">
        <v>18</v>
      </c>
      <c r="P104" s="4">
        <v>16.739999999999998</v>
      </c>
      <c r="Q104" s="3">
        <v>0.12</v>
      </c>
      <c r="R104" s="3">
        <v>0</v>
      </c>
      <c r="S104" s="3">
        <v>35</v>
      </c>
      <c r="T104" s="3">
        <v>0</v>
      </c>
      <c r="U104" s="3">
        <v>82</v>
      </c>
      <c r="V104" s="3">
        <v>95</v>
      </c>
      <c r="W104" s="3">
        <v>336</v>
      </c>
      <c r="X104" s="3">
        <v>0</v>
      </c>
      <c r="Y104" s="3">
        <v>0</v>
      </c>
      <c r="Z104" s="3">
        <v>6</v>
      </c>
      <c r="AA104" s="3">
        <v>11</v>
      </c>
      <c r="AB104" s="3">
        <v>4</v>
      </c>
      <c r="AC104" s="3">
        <v>31</v>
      </c>
      <c r="AD104" s="3">
        <v>600</v>
      </c>
    </row>
    <row r="105" spans="1:30" ht="15">
      <c r="A105" s="3">
        <v>98</v>
      </c>
      <c r="B105" s="10" t="s">
        <v>106</v>
      </c>
      <c r="C105" s="4">
        <f t="shared" si="1"/>
        <v>2214.8668292682928</v>
      </c>
      <c r="D105" s="3">
        <v>0</v>
      </c>
      <c r="E105" s="3">
        <v>822</v>
      </c>
      <c r="F105" s="3">
        <v>0</v>
      </c>
      <c r="G105" s="3">
        <v>466</v>
      </c>
      <c r="H105" s="3">
        <v>281</v>
      </c>
      <c r="I105" s="4">
        <v>379.96682926829271</v>
      </c>
      <c r="J105" s="3">
        <v>0.33</v>
      </c>
      <c r="K105" s="3">
        <v>0</v>
      </c>
      <c r="L105" s="3">
        <v>0</v>
      </c>
      <c r="M105" s="3">
        <v>154</v>
      </c>
      <c r="N105" s="3">
        <v>95</v>
      </c>
      <c r="O105" s="3">
        <v>13</v>
      </c>
      <c r="P105" s="4">
        <v>3.9</v>
      </c>
      <c r="Q105" s="3">
        <v>0.12</v>
      </c>
      <c r="R105" s="3">
        <v>0</v>
      </c>
      <c r="S105" s="3">
        <v>84</v>
      </c>
      <c r="T105" s="3">
        <v>0</v>
      </c>
      <c r="U105" s="3">
        <v>145</v>
      </c>
      <c r="V105" s="3">
        <v>164</v>
      </c>
      <c r="W105" s="3">
        <v>672</v>
      </c>
      <c r="X105" s="3">
        <v>0</v>
      </c>
      <c r="Y105" s="3">
        <v>0</v>
      </c>
      <c r="Z105" s="3">
        <v>6</v>
      </c>
      <c r="AA105" s="3">
        <v>11</v>
      </c>
      <c r="AB105" s="3">
        <v>6</v>
      </c>
      <c r="AC105" s="3">
        <v>15</v>
      </c>
      <c r="AD105" s="4">
        <v>1103</v>
      </c>
    </row>
    <row r="106" spans="1:30" ht="15">
      <c r="A106" s="3">
        <v>99</v>
      </c>
      <c r="B106" s="10" t="s">
        <v>107</v>
      </c>
      <c r="C106" s="4">
        <f t="shared" si="1"/>
        <v>456.17793103448275</v>
      </c>
      <c r="D106" s="3">
        <v>0</v>
      </c>
      <c r="E106" s="3">
        <v>246</v>
      </c>
      <c r="F106" s="3">
        <v>7</v>
      </c>
      <c r="G106" s="3">
        <v>139</v>
      </c>
      <c r="H106" s="3">
        <v>34</v>
      </c>
      <c r="I106" s="4">
        <v>30.177931034482761</v>
      </c>
      <c r="J106" s="3">
        <v>0.33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4">
        <v>0</v>
      </c>
      <c r="Q106" s="3">
        <v>0.12</v>
      </c>
      <c r="R106" s="3">
        <v>0</v>
      </c>
      <c r="S106" s="3">
        <v>24</v>
      </c>
      <c r="T106" s="3">
        <v>4</v>
      </c>
      <c r="U106" s="3">
        <v>50</v>
      </c>
      <c r="V106" s="3">
        <v>58</v>
      </c>
      <c r="W106" s="3">
        <v>156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291</v>
      </c>
    </row>
    <row r="107" spans="1:30" ht="15">
      <c r="A107" s="3">
        <v>100</v>
      </c>
      <c r="B107" s="10" t="s">
        <v>108</v>
      </c>
      <c r="C107" s="4">
        <f t="shared" si="1"/>
        <v>1577.9953333333333</v>
      </c>
      <c r="D107" s="3">
        <v>0</v>
      </c>
      <c r="E107" s="3">
        <v>500</v>
      </c>
      <c r="F107" s="3">
        <v>41</v>
      </c>
      <c r="G107" s="3">
        <v>199</v>
      </c>
      <c r="H107" s="3">
        <v>83</v>
      </c>
      <c r="I107" s="4">
        <v>214.85933333333335</v>
      </c>
      <c r="J107" s="3">
        <v>0.33</v>
      </c>
      <c r="K107" s="3">
        <v>0</v>
      </c>
      <c r="L107" s="3">
        <v>11</v>
      </c>
      <c r="M107" s="3">
        <v>304</v>
      </c>
      <c r="N107" s="3">
        <v>102</v>
      </c>
      <c r="O107" s="3">
        <v>64</v>
      </c>
      <c r="P107" s="4">
        <v>59.136000000000003</v>
      </c>
      <c r="Q107" s="3">
        <v>0.12</v>
      </c>
      <c r="R107" s="3">
        <v>0</v>
      </c>
      <c r="S107" s="3">
        <v>69</v>
      </c>
      <c r="T107" s="3">
        <v>4</v>
      </c>
      <c r="U107" s="3">
        <v>96</v>
      </c>
      <c r="V107" s="3">
        <v>135</v>
      </c>
      <c r="W107" s="4">
        <v>1059</v>
      </c>
      <c r="X107" s="3">
        <v>0</v>
      </c>
      <c r="Y107" s="3">
        <v>1</v>
      </c>
      <c r="Z107" s="3">
        <v>14</v>
      </c>
      <c r="AA107" s="3">
        <v>15</v>
      </c>
      <c r="AB107" s="3">
        <v>10</v>
      </c>
      <c r="AC107" s="3">
        <v>77</v>
      </c>
      <c r="AD107" s="4">
        <v>1480</v>
      </c>
    </row>
    <row r="108" spans="1:30" ht="15">
      <c r="A108" s="3">
        <v>101</v>
      </c>
      <c r="B108" s="10" t="s">
        <v>109</v>
      </c>
      <c r="C108" s="4">
        <f t="shared" si="1"/>
        <v>37.7028125</v>
      </c>
      <c r="D108" s="3">
        <v>0</v>
      </c>
      <c r="E108" s="3">
        <v>3</v>
      </c>
      <c r="F108" s="3">
        <v>0</v>
      </c>
      <c r="G108" s="3">
        <v>22</v>
      </c>
      <c r="H108" s="3">
        <v>7</v>
      </c>
      <c r="I108" s="4">
        <v>5.7028125000000003</v>
      </c>
      <c r="J108" s="3">
        <v>0.33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4">
        <v>0</v>
      </c>
      <c r="Q108" s="3">
        <v>0.12</v>
      </c>
      <c r="R108" s="3">
        <v>0</v>
      </c>
      <c r="S108" s="3">
        <v>1</v>
      </c>
      <c r="T108" s="3">
        <v>0</v>
      </c>
      <c r="U108" s="3">
        <v>32</v>
      </c>
      <c r="V108" s="3">
        <v>32</v>
      </c>
      <c r="W108" s="3">
        <v>79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145</v>
      </c>
    </row>
    <row r="109" spans="1:30" ht="15">
      <c r="A109" s="3">
        <v>102</v>
      </c>
      <c r="B109" s="10" t="s">
        <v>110</v>
      </c>
      <c r="C109" s="4">
        <f t="shared" si="1"/>
        <v>1051.4688000000001</v>
      </c>
      <c r="D109" s="3">
        <v>706</v>
      </c>
      <c r="E109" s="3">
        <v>68</v>
      </c>
      <c r="F109" s="3">
        <v>89</v>
      </c>
      <c r="G109" s="3">
        <v>88</v>
      </c>
      <c r="H109" s="3">
        <v>36</v>
      </c>
      <c r="I109" s="4">
        <v>64.468800000000002</v>
      </c>
      <c r="J109" s="3">
        <v>0.33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4">
        <v>0</v>
      </c>
      <c r="Q109" s="3">
        <v>0.12</v>
      </c>
      <c r="R109" s="3">
        <v>23</v>
      </c>
      <c r="S109" s="3">
        <v>10</v>
      </c>
      <c r="T109" s="3">
        <v>14</v>
      </c>
      <c r="U109" s="3">
        <v>51</v>
      </c>
      <c r="V109" s="3">
        <v>75</v>
      </c>
      <c r="W109" s="3">
        <v>407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581</v>
      </c>
    </row>
    <row r="110" spans="1:30" ht="15">
      <c r="A110" s="3">
        <v>103</v>
      </c>
      <c r="B110" s="10" t="s">
        <v>111</v>
      </c>
      <c r="C110" s="4">
        <f t="shared" si="1"/>
        <v>757.60521739130434</v>
      </c>
      <c r="D110" s="3">
        <v>229</v>
      </c>
      <c r="E110" s="3">
        <v>0</v>
      </c>
      <c r="F110" s="3">
        <v>42</v>
      </c>
      <c r="G110" s="3">
        <v>192</v>
      </c>
      <c r="H110" s="3">
        <v>38</v>
      </c>
      <c r="I110" s="4">
        <v>63.245217391304351</v>
      </c>
      <c r="J110" s="3">
        <v>0.33</v>
      </c>
      <c r="K110" s="3">
        <v>23</v>
      </c>
      <c r="L110" s="3">
        <v>0</v>
      </c>
      <c r="M110" s="3">
        <v>92</v>
      </c>
      <c r="N110" s="3">
        <v>30</v>
      </c>
      <c r="O110" s="3">
        <v>26</v>
      </c>
      <c r="P110" s="4">
        <v>22.36</v>
      </c>
      <c r="Q110" s="3">
        <v>0.12</v>
      </c>
      <c r="R110" s="3">
        <v>18</v>
      </c>
      <c r="S110" s="3">
        <v>0</v>
      </c>
      <c r="T110" s="3">
        <v>5</v>
      </c>
      <c r="U110" s="3">
        <v>72</v>
      </c>
      <c r="V110" s="3">
        <v>46</v>
      </c>
      <c r="W110" s="3">
        <v>232</v>
      </c>
      <c r="X110" s="3">
        <v>2</v>
      </c>
      <c r="Y110" s="3">
        <v>0</v>
      </c>
      <c r="Z110" s="3">
        <v>5</v>
      </c>
      <c r="AA110" s="3">
        <v>5</v>
      </c>
      <c r="AB110" s="3">
        <v>6</v>
      </c>
      <c r="AC110" s="3">
        <v>43</v>
      </c>
      <c r="AD110" s="3">
        <v>434</v>
      </c>
    </row>
    <row r="111" spans="1:30" ht="15">
      <c r="A111" s="3">
        <v>104</v>
      </c>
      <c r="B111" s="10" t="s">
        <v>112</v>
      </c>
      <c r="C111" s="4">
        <f t="shared" si="1"/>
        <v>501.82702702702704</v>
      </c>
      <c r="D111" s="3">
        <v>0</v>
      </c>
      <c r="E111" s="3">
        <v>198</v>
      </c>
      <c r="F111" s="3">
        <v>0</v>
      </c>
      <c r="G111" s="3">
        <v>105</v>
      </c>
      <c r="H111" s="3">
        <v>72</v>
      </c>
      <c r="I111" s="4">
        <v>126.82702702702701</v>
      </c>
      <c r="J111" s="3">
        <v>0.33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4">
        <v>0</v>
      </c>
      <c r="Q111" s="3">
        <v>0.12</v>
      </c>
      <c r="R111" s="3">
        <v>0</v>
      </c>
      <c r="S111" s="3">
        <v>41</v>
      </c>
      <c r="T111" s="3">
        <v>0</v>
      </c>
      <c r="U111" s="3">
        <v>45</v>
      </c>
      <c r="V111" s="3">
        <v>74</v>
      </c>
      <c r="W111" s="3">
        <v>395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556</v>
      </c>
    </row>
    <row r="112" spans="1:30" ht="15">
      <c r="A112" s="3">
        <v>105</v>
      </c>
      <c r="B112" s="10" t="s">
        <v>113</v>
      </c>
      <c r="C112" s="4">
        <f t="shared" si="1"/>
        <v>1722.3928571428573</v>
      </c>
      <c r="D112" s="3">
        <v>922</v>
      </c>
      <c r="E112" s="3">
        <v>18</v>
      </c>
      <c r="F112" s="3">
        <v>81</v>
      </c>
      <c r="G112" s="3">
        <v>145</v>
      </c>
      <c r="H112" s="3">
        <v>70</v>
      </c>
      <c r="I112" s="4">
        <v>111.65</v>
      </c>
      <c r="J112" s="3">
        <v>0.33</v>
      </c>
      <c r="K112" s="3">
        <v>111</v>
      </c>
      <c r="L112" s="3">
        <v>0</v>
      </c>
      <c r="M112" s="3">
        <v>98</v>
      </c>
      <c r="N112" s="3">
        <v>123</v>
      </c>
      <c r="O112" s="3">
        <v>22</v>
      </c>
      <c r="P112" s="4">
        <v>20.74285714285714</v>
      </c>
      <c r="Q112" s="3">
        <v>0.12</v>
      </c>
      <c r="R112" s="3">
        <v>24</v>
      </c>
      <c r="S112" s="3">
        <v>2</v>
      </c>
      <c r="T112" s="3">
        <v>15</v>
      </c>
      <c r="U112" s="3">
        <v>57</v>
      </c>
      <c r="V112" s="3">
        <v>60</v>
      </c>
      <c r="W112" s="3">
        <v>290</v>
      </c>
      <c r="X112" s="3">
        <v>3</v>
      </c>
      <c r="Y112" s="3">
        <v>0</v>
      </c>
      <c r="Z112" s="3">
        <v>9</v>
      </c>
      <c r="AA112" s="3">
        <v>11</v>
      </c>
      <c r="AB112" s="3">
        <v>7</v>
      </c>
      <c r="AC112" s="3">
        <v>55</v>
      </c>
      <c r="AD112" s="3">
        <v>533</v>
      </c>
    </row>
    <row r="113" spans="1:30" ht="15">
      <c r="A113" s="3">
        <v>106</v>
      </c>
      <c r="B113" s="10" t="s">
        <v>114</v>
      </c>
      <c r="C113" s="4">
        <f t="shared" si="1"/>
        <v>1344.8180952380951</v>
      </c>
      <c r="D113" s="3">
        <v>818</v>
      </c>
      <c r="E113" s="3">
        <v>0</v>
      </c>
      <c r="F113" s="3">
        <v>118</v>
      </c>
      <c r="G113" s="3">
        <v>114</v>
      </c>
      <c r="H113" s="3">
        <v>72</v>
      </c>
      <c r="I113" s="4">
        <v>58.551428571428573</v>
      </c>
      <c r="J113" s="3">
        <v>0.33</v>
      </c>
      <c r="K113" s="3">
        <v>0</v>
      </c>
      <c r="L113" s="3">
        <v>0</v>
      </c>
      <c r="M113" s="3">
        <v>117</v>
      </c>
      <c r="N113" s="3">
        <v>12</v>
      </c>
      <c r="O113" s="3">
        <v>23</v>
      </c>
      <c r="P113" s="4">
        <v>12.266666666666666</v>
      </c>
      <c r="Q113" s="3">
        <v>0.12</v>
      </c>
      <c r="R113" s="3">
        <v>22</v>
      </c>
      <c r="S113" s="3">
        <v>0</v>
      </c>
      <c r="T113" s="3">
        <v>28</v>
      </c>
      <c r="U113" s="3">
        <v>58</v>
      </c>
      <c r="V113" s="3">
        <v>112</v>
      </c>
      <c r="W113" s="3">
        <v>276</v>
      </c>
      <c r="X113" s="3">
        <v>0</v>
      </c>
      <c r="Y113" s="3">
        <v>0</v>
      </c>
      <c r="Z113" s="3">
        <v>12</v>
      </c>
      <c r="AA113" s="3">
        <v>2</v>
      </c>
      <c r="AB113" s="3">
        <v>9</v>
      </c>
      <c r="AC113" s="3">
        <v>40</v>
      </c>
      <c r="AD113" s="3">
        <v>558</v>
      </c>
    </row>
    <row r="114" spans="1:30" ht="15">
      <c r="A114" s="3">
        <v>107</v>
      </c>
      <c r="B114" s="10" t="s">
        <v>115</v>
      </c>
      <c r="C114" s="4">
        <f t="shared" si="1"/>
        <v>849.64180995475112</v>
      </c>
      <c r="D114" s="3">
        <v>479</v>
      </c>
      <c r="E114" s="3">
        <v>0</v>
      </c>
      <c r="F114" s="3">
        <v>34</v>
      </c>
      <c r="G114" s="3">
        <v>93</v>
      </c>
      <c r="H114" s="3">
        <v>36</v>
      </c>
      <c r="I114" s="4">
        <v>51.014117647058825</v>
      </c>
      <c r="J114" s="3">
        <v>0.33</v>
      </c>
      <c r="K114" s="3">
        <v>0</v>
      </c>
      <c r="L114" s="3">
        <v>0</v>
      </c>
      <c r="M114" s="3">
        <v>0</v>
      </c>
      <c r="N114" s="3">
        <v>74</v>
      </c>
      <c r="O114" s="3">
        <v>58</v>
      </c>
      <c r="P114" s="4">
        <v>24.627692307692307</v>
      </c>
      <c r="Q114" s="3">
        <v>0.12</v>
      </c>
      <c r="R114" s="3">
        <v>14</v>
      </c>
      <c r="S114" s="3">
        <v>0</v>
      </c>
      <c r="T114" s="3">
        <v>5</v>
      </c>
      <c r="U114" s="3">
        <v>47</v>
      </c>
      <c r="V114" s="3">
        <v>68</v>
      </c>
      <c r="W114" s="3">
        <v>292</v>
      </c>
      <c r="X114" s="3">
        <v>0</v>
      </c>
      <c r="Y114" s="3">
        <v>0</v>
      </c>
      <c r="Z114" s="3">
        <v>0</v>
      </c>
      <c r="AA114" s="3">
        <v>12</v>
      </c>
      <c r="AB114" s="3">
        <v>13</v>
      </c>
      <c r="AC114" s="3">
        <v>46</v>
      </c>
      <c r="AD114" s="3">
        <v>497</v>
      </c>
    </row>
    <row r="115" spans="1:30" ht="15">
      <c r="A115" s="3">
        <v>108</v>
      </c>
      <c r="B115" s="10" t="s">
        <v>116</v>
      </c>
      <c r="C115" s="4">
        <f t="shared" si="1"/>
        <v>199.37</v>
      </c>
      <c r="D115" s="3">
        <v>0</v>
      </c>
      <c r="E115" s="3">
        <v>0</v>
      </c>
      <c r="F115" s="3">
        <v>72</v>
      </c>
      <c r="G115" s="3">
        <v>73</v>
      </c>
      <c r="H115" s="3">
        <v>25</v>
      </c>
      <c r="I115" s="4">
        <v>29.37</v>
      </c>
      <c r="J115" s="3">
        <v>0.33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4">
        <v>0</v>
      </c>
      <c r="Q115" s="3">
        <v>0.12</v>
      </c>
      <c r="R115" s="3">
        <v>0</v>
      </c>
      <c r="S115" s="3">
        <v>0</v>
      </c>
      <c r="T115" s="3">
        <v>12</v>
      </c>
      <c r="U115" s="3">
        <v>43</v>
      </c>
      <c r="V115" s="3">
        <v>50</v>
      </c>
      <c r="W115" s="3">
        <v>178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</v>
      </c>
      <c r="AD115" s="3">
        <v>283</v>
      </c>
    </row>
    <row r="116" spans="1:30" ht="15">
      <c r="A116" s="3">
        <v>109</v>
      </c>
      <c r="B116" s="10" t="s">
        <v>117</v>
      </c>
      <c r="C116" s="4">
        <f t="shared" si="1"/>
        <v>535.69971830985912</v>
      </c>
      <c r="D116" s="3">
        <v>0</v>
      </c>
      <c r="E116" s="3">
        <v>98</v>
      </c>
      <c r="F116" s="3">
        <v>0</v>
      </c>
      <c r="G116" s="3">
        <v>130</v>
      </c>
      <c r="H116" s="3">
        <v>48</v>
      </c>
      <c r="I116" s="4">
        <v>76.299718309859145</v>
      </c>
      <c r="J116" s="3">
        <v>0.33</v>
      </c>
      <c r="K116" s="3">
        <v>0</v>
      </c>
      <c r="L116" s="3">
        <v>0</v>
      </c>
      <c r="M116" s="3">
        <v>58</v>
      </c>
      <c r="N116" s="3">
        <v>82</v>
      </c>
      <c r="O116" s="3">
        <v>31</v>
      </c>
      <c r="P116" s="4">
        <v>12.4</v>
      </c>
      <c r="Q116" s="3">
        <v>0.12</v>
      </c>
      <c r="R116" s="3">
        <v>0</v>
      </c>
      <c r="S116" s="3">
        <v>15</v>
      </c>
      <c r="T116" s="3">
        <v>0</v>
      </c>
      <c r="U116" s="3">
        <v>51</v>
      </c>
      <c r="V116" s="3">
        <v>71</v>
      </c>
      <c r="W116" s="3">
        <v>342</v>
      </c>
      <c r="X116" s="3">
        <v>0</v>
      </c>
      <c r="Y116" s="3">
        <v>0</v>
      </c>
      <c r="Z116" s="3">
        <v>4</v>
      </c>
      <c r="AA116" s="3">
        <v>11</v>
      </c>
      <c r="AB116" s="3">
        <v>9</v>
      </c>
      <c r="AC116" s="3">
        <v>30</v>
      </c>
      <c r="AD116" s="3">
        <v>534</v>
      </c>
    </row>
    <row r="117" spans="1:30" ht="15">
      <c r="A117" s="3">
        <v>110</v>
      </c>
      <c r="B117" s="10" t="s">
        <v>118</v>
      </c>
      <c r="C117" s="4">
        <f t="shared" si="1"/>
        <v>269.95121951219511</v>
      </c>
      <c r="D117" s="3">
        <v>0</v>
      </c>
      <c r="E117" s="3">
        <v>53</v>
      </c>
      <c r="F117" s="3">
        <v>43</v>
      </c>
      <c r="G117" s="3">
        <v>76</v>
      </c>
      <c r="H117" s="3">
        <v>40</v>
      </c>
      <c r="I117" s="4">
        <v>57.951219512195124</v>
      </c>
      <c r="J117" s="3">
        <v>0.33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4">
        <v>0</v>
      </c>
      <c r="Q117" s="3">
        <v>0.12</v>
      </c>
      <c r="R117" s="3">
        <v>0</v>
      </c>
      <c r="S117" s="3">
        <v>14</v>
      </c>
      <c r="T117" s="3">
        <v>23</v>
      </c>
      <c r="U117" s="3">
        <v>48</v>
      </c>
      <c r="V117" s="3">
        <v>82</v>
      </c>
      <c r="W117" s="3">
        <v>360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3">
        <v>527</v>
      </c>
    </row>
    <row r="118" spans="1:30" ht="15">
      <c r="A118" s="3">
        <v>111</v>
      </c>
      <c r="B118" s="10" t="s">
        <v>119</v>
      </c>
      <c r="C118" s="4">
        <f t="shared" si="1"/>
        <v>501.66504347826088</v>
      </c>
      <c r="D118" s="3">
        <v>149</v>
      </c>
      <c r="E118" s="3">
        <v>122</v>
      </c>
      <c r="F118" s="3">
        <v>0</v>
      </c>
      <c r="G118" s="3">
        <v>48</v>
      </c>
      <c r="H118" s="3">
        <v>66</v>
      </c>
      <c r="I118" s="4">
        <v>116.66504347826087</v>
      </c>
      <c r="J118" s="3">
        <v>0.33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4">
        <v>0</v>
      </c>
      <c r="Q118" s="3">
        <v>0.12</v>
      </c>
      <c r="R118" s="3">
        <v>12</v>
      </c>
      <c r="S118" s="3">
        <v>28</v>
      </c>
      <c r="T118" s="3">
        <v>0</v>
      </c>
      <c r="U118" s="3">
        <v>47</v>
      </c>
      <c r="V118" s="3">
        <v>115</v>
      </c>
      <c r="W118" s="3">
        <v>616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>
        <v>819</v>
      </c>
    </row>
    <row r="119" spans="1:30" ht="15">
      <c r="A119" s="3">
        <v>112</v>
      </c>
      <c r="B119" s="10" t="s">
        <v>120</v>
      </c>
      <c r="C119" s="4">
        <f t="shared" si="1"/>
        <v>186.99199999999999</v>
      </c>
      <c r="D119" s="3">
        <v>18</v>
      </c>
      <c r="E119" s="3">
        <v>0</v>
      </c>
      <c r="F119" s="3">
        <v>64</v>
      </c>
      <c r="G119" s="3">
        <v>34</v>
      </c>
      <c r="H119" s="3">
        <v>36</v>
      </c>
      <c r="I119" s="4">
        <v>34.991999999999997</v>
      </c>
      <c r="J119" s="3">
        <v>0.33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4">
        <v>0</v>
      </c>
      <c r="Q119" s="3">
        <v>0.12</v>
      </c>
      <c r="R119" s="3">
        <v>1</v>
      </c>
      <c r="S119" s="3">
        <v>0</v>
      </c>
      <c r="T119" s="3">
        <v>19</v>
      </c>
      <c r="U119" s="3">
        <v>18</v>
      </c>
      <c r="V119" s="3">
        <v>55</v>
      </c>
      <c r="W119" s="3">
        <v>162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0</v>
      </c>
      <c r="AD119" s="3">
        <v>255</v>
      </c>
    </row>
    <row r="120" spans="1:30" ht="15">
      <c r="A120" s="3">
        <v>113</v>
      </c>
      <c r="B120" s="10" t="s">
        <v>121</v>
      </c>
      <c r="C120" s="4">
        <f t="shared" si="1"/>
        <v>447.49230769230769</v>
      </c>
      <c r="D120" s="3">
        <v>0</v>
      </c>
      <c r="E120" s="3">
        <v>114</v>
      </c>
      <c r="F120" s="3">
        <v>83</v>
      </c>
      <c r="G120" s="3">
        <v>82</v>
      </c>
      <c r="H120" s="3">
        <v>70</v>
      </c>
      <c r="I120" s="4">
        <v>98.492307692307691</v>
      </c>
      <c r="J120" s="3">
        <v>0.33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4">
        <v>0</v>
      </c>
      <c r="Q120" s="3">
        <v>0.12</v>
      </c>
      <c r="R120" s="3">
        <v>0</v>
      </c>
      <c r="S120" s="3">
        <v>23</v>
      </c>
      <c r="T120" s="3">
        <v>18</v>
      </c>
      <c r="U120" s="3">
        <v>51</v>
      </c>
      <c r="V120" s="3">
        <v>91</v>
      </c>
      <c r="W120" s="3">
        <v>388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  <c r="AD120" s="3">
        <v>571</v>
      </c>
    </row>
    <row r="121" spans="1:30" ht="15">
      <c r="A121" s="3">
        <v>114</v>
      </c>
      <c r="B121" s="10" t="s">
        <v>122</v>
      </c>
      <c r="C121" s="4">
        <f t="shared" si="1"/>
        <v>3172.2229624060151</v>
      </c>
      <c r="D121" s="3">
        <v>803</v>
      </c>
      <c r="E121" s="3">
        <v>248</v>
      </c>
      <c r="F121" s="3">
        <v>44</v>
      </c>
      <c r="G121" s="3">
        <v>274</v>
      </c>
      <c r="H121" s="3">
        <v>142</v>
      </c>
      <c r="I121" s="4">
        <v>221.58085714285713</v>
      </c>
      <c r="J121" s="3">
        <v>0.33</v>
      </c>
      <c r="K121" s="3">
        <v>294</v>
      </c>
      <c r="L121" s="3">
        <v>54</v>
      </c>
      <c r="M121" s="3">
        <v>365</v>
      </c>
      <c r="N121" s="3">
        <v>309</v>
      </c>
      <c r="O121" s="3">
        <v>260</v>
      </c>
      <c r="P121" s="4">
        <v>157.64210526315787</v>
      </c>
      <c r="Q121" s="3">
        <v>0.12</v>
      </c>
      <c r="R121" s="3">
        <v>22</v>
      </c>
      <c r="S121" s="3">
        <v>28</v>
      </c>
      <c r="T121" s="3">
        <v>7</v>
      </c>
      <c r="U121" s="3">
        <v>70</v>
      </c>
      <c r="V121" s="3">
        <v>140</v>
      </c>
      <c r="W121" s="3">
        <v>662</v>
      </c>
      <c r="X121" s="3">
        <v>7</v>
      </c>
      <c r="Y121" s="3">
        <v>6</v>
      </c>
      <c r="Z121" s="3">
        <v>19</v>
      </c>
      <c r="AA121" s="3">
        <v>25</v>
      </c>
      <c r="AB121" s="3">
        <v>38</v>
      </c>
      <c r="AC121" s="3">
        <v>192</v>
      </c>
      <c r="AD121" s="4">
        <v>1215</v>
      </c>
    </row>
    <row r="122" spans="1:30" ht="15">
      <c r="A122" s="3">
        <v>115</v>
      </c>
      <c r="B122" s="10" t="s">
        <v>123</v>
      </c>
      <c r="C122" s="4">
        <f t="shared" si="1"/>
        <v>323.2913043478261</v>
      </c>
      <c r="D122" s="3">
        <v>0</v>
      </c>
      <c r="E122" s="3">
        <v>121</v>
      </c>
      <c r="F122" s="3">
        <v>93</v>
      </c>
      <c r="G122" s="3">
        <v>35</v>
      </c>
      <c r="H122" s="3">
        <v>40</v>
      </c>
      <c r="I122" s="4">
        <v>34.291304347826092</v>
      </c>
      <c r="J122" s="3">
        <v>0.33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4">
        <v>0</v>
      </c>
      <c r="Q122" s="3">
        <v>0.12</v>
      </c>
      <c r="R122" s="3">
        <v>0</v>
      </c>
      <c r="S122" s="3">
        <v>25</v>
      </c>
      <c r="T122" s="3">
        <v>21</v>
      </c>
      <c r="U122" s="3">
        <v>39</v>
      </c>
      <c r="V122" s="3">
        <v>92</v>
      </c>
      <c r="W122" s="3">
        <v>239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>
        <v>415</v>
      </c>
    </row>
    <row r="123" spans="1:30" ht="15">
      <c r="A123" s="3">
        <v>116</v>
      </c>
      <c r="B123" s="10" t="s">
        <v>124</v>
      </c>
      <c r="C123" s="4">
        <f t="shared" si="1"/>
        <v>432.813786407767</v>
      </c>
      <c r="D123" s="3">
        <v>0</v>
      </c>
      <c r="E123" s="3">
        <v>0</v>
      </c>
      <c r="F123" s="3">
        <v>127</v>
      </c>
      <c r="G123" s="3">
        <v>51</v>
      </c>
      <c r="H123" s="3">
        <v>57</v>
      </c>
      <c r="I123" s="4">
        <v>73.413786407766992</v>
      </c>
      <c r="J123" s="3">
        <v>0.33</v>
      </c>
      <c r="K123" s="3">
        <v>0</v>
      </c>
      <c r="L123" s="3">
        <v>0</v>
      </c>
      <c r="M123" s="3">
        <v>45</v>
      </c>
      <c r="N123" s="3">
        <v>69</v>
      </c>
      <c r="O123" s="3">
        <v>8</v>
      </c>
      <c r="P123" s="4">
        <v>2.4</v>
      </c>
      <c r="Q123" s="3">
        <v>0.12</v>
      </c>
      <c r="R123" s="3">
        <v>0</v>
      </c>
      <c r="S123" s="3">
        <v>0</v>
      </c>
      <c r="T123" s="3">
        <v>20</v>
      </c>
      <c r="U123" s="3">
        <v>54</v>
      </c>
      <c r="V123" s="3">
        <v>103</v>
      </c>
      <c r="W123" s="3">
        <v>402</v>
      </c>
      <c r="X123" s="3">
        <v>0</v>
      </c>
      <c r="Y123" s="3">
        <v>0</v>
      </c>
      <c r="Z123" s="3">
        <v>5</v>
      </c>
      <c r="AA123" s="3">
        <v>6</v>
      </c>
      <c r="AB123" s="3">
        <v>6</v>
      </c>
      <c r="AC123" s="3">
        <v>15</v>
      </c>
      <c r="AD123" s="3">
        <v>612</v>
      </c>
    </row>
    <row r="124" spans="1:30" ht="15">
      <c r="A124" s="3">
        <v>117</v>
      </c>
      <c r="B124" s="10" t="s">
        <v>125</v>
      </c>
      <c r="C124" s="4">
        <f t="shared" si="1"/>
        <v>517.08649484536079</v>
      </c>
      <c r="D124" s="3">
        <v>0</v>
      </c>
      <c r="E124" s="3">
        <v>92</v>
      </c>
      <c r="F124" s="3">
        <v>165</v>
      </c>
      <c r="G124" s="3">
        <v>124</v>
      </c>
      <c r="H124" s="3">
        <v>63</v>
      </c>
      <c r="I124" s="4">
        <v>73.086494845360832</v>
      </c>
      <c r="J124" s="3">
        <v>0.33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4">
        <v>0</v>
      </c>
      <c r="Q124" s="3">
        <v>0.12</v>
      </c>
      <c r="R124" s="3">
        <v>0</v>
      </c>
      <c r="S124" s="3">
        <v>10</v>
      </c>
      <c r="T124" s="3">
        <v>34</v>
      </c>
      <c r="U124" s="3">
        <v>60</v>
      </c>
      <c r="V124" s="3">
        <v>97</v>
      </c>
      <c r="W124" s="3">
        <v>341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">
        <v>543</v>
      </c>
    </row>
    <row r="125" spans="1:30" ht="15">
      <c r="A125" s="3">
        <v>118</v>
      </c>
      <c r="B125" s="10" t="s">
        <v>126</v>
      </c>
      <c r="C125" s="4">
        <f t="shared" si="1"/>
        <v>1585.2368823529412</v>
      </c>
      <c r="D125" s="3">
        <v>614</v>
      </c>
      <c r="E125" s="3">
        <v>13</v>
      </c>
      <c r="F125" s="3">
        <v>64</v>
      </c>
      <c r="G125" s="3">
        <v>210</v>
      </c>
      <c r="H125" s="3">
        <v>98</v>
      </c>
      <c r="I125" s="4">
        <v>195.56188235294121</v>
      </c>
      <c r="J125" s="3">
        <v>0.33</v>
      </c>
      <c r="K125" s="3">
        <v>188</v>
      </c>
      <c r="L125" s="3">
        <v>0</v>
      </c>
      <c r="M125" s="3">
        <v>10</v>
      </c>
      <c r="N125" s="3">
        <v>139</v>
      </c>
      <c r="O125" s="3">
        <v>38</v>
      </c>
      <c r="P125" s="4">
        <v>15.675000000000001</v>
      </c>
      <c r="Q125" s="3">
        <v>0.12</v>
      </c>
      <c r="R125" s="3">
        <v>22</v>
      </c>
      <c r="S125" s="3">
        <v>2</v>
      </c>
      <c r="T125" s="3">
        <v>15</v>
      </c>
      <c r="U125" s="3">
        <v>75</v>
      </c>
      <c r="V125" s="3">
        <v>85</v>
      </c>
      <c r="W125" s="3">
        <v>514</v>
      </c>
      <c r="X125" s="3">
        <v>6</v>
      </c>
      <c r="Y125" s="3">
        <v>0</v>
      </c>
      <c r="Z125" s="3">
        <v>1</v>
      </c>
      <c r="AA125" s="3">
        <v>17</v>
      </c>
      <c r="AB125" s="3">
        <v>16</v>
      </c>
      <c r="AC125" s="3">
        <v>55</v>
      </c>
      <c r="AD125" s="3">
        <v>808</v>
      </c>
    </row>
    <row r="126" spans="1:30" ht="15">
      <c r="A126" s="3">
        <v>119</v>
      </c>
      <c r="B126" s="10" t="s">
        <v>127</v>
      </c>
      <c r="C126" s="4">
        <f t="shared" si="1"/>
        <v>310.33591836734695</v>
      </c>
      <c r="D126" s="3">
        <v>0</v>
      </c>
      <c r="E126" s="3">
        <v>184</v>
      </c>
      <c r="F126" s="3">
        <v>33</v>
      </c>
      <c r="G126" s="3">
        <v>50</v>
      </c>
      <c r="H126" s="3">
        <v>18</v>
      </c>
      <c r="I126" s="4">
        <v>25.335918367346938</v>
      </c>
      <c r="J126" s="3">
        <v>0.33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4">
        <v>0</v>
      </c>
      <c r="Q126" s="3">
        <v>0.12</v>
      </c>
      <c r="R126" s="3">
        <v>0</v>
      </c>
      <c r="S126" s="3">
        <v>33</v>
      </c>
      <c r="T126" s="3">
        <v>17</v>
      </c>
      <c r="U126" s="3">
        <v>51</v>
      </c>
      <c r="V126" s="3">
        <v>49</v>
      </c>
      <c r="W126" s="3">
        <v>209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">
        <v>358</v>
      </c>
    </row>
    <row r="127" spans="1:30" ht="15">
      <c r="A127" s="3">
        <v>120</v>
      </c>
      <c r="B127" s="10" t="s">
        <v>128</v>
      </c>
      <c r="C127" s="4">
        <f t="shared" si="1"/>
        <v>904.6426923076923</v>
      </c>
      <c r="D127" s="3">
        <v>171</v>
      </c>
      <c r="E127" s="3">
        <v>332</v>
      </c>
      <c r="F127" s="3">
        <v>0</v>
      </c>
      <c r="G127" s="3">
        <v>131</v>
      </c>
      <c r="H127" s="3">
        <v>54</v>
      </c>
      <c r="I127" s="4">
        <v>53.802692307692311</v>
      </c>
      <c r="J127" s="3">
        <v>0.33</v>
      </c>
      <c r="K127" s="3">
        <v>0</v>
      </c>
      <c r="L127" s="3">
        <v>0</v>
      </c>
      <c r="M127" s="3">
        <v>59</v>
      </c>
      <c r="N127" s="3">
        <v>56</v>
      </c>
      <c r="O127" s="3">
        <v>23</v>
      </c>
      <c r="P127" s="4">
        <v>24.84</v>
      </c>
      <c r="Q127" s="3">
        <v>0.12</v>
      </c>
      <c r="R127" s="3">
        <v>8</v>
      </c>
      <c r="S127" s="3">
        <v>20</v>
      </c>
      <c r="T127" s="3">
        <v>0</v>
      </c>
      <c r="U127" s="3">
        <v>48</v>
      </c>
      <c r="V127" s="3">
        <v>52</v>
      </c>
      <c r="W127" s="3">
        <v>157</v>
      </c>
      <c r="X127" s="3">
        <v>0</v>
      </c>
      <c r="Y127" s="3">
        <v>0</v>
      </c>
      <c r="Z127" s="3">
        <v>3</v>
      </c>
      <c r="AA127" s="3">
        <v>7</v>
      </c>
      <c r="AB127" s="3">
        <v>5</v>
      </c>
      <c r="AC127" s="3">
        <v>45</v>
      </c>
      <c r="AD127" s="3">
        <v>344</v>
      </c>
    </row>
    <row r="128" spans="1:30" ht="15">
      <c r="A128" s="3"/>
      <c r="B128" s="10"/>
      <c r="C128" s="4"/>
      <c r="D128" s="3"/>
      <c r="E128" s="3"/>
      <c r="F128" s="3"/>
      <c r="G128" s="3"/>
      <c r="H128" s="3"/>
      <c r="I128" s="4"/>
      <c r="J128" s="3"/>
      <c r="K128" s="3"/>
      <c r="L128" s="3"/>
      <c r="M128" s="3"/>
      <c r="N128" s="3"/>
      <c r="O128" s="3"/>
      <c r="P128" s="4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 spans="1:30" ht="15">
      <c r="A129" s="3"/>
      <c r="B129" s="3" t="s">
        <v>138</v>
      </c>
      <c r="C129" s="4">
        <f>SUM(C8:C128)</f>
        <v>123479.54872440033</v>
      </c>
      <c r="D129" s="4">
        <f t="shared" ref="D129:O129" si="2">SUM(D8:D128)</f>
        <v>15257</v>
      </c>
      <c r="E129" s="4">
        <f t="shared" si="2"/>
        <v>15915</v>
      </c>
      <c r="F129" s="4">
        <f t="shared" si="2"/>
        <v>6493</v>
      </c>
      <c r="G129" s="4">
        <f t="shared" si="2"/>
        <v>14756</v>
      </c>
      <c r="H129" s="4">
        <f t="shared" si="2"/>
        <v>6782</v>
      </c>
      <c r="I129" s="4">
        <f>SUM(I8:I128)</f>
        <v>9723.735376162138</v>
      </c>
      <c r="J129" s="3"/>
      <c r="K129" s="4">
        <f t="shared" si="2"/>
        <v>14671</v>
      </c>
      <c r="L129" s="4">
        <f t="shared" si="2"/>
        <v>2144</v>
      </c>
      <c r="M129" s="4">
        <f t="shared" si="2"/>
        <v>12087</v>
      </c>
      <c r="N129" s="4">
        <f t="shared" si="2"/>
        <v>11358</v>
      </c>
      <c r="O129" s="4">
        <f t="shared" si="2"/>
        <v>5216</v>
      </c>
      <c r="P129" s="4">
        <f>SUM(P8:P128)</f>
        <v>9076.8133482381236</v>
      </c>
      <c r="Q129" s="3"/>
      <c r="R129" s="4">
        <f t="shared" ref="R129:AD129" si="3">SUM(R8:R128)</f>
        <v>536</v>
      </c>
      <c r="S129" s="4">
        <f t="shared" si="3"/>
        <v>2043</v>
      </c>
      <c r="T129" s="4">
        <f t="shared" si="3"/>
        <v>1608</v>
      </c>
      <c r="U129" s="4">
        <f t="shared" si="3"/>
        <v>6970</v>
      </c>
      <c r="V129" s="4">
        <f t="shared" si="3"/>
        <v>9495</v>
      </c>
      <c r="W129" s="4">
        <f t="shared" si="3"/>
        <v>41359</v>
      </c>
      <c r="X129" s="4">
        <f t="shared" si="3"/>
        <v>228</v>
      </c>
      <c r="Y129" s="4">
        <f t="shared" si="3"/>
        <v>91</v>
      </c>
      <c r="Z129" s="4">
        <f t="shared" si="3"/>
        <v>641</v>
      </c>
      <c r="AA129" s="4">
        <f t="shared" si="3"/>
        <v>1165</v>
      </c>
      <c r="AB129" s="4">
        <f t="shared" si="3"/>
        <v>1153</v>
      </c>
      <c r="AC129" s="4">
        <f t="shared" si="3"/>
        <v>7753</v>
      </c>
      <c r="AD129" s="4">
        <f t="shared" si="3"/>
        <v>73028</v>
      </c>
    </row>
  </sheetData>
  <mergeCells count="4">
    <mergeCell ref="D5:I5"/>
    <mergeCell ref="K5:P5"/>
    <mergeCell ref="R5:W5"/>
    <mergeCell ref="X5:AC5"/>
  </mergeCells>
  <phoneticPr fontId="2" type="noConversion"/>
  <pageMargins left="0.77" right="0.73" top="0.46" bottom="0.5" header="0.22" footer="0.41"/>
  <pageSetup paperSize="5" orientation="landscape" horizontalDpi="300" verticalDpi="300" r:id="rId1"/>
  <headerFooter alignWithMargins="0">
    <oddHeader>Page &amp;P&amp;RVmt97.xls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5A9477B1EAFA4D83B3DB2E29B543D3" ma:contentTypeVersion="4" ma:contentTypeDescription="Create a new document." ma:contentTypeScope="" ma:versionID="ab5dcfd92a9f80f8434de1f369a703c8">
  <xsd:schema xmlns:xsd="http://www.w3.org/2001/XMLSchema" xmlns:xs="http://www.w3.org/2001/XMLSchema" xmlns:p="http://schemas.microsoft.com/office/2006/metadata/properties" xmlns:ns1="http://schemas.microsoft.com/sharepoint/v3" xmlns:ns3="9c16dc54-5a24-4afd-a61c-664ec7eab416" targetNamespace="http://schemas.microsoft.com/office/2006/metadata/properties" ma:root="true" ma:fieldsID="9bec7aaf70063ea9faaaf00d9715fdd2" ns1:_="" ns3:_="">
    <xsd:import namespace="http://schemas.microsoft.com/sharepoint/v3"/>
    <xsd:import namespace="9c16dc54-5a24-4afd-a61c-664ec7eab416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4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5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16dc54-5a24-4afd-a61c-664ec7eab416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7" ma:displayName="Content Type"/>
        <xsd:element ref="dc:title" minOccurs="0" maxOccurs="1" ma:index="3" ma:displayName="Title"/>
        <xsd:element ref="dc:subject" minOccurs="0" maxOccurs="1" ma:index="6" ma:displayName="Subject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2869499C-B5AB-435D-8C69-4F5C108D35DA}"/>
</file>

<file path=customXml/itemProps2.xml><?xml version="1.0" encoding="utf-8"?>
<ds:datastoreItem xmlns:ds="http://schemas.openxmlformats.org/officeDocument/2006/customXml" ds:itemID="{D04FD1CE-FA2D-487D-9161-84C97DF14FC2}"/>
</file>

<file path=customXml/itemProps3.xml><?xml version="1.0" encoding="utf-8"?>
<ds:datastoreItem xmlns:ds="http://schemas.openxmlformats.org/officeDocument/2006/customXml" ds:itemID="{DF8E5B1E-3A3F-42E2-852D-8F01D7CC0A8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VMT1</vt:lpstr>
      <vt:lpstr>VMT1!Print_Titles</vt:lpstr>
    </vt:vector>
  </TitlesOfParts>
  <Company>TRANSPORTATION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>;#DVMT;#</dc:subject>
  <dc:creator>KYTC</dc:creator>
  <cp:lastModifiedBy>Sanford, Gretchen (KYTC)</cp:lastModifiedBy>
  <cp:lastPrinted>1999-07-29T17:35:38Z</cp:lastPrinted>
  <dcterms:created xsi:type="dcterms:W3CDTF">1998-10-28T23:30:11Z</dcterms:created>
  <dcterms:modified xsi:type="dcterms:W3CDTF">2013-08-19T21:00:11Z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0x0101007A5A9477B1EAFA4D83B3DB2E29B543D3</vt:lpwstr>
  </property>
</Properties>
</file>