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75" yWindow="105" windowWidth="20400" windowHeight="11775"/>
  </bookViews>
  <sheets>
    <sheet name="2000" sheetId="6" r:id="rId1"/>
  </sheets>
  <definedNames>
    <definedName name="_xlnm._FilterDatabase" localSheetId="0" hidden="1">'2000'!$A$1:$AE$130</definedName>
    <definedName name="_xlnm.Print_Titles" localSheetId="0">'2000'!$A:$B,'2000'!$5:$7</definedName>
    <definedName name="Z_42EEE160_96A8_11D3_9088_00C04FACEB10_.wvu.PrintTitles" localSheetId="0" hidden="1">'2000'!$A:$B,'2000'!$5:$7</definedName>
    <definedName name="Z_9B35B1A4_5380_11D4_9606_00B0D02CABC0_.wvu.FilterData" localSheetId="0" hidden="1">'2000'!$A$2:$AE$127</definedName>
    <definedName name="Z_9B35B1A4_5380_11D4_9606_00B0D02CABC0_.wvu.PrintTitles" localSheetId="0" hidden="1">'2000'!$A:$B,'2000'!$5:$7</definedName>
  </definedNames>
  <calcPr calcId="125725" fullCalcOnLoad="1"/>
</workbook>
</file>

<file path=xl/calcChain.xml><?xml version="1.0" encoding="utf-8"?>
<calcChain xmlns="http://schemas.openxmlformats.org/spreadsheetml/2006/main">
  <c r="J129" i="6"/>
  <c r="X129"/>
  <c r="Q129"/>
  <c r="AD129"/>
  <c r="D37"/>
  <c r="D8"/>
  <c r="AE8"/>
  <c r="D9"/>
  <c r="AE9"/>
  <c r="D10"/>
  <c r="AE10"/>
  <c r="D11"/>
  <c r="AE11"/>
  <c r="D12"/>
  <c r="AE12"/>
  <c r="D13"/>
  <c r="AE13"/>
  <c r="D14"/>
  <c r="AE14"/>
  <c r="D15"/>
  <c r="AE15"/>
  <c r="D16"/>
  <c r="AE16"/>
  <c r="D17"/>
  <c r="AE17"/>
  <c r="D18"/>
  <c r="AE18"/>
  <c r="D19"/>
  <c r="AE19"/>
  <c r="D20"/>
  <c r="AE20"/>
  <c r="D21"/>
  <c r="AE21"/>
  <c r="D22"/>
  <c r="AE22"/>
  <c r="D23"/>
  <c r="AE23"/>
  <c r="D24"/>
  <c r="AE24"/>
  <c r="D25"/>
  <c r="AE25"/>
  <c r="D26"/>
  <c r="AE26"/>
  <c r="D27"/>
  <c r="AE27"/>
  <c r="D28"/>
  <c r="AE28"/>
  <c r="D29"/>
  <c r="AE29"/>
  <c r="D30"/>
  <c r="AE30"/>
  <c r="D31"/>
  <c r="AE31"/>
  <c r="D32"/>
  <c r="AE32"/>
  <c r="D33"/>
  <c r="AE33"/>
  <c r="D34"/>
  <c r="AE34"/>
  <c r="D35"/>
  <c r="AE35"/>
  <c r="D36"/>
  <c r="AE36"/>
  <c r="AE37"/>
  <c r="D38"/>
  <c r="AE38"/>
  <c r="D39"/>
  <c r="AE39"/>
  <c r="D40"/>
  <c r="AE40"/>
  <c r="D41"/>
  <c r="AE41"/>
  <c r="D42"/>
  <c r="AE42"/>
  <c r="D43"/>
  <c r="AE43"/>
  <c r="D44"/>
  <c r="AE44"/>
  <c r="D45"/>
  <c r="AE45"/>
  <c r="D46"/>
  <c r="AE46"/>
  <c r="D47"/>
  <c r="AE47"/>
  <c r="D48"/>
  <c r="AE48"/>
  <c r="D49"/>
  <c r="AE49"/>
  <c r="D50"/>
  <c r="AE50"/>
  <c r="D51"/>
  <c r="AE51"/>
  <c r="D52"/>
  <c r="AE52"/>
  <c r="D53"/>
  <c r="AE53"/>
  <c r="D54"/>
  <c r="AE54"/>
  <c r="D55"/>
  <c r="AE55"/>
  <c r="D56"/>
  <c r="AE56"/>
  <c r="D57"/>
  <c r="AE57"/>
  <c r="D58"/>
  <c r="AE58"/>
  <c r="D59"/>
  <c r="AE59"/>
  <c r="D60"/>
  <c r="AE60"/>
  <c r="D61"/>
  <c r="AE61"/>
  <c r="D62"/>
  <c r="AE62"/>
  <c r="D63"/>
  <c r="AE63"/>
  <c r="D64"/>
  <c r="AE64"/>
  <c r="D65"/>
  <c r="AE65"/>
  <c r="D66"/>
  <c r="AE66"/>
  <c r="D67"/>
  <c r="AE67"/>
  <c r="D68"/>
  <c r="AE68"/>
  <c r="D69"/>
  <c r="AE69"/>
  <c r="D70"/>
  <c r="AE70"/>
  <c r="D71"/>
  <c r="AE71"/>
  <c r="D72"/>
  <c r="AE72"/>
  <c r="D73"/>
  <c r="AE73"/>
  <c r="D74"/>
  <c r="AE74"/>
  <c r="D75"/>
  <c r="AE75"/>
  <c r="D76"/>
  <c r="AE76"/>
  <c r="D77"/>
  <c r="AE77"/>
  <c r="D78"/>
  <c r="AE78"/>
  <c r="D79"/>
  <c r="AE79"/>
  <c r="D80"/>
  <c r="AE80"/>
  <c r="D81"/>
  <c r="AE81"/>
  <c r="D82"/>
  <c r="AE82"/>
  <c r="D83"/>
  <c r="AE83"/>
  <c r="D84"/>
  <c r="AE84"/>
  <c r="D85"/>
  <c r="AE85"/>
  <c r="D86"/>
  <c r="AE86"/>
  <c r="D87"/>
  <c r="AE87"/>
  <c r="D88"/>
  <c r="AE88"/>
  <c r="D89"/>
  <c r="AE89"/>
  <c r="D90"/>
  <c r="AE90"/>
  <c r="D91"/>
  <c r="AE91"/>
  <c r="D92"/>
  <c r="AE92"/>
  <c r="D93"/>
  <c r="AE93"/>
  <c r="D94"/>
  <c r="AE94"/>
  <c r="D95"/>
  <c r="AE95"/>
  <c r="D96"/>
  <c r="AE96"/>
  <c r="D97"/>
  <c r="AE97"/>
  <c r="D98"/>
  <c r="AE98"/>
  <c r="D99"/>
  <c r="AE99"/>
  <c r="D100"/>
  <c r="AE100"/>
  <c r="D101"/>
  <c r="AE101"/>
  <c r="D102"/>
  <c r="AE102"/>
  <c r="D103"/>
  <c r="AE103"/>
  <c r="D104"/>
  <c r="AE104"/>
  <c r="D105"/>
  <c r="AE105"/>
  <c r="D106"/>
  <c r="AE106"/>
  <c r="D107"/>
  <c r="AE107"/>
  <c r="D108"/>
  <c r="AE108"/>
  <c r="D109"/>
  <c r="AE109"/>
  <c r="D110"/>
  <c r="AE110"/>
  <c r="D111"/>
  <c r="AE111"/>
  <c r="D112"/>
  <c r="AE112"/>
  <c r="D113"/>
  <c r="AE113"/>
  <c r="D114"/>
  <c r="AE114"/>
  <c r="D115"/>
  <c r="AE115"/>
  <c r="D116"/>
  <c r="AE116"/>
  <c r="D117"/>
  <c r="AE117"/>
  <c r="D118"/>
  <c r="AE118"/>
  <c r="D119"/>
  <c r="AE119"/>
  <c r="D120"/>
  <c r="AE120"/>
  <c r="D121"/>
  <c r="AE121"/>
  <c r="D122"/>
  <c r="AE122"/>
  <c r="D123"/>
  <c r="AE123"/>
  <c r="D124"/>
  <c r="AE124"/>
  <c r="D125"/>
  <c r="AE125"/>
  <c r="D126"/>
  <c r="AE126"/>
  <c r="D127"/>
  <c r="AE127"/>
  <c r="E129"/>
  <c r="F129"/>
  <c r="G129"/>
  <c r="H129"/>
  <c r="I129"/>
  <c r="L129"/>
  <c r="M129"/>
  <c r="N129"/>
  <c r="O129"/>
  <c r="P129"/>
  <c r="S129"/>
  <c r="T129"/>
  <c r="U129"/>
  <c r="V129"/>
  <c r="W129"/>
  <c r="Y129"/>
  <c r="Z129"/>
  <c r="AA129"/>
  <c r="AB129"/>
  <c r="AC129"/>
  <c r="AE129"/>
  <c r="D129"/>
</calcChain>
</file>

<file path=xl/sharedStrings.xml><?xml version="1.0" encoding="utf-8"?>
<sst xmlns="http://schemas.openxmlformats.org/spreadsheetml/2006/main" count="1600" uniqueCount="163">
  <si>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</si>
  <si>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</si>
  <si>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</si>
  <si>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</si>
  <si>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</si>
  <si>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</si>
  <si>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</si>
  <si>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</si>
  <si>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</si>
  <si>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</si>
  <si>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</si>
  <si>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</si>
  <si>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</si>
  <si>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</si>
  <si>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</si>
  <si>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</si>
  <si>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</si>
  <si>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</si>
  <si>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</si>
  <si>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</si>
  <si>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</si>
  <si>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</si>
  <si>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</si>
  <si>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</si>
  <si>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</si>
  <si>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</si>
  <si>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</si>
  <si>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</si>
  <si>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</si>
  <si>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</si>
  <si>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</si>
  <si>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</si>
  <si>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</si>
  <si>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</si>
  <si>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</si>
  <si>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</si>
  <si>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</si>
  <si>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</si>
  <si>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</si>
  <si>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</si>
  <si>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</si>
  <si>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</si>
  <si>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</si>
  <si>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</si>
  <si>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</si>
  <si>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</si>
  <si>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</si>
  <si>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</si>
  <si>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</si>
  <si>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</si>
  <si>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</si>
  <si>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</si>
  <si>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</si>
  <si>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</si>
  <si>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</si>
  <si>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</si>
  <si>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</si>
  <si>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</si>
  <si>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</si>
  <si>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</si>
  <si>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</si>
  <si>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</si>
  <si>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</si>
  <si>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</si>
  <si>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</si>
  <si>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</si>
  <si>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</si>
  <si>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</si>
  <si>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</si>
  <si>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</si>
  <si>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</si>
  <si>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</si>
  <si>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</si>
  <si>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</si>
  <si>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</si>
  <si>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</si>
  <si>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</si>
  <si>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</si>
  <si>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</si>
  <si>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</si>
  <si>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</si>
  <si>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</si>
  <si>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</si>
  <si>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</si>
  <si>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</si>
  <si>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</si>
  <si>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</si>
  <si>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</si>
  <si>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</si>
  <si>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</si>
  <si>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</si>
  <si>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</si>
  <si>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</si>
  <si>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</si>
  <si>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</si>
  <si>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</si>
  <si>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</si>
  <si>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</si>
  <si>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</si>
  <si>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</si>
  <si>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</si>
  <si>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</si>
  <si>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</si>
  <si>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</si>
  <si>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</si>
  <si>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</si>
  <si>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</si>
  <si>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</si>
  <si>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</si>
  <si>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</si>
  <si>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</si>
  <si>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</si>
  <si>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</si>
  <si>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</si>
  <si>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</si>
  <si>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</si>
  <si>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</si>
  <si>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</si>
  <si>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</si>
  <si>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</si>
  <si>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</si>
  <si>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</si>
  <si>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</si>
  <si>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</si>
  <si>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</si>
  <si>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</si>
  <si>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</si>
  <si>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</si>
  <si>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</si>
  <si>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</si>
  <si>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</si>
  <si>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</si>
  <si>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</si>
  <si>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</si>
  <si>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</si>
  <si>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</si>
  <si>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</si>
  <si>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</si>
  <si>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</si>
  <si>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</si>
  <si>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</si>
  <si>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</si>
  <si>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</si>
  <si>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</si>
  <si>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</si>
  <si>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</si>
  <si>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</si>
  <si>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</si>
  <si>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2000 DVMT (in thousands) and Mileage by County and Functional Class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</si>
  <si>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</si>
  <si>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</si>
  <si>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</si>
  <si>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</si>
  <si>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</si>
  <si>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July 17, 2001</t>
  </si>
  <si>
    <t>Rur/</t>
  </si>
  <si>
    <t>Urb</t>
  </si>
  <si>
    <t>2000</t>
  </si>
  <si>
    <t>DVMT</t>
  </si>
  <si>
    <t>Miles</t>
  </si>
  <si>
    <t>Total</t>
  </si>
  <si>
    <t>R/U/Uz</t>
  </si>
  <si>
    <t>Uz</t>
  </si>
</sst>
</file>

<file path=xl/styles.xml><?xml version="1.0" encoding="utf-8"?>
<styleSheet xmlns="http://schemas.openxmlformats.org/spreadsheetml/2006/main">
  <numFmts count="1">
    <numFmt numFmtId="164" formatCode="0.000"/>
  </numFmts>
  <fonts count="15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8"/>
      <color indexed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15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15" fontId="2" fillId="0" borderId="0" xfId="0" quotePrefix="1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4" fillId="0" borderId="1" xfId="2" applyFont="1" applyFill="1" applyBorder="1" applyAlignment="1">
      <alignment horizontal="right" wrapText="1"/>
    </xf>
    <xf numFmtId="49" fontId="2" fillId="0" borderId="0" xfId="0" applyNumberFormat="1" applyFont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1" fontId="5" fillId="0" borderId="1" xfId="1" applyNumberFormat="1" applyFont="1" applyFill="1" applyBorder="1" applyAlignment="1">
      <alignment horizontal="right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6" fillId="0" borderId="0" xfId="0" applyNumberFormat="1" applyFont="1"/>
    <xf numFmtId="3" fontId="3" fillId="0" borderId="0" xfId="0" quotePrefix="1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0" fontId="3" fillId="0" borderId="0" xfId="0" applyFont="1" applyAlignment="1">
      <alignment horizontal="right"/>
    </xf>
    <xf numFmtId="3" fontId="13" fillId="0" borderId="0" xfId="0" applyNumberFormat="1" applyFont="1"/>
    <xf numFmtId="0" fontId="2" fillId="0" borderId="0" xfId="0" applyFont="1" applyAlignment="1">
      <alignment horizontal="center"/>
    </xf>
  </cellXfs>
  <cellStyles count="3">
    <cellStyle name="Normal" xfId="0" builtinId="0"/>
    <cellStyle name="Normal_2000" xfId="1"/>
    <cellStyle name="Normal_VM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138" sqref="N138"/>
    </sheetView>
  </sheetViews>
  <sheetFormatPr defaultRowHeight="12.75"/>
  <cols>
    <col min="1" max="1" width="5.140625" customWidth="1"/>
    <col min="2" max="2" width="18.28515625" customWidth="1"/>
    <col min="3" max="3" width="5.7109375" style="33" customWidth="1"/>
    <col min="4" max="4" width="11.5703125" style="24" customWidth="1"/>
    <col min="5" max="5" width="10.85546875" customWidth="1"/>
    <col min="6" max="6" width="9.42578125" bestFit="1" customWidth="1"/>
    <col min="7" max="7" width="9.7109375" bestFit="1" customWidth="1"/>
    <col min="8" max="8" width="9.5703125" bestFit="1" customWidth="1"/>
    <col min="9" max="9" width="10" bestFit="1" customWidth="1"/>
    <col min="10" max="10" width="9.7109375" style="11" customWidth="1"/>
    <col min="11" max="11" width="6.5703125" style="17" customWidth="1"/>
    <col min="17" max="17" width="8.85546875" style="11" bestFit="1" customWidth="1"/>
    <col min="18" max="18" width="6.42578125" style="20" customWidth="1"/>
    <col min="25" max="25" width="12.5703125" customWidth="1"/>
    <col min="31" max="31" width="13.7109375" style="16" customWidth="1"/>
  </cols>
  <sheetData>
    <row r="1" spans="1:31" ht="15.75">
      <c r="A1" s="1"/>
      <c r="B1" s="2"/>
      <c r="C1" s="26"/>
      <c r="D1" s="22"/>
      <c r="E1" s="4"/>
      <c r="F1" s="4"/>
      <c r="G1" s="4"/>
      <c r="H1" s="4"/>
      <c r="I1" s="4"/>
      <c r="J1" s="3"/>
      <c r="L1" s="4"/>
      <c r="M1" s="4"/>
      <c r="N1" s="4"/>
      <c r="O1" s="4"/>
      <c r="P1" s="4"/>
      <c r="Q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2"/>
    </row>
    <row r="2" spans="1:31" ht="15.75">
      <c r="A2" s="4" t="s">
        <v>148</v>
      </c>
      <c r="B2" s="4"/>
      <c r="C2" s="27"/>
      <c r="D2" s="22"/>
      <c r="E2" s="4"/>
      <c r="F2" s="4"/>
      <c r="G2" s="4"/>
      <c r="H2" s="4"/>
      <c r="I2" s="4"/>
      <c r="J2" s="3"/>
      <c r="L2" s="4"/>
      <c r="M2" s="4"/>
      <c r="N2" s="4"/>
      <c r="O2" s="4"/>
      <c r="P2" s="4"/>
      <c r="Q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2"/>
    </row>
    <row r="3" spans="1:31" ht="15.75">
      <c r="A3" s="4" t="s">
        <v>149</v>
      </c>
      <c r="B3" s="4"/>
      <c r="C3" s="27"/>
      <c r="D3" s="22"/>
      <c r="E3" s="4"/>
      <c r="F3" s="4"/>
      <c r="G3" s="4"/>
      <c r="H3" s="4"/>
      <c r="I3" s="4"/>
      <c r="J3" s="3"/>
      <c r="L3" s="4"/>
      <c r="M3" s="4"/>
      <c r="N3" s="4"/>
      <c r="O3" s="4"/>
      <c r="P3" s="4"/>
      <c r="Q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2"/>
    </row>
    <row r="4" spans="1:31" ht="15.75">
      <c r="A4" s="4"/>
      <c r="B4" s="5" t="s">
        <v>154</v>
      </c>
      <c r="C4" s="28"/>
      <c r="D4" s="22"/>
      <c r="E4" s="4"/>
      <c r="F4" s="4"/>
      <c r="G4" s="4"/>
      <c r="H4" s="4"/>
      <c r="I4" s="4"/>
      <c r="J4" s="3"/>
      <c r="L4" s="4"/>
      <c r="M4" s="4"/>
      <c r="N4" s="4"/>
      <c r="O4" s="4"/>
      <c r="P4" s="4"/>
      <c r="Q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2"/>
    </row>
    <row r="5" spans="1:31" ht="15.75">
      <c r="A5" s="4"/>
      <c r="B5" s="4"/>
      <c r="C5" s="29" t="s">
        <v>155</v>
      </c>
      <c r="D5" s="25" t="s">
        <v>157</v>
      </c>
      <c r="E5" s="36" t="s">
        <v>0</v>
      </c>
      <c r="F5" s="36"/>
      <c r="G5" s="36"/>
      <c r="H5" s="36"/>
      <c r="I5" s="36"/>
      <c r="J5" s="36"/>
      <c r="K5" s="18"/>
      <c r="L5" s="36" t="s">
        <v>1</v>
      </c>
      <c r="M5" s="36"/>
      <c r="N5" s="36"/>
      <c r="O5" s="36"/>
      <c r="P5" s="36"/>
      <c r="Q5" s="36"/>
      <c r="R5" s="18"/>
      <c r="S5" s="36" t="s">
        <v>2</v>
      </c>
      <c r="T5" s="36"/>
      <c r="U5" s="36"/>
      <c r="V5" s="36"/>
      <c r="W5" s="36"/>
      <c r="X5" s="36"/>
      <c r="Y5" s="36" t="s">
        <v>3</v>
      </c>
      <c r="Z5" s="36"/>
      <c r="AA5" s="36"/>
      <c r="AB5" s="36"/>
      <c r="AC5" s="36"/>
      <c r="AD5" s="36"/>
      <c r="AE5" s="2"/>
    </row>
    <row r="6" spans="1:31" s="9" customFormat="1" ht="15.75">
      <c r="A6" s="6"/>
      <c r="B6" s="7" t="s">
        <v>4</v>
      </c>
      <c r="C6" s="30" t="s">
        <v>156</v>
      </c>
      <c r="D6" s="34" t="s">
        <v>160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8" t="s">
        <v>10</v>
      </c>
      <c r="K6" s="18"/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8" t="s">
        <v>10</v>
      </c>
      <c r="R6" s="18"/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 t="s">
        <v>5</v>
      </c>
      <c r="Z6" s="6" t="s">
        <v>11</v>
      </c>
      <c r="AA6" s="6" t="s">
        <v>6</v>
      </c>
      <c r="AB6" s="6" t="s">
        <v>7</v>
      </c>
      <c r="AC6" s="6" t="s">
        <v>12</v>
      </c>
      <c r="AD6" s="6" t="s">
        <v>10</v>
      </c>
      <c r="AE6" s="34" t="s">
        <v>13</v>
      </c>
    </row>
    <row r="7" spans="1:31" ht="15" customHeight="1">
      <c r="A7" s="4"/>
      <c r="B7" s="10"/>
      <c r="C7" s="31"/>
      <c r="D7" s="23" t="s">
        <v>158</v>
      </c>
      <c r="E7" s="14" t="s">
        <v>14</v>
      </c>
      <c r="F7" s="14" t="s">
        <v>15</v>
      </c>
      <c r="G7" s="14" t="s">
        <v>16</v>
      </c>
      <c r="H7" s="14" t="s">
        <v>17</v>
      </c>
      <c r="I7" s="14" t="s">
        <v>18</v>
      </c>
      <c r="J7" s="13" t="s">
        <v>150</v>
      </c>
      <c r="K7" s="18"/>
      <c r="L7" s="14" t="s">
        <v>19</v>
      </c>
      <c r="M7" s="14" t="s">
        <v>20</v>
      </c>
      <c r="N7" s="14" t="s">
        <v>21</v>
      </c>
      <c r="O7" s="14" t="s">
        <v>22</v>
      </c>
      <c r="P7" s="14" t="s">
        <v>23</v>
      </c>
      <c r="Q7" s="13" t="s">
        <v>25</v>
      </c>
      <c r="R7" s="18"/>
      <c r="S7" s="14" t="s">
        <v>14</v>
      </c>
      <c r="T7" s="14" t="s">
        <v>15</v>
      </c>
      <c r="U7" s="14" t="s">
        <v>16</v>
      </c>
      <c r="V7" s="14" t="s">
        <v>17</v>
      </c>
      <c r="W7" s="14" t="s">
        <v>18</v>
      </c>
      <c r="X7" s="14" t="s">
        <v>24</v>
      </c>
      <c r="Y7" s="14" t="s">
        <v>19</v>
      </c>
      <c r="Z7" s="14" t="s">
        <v>20</v>
      </c>
      <c r="AA7" s="14" t="s">
        <v>21</v>
      </c>
      <c r="AB7" s="14" t="s">
        <v>22</v>
      </c>
      <c r="AC7" s="14" t="s">
        <v>23</v>
      </c>
      <c r="AD7" s="14" t="s">
        <v>25</v>
      </c>
      <c r="AE7" s="34" t="s">
        <v>159</v>
      </c>
    </row>
    <row r="8" spans="1:31" ht="15" customHeight="1">
      <c r="A8" s="4">
        <v>1</v>
      </c>
      <c r="B8" s="10" t="s">
        <v>26</v>
      </c>
      <c r="C8" s="32" t="s">
        <v>151</v>
      </c>
      <c r="D8" s="22">
        <f t="shared" ref="D8:D39" si="0">SUM(E8:J8)+SUM(L8:Q8)</f>
        <v>499.68954493145822</v>
      </c>
      <c r="E8" s="15" t="s">
        <v>27</v>
      </c>
      <c r="F8" s="15">
        <v>167.55287900000002</v>
      </c>
      <c r="G8" s="15">
        <v>23.583504000000001</v>
      </c>
      <c r="H8" s="15">
        <v>173.30836700000003</v>
      </c>
      <c r="I8" s="15">
        <v>43.269139000000003</v>
      </c>
      <c r="J8" s="3">
        <v>91.975655931458164</v>
      </c>
      <c r="K8" s="19"/>
      <c r="L8" s="15" t="s">
        <v>27</v>
      </c>
      <c r="M8" s="15" t="s">
        <v>27</v>
      </c>
      <c r="N8" s="15" t="s">
        <v>27</v>
      </c>
      <c r="O8" s="15" t="s">
        <v>27</v>
      </c>
      <c r="P8" s="15" t="s">
        <v>27</v>
      </c>
      <c r="Q8" s="3" t="s">
        <v>27</v>
      </c>
      <c r="R8" s="19"/>
      <c r="S8" s="15" t="s">
        <v>27</v>
      </c>
      <c r="T8" s="15">
        <v>30.459000000000003</v>
      </c>
      <c r="U8" s="15">
        <v>9.2560000000000002</v>
      </c>
      <c r="V8" s="15">
        <v>85.44</v>
      </c>
      <c r="W8" s="15">
        <v>100.44399999999999</v>
      </c>
      <c r="X8" s="15">
        <v>621.63800000000003</v>
      </c>
      <c r="Y8" s="15" t="s">
        <v>27</v>
      </c>
      <c r="Z8" s="15" t="s">
        <v>27</v>
      </c>
      <c r="AA8" s="15" t="s">
        <v>27</v>
      </c>
      <c r="AB8" s="15" t="s">
        <v>27</v>
      </c>
      <c r="AC8" s="15" t="s">
        <v>27</v>
      </c>
      <c r="AD8" s="15" t="s">
        <v>27</v>
      </c>
      <c r="AE8" s="22">
        <f t="shared" ref="AE8:AE39" si="1">SUM(S8:AD8)</f>
        <v>847.23700000000008</v>
      </c>
    </row>
    <row r="9" spans="1:31" ht="15" customHeight="1">
      <c r="A9" s="4">
        <v>2</v>
      </c>
      <c r="B9" s="10" t="s">
        <v>28</v>
      </c>
      <c r="C9" s="32" t="s">
        <v>151</v>
      </c>
      <c r="D9" s="22">
        <f t="shared" si="0"/>
        <v>429.26134373557215</v>
      </c>
      <c r="E9" s="15" t="s">
        <v>27</v>
      </c>
      <c r="F9" s="15">
        <v>87.569721999999999</v>
      </c>
      <c r="G9" s="15">
        <v>48.761665999999998</v>
      </c>
      <c r="H9" s="15">
        <v>133.02618699999996</v>
      </c>
      <c r="I9" s="15">
        <v>58.913644999999988</v>
      </c>
      <c r="J9" s="3">
        <v>100.9901237355722</v>
      </c>
      <c r="K9" s="19"/>
      <c r="L9" s="15" t="s">
        <v>27</v>
      </c>
      <c r="M9" s="15" t="s">
        <v>27</v>
      </c>
      <c r="N9" s="15" t="s">
        <v>27</v>
      </c>
      <c r="O9" s="15" t="s">
        <v>27</v>
      </c>
      <c r="P9" s="15" t="s">
        <v>27</v>
      </c>
      <c r="Q9" s="3" t="s">
        <v>27</v>
      </c>
      <c r="R9" s="19"/>
      <c r="S9" s="15" t="s">
        <v>27</v>
      </c>
      <c r="T9" s="15">
        <v>17.684999999999999</v>
      </c>
      <c r="U9" s="15">
        <v>10.579000000000001</v>
      </c>
      <c r="V9" s="15">
        <v>64.207000000000008</v>
      </c>
      <c r="W9" s="15">
        <v>87.632000000000019</v>
      </c>
      <c r="X9" s="15">
        <v>516.85699999999997</v>
      </c>
      <c r="Y9" s="15" t="s">
        <v>27</v>
      </c>
      <c r="Z9" s="15" t="s">
        <v>27</v>
      </c>
      <c r="AA9" s="15" t="s">
        <v>27</v>
      </c>
      <c r="AB9" s="15" t="s">
        <v>27</v>
      </c>
      <c r="AC9" s="15" t="s">
        <v>27</v>
      </c>
      <c r="AD9" s="15" t="s">
        <v>27</v>
      </c>
      <c r="AE9" s="22">
        <f t="shared" si="1"/>
        <v>696.96</v>
      </c>
    </row>
    <row r="10" spans="1:31" ht="15" customHeight="1">
      <c r="A10" s="4">
        <v>3</v>
      </c>
      <c r="B10" s="10" t="s">
        <v>29</v>
      </c>
      <c r="C10" s="32" t="s">
        <v>152</v>
      </c>
      <c r="D10" s="22">
        <f t="shared" si="0"/>
        <v>574.21478450356517</v>
      </c>
      <c r="E10" s="15" t="s">
        <v>27</v>
      </c>
      <c r="F10" s="15">
        <v>283.11715299999997</v>
      </c>
      <c r="G10" s="15">
        <v>24.089423999999998</v>
      </c>
      <c r="H10" s="15">
        <v>65.110385000000008</v>
      </c>
      <c r="I10" s="15">
        <v>40.892703999999995</v>
      </c>
      <c r="J10" s="3">
        <v>43.116942304969449</v>
      </c>
      <c r="K10" s="19"/>
      <c r="L10" s="15" t="s">
        <v>27</v>
      </c>
      <c r="M10" s="15" t="s">
        <v>27</v>
      </c>
      <c r="N10" s="15">
        <v>32.845375999999995</v>
      </c>
      <c r="O10" s="15">
        <v>31.378879999999999</v>
      </c>
      <c r="P10" s="15">
        <v>23.349737999999999</v>
      </c>
      <c r="Q10" s="3">
        <v>30.314182198595748</v>
      </c>
      <c r="R10" s="19"/>
      <c r="S10" s="15" t="s">
        <v>27</v>
      </c>
      <c r="T10" s="15">
        <v>22.443999999999999</v>
      </c>
      <c r="U10" s="15">
        <v>4.5869999999999997</v>
      </c>
      <c r="V10" s="15">
        <v>44.496000000000009</v>
      </c>
      <c r="W10" s="15">
        <v>54.5</v>
      </c>
      <c r="X10" s="15">
        <v>206.03399999999999</v>
      </c>
      <c r="Y10" s="15" t="s">
        <v>27</v>
      </c>
      <c r="Z10" s="15" t="s">
        <v>27</v>
      </c>
      <c r="AA10" s="15">
        <v>2.1379999999999999</v>
      </c>
      <c r="AB10" s="15">
        <v>3.448</v>
      </c>
      <c r="AC10" s="15">
        <v>4.29</v>
      </c>
      <c r="AD10" s="15">
        <v>42</v>
      </c>
      <c r="AE10" s="22">
        <f t="shared" si="1"/>
        <v>383.93700000000001</v>
      </c>
    </row>
    <row r="11" spans="1:31" ht="15" customHeight="1">
      <c r="A11" s="4">
        <v>4</v>
      </c>
      <c r="B11" s="10" t="s">
        <v>30</v>
      </c>
      <c r="C11" s="32" t="s">
        <v>151</v>
      </c>
      <c r="D11" s="22">
        <f t="shared" si="0"/>
        <v>272.16963246738533</v>
      </c>
      <c r="E11" s="15" t="s">
        <v>27</v>
      </c>
      <c r="F11" s="15">
        <v>141.895521</v>
      </c>
      <c r="G11" s="15">
        <v>16.128084000000001</v>
      </c>
      <c r="H11" s="15">
        <v>58.577826999999999</v>
      </c>
      <c r="I11" s="15">
        <v>20.105953000000003</v>
      </c>
      <c r="J11" s="3">
        <v>35.462247467385325</v>
      </c>
      <c r="K11" s="19"/>
      <c r="L11" s="15" t="s">
        <v>27</v>
      </c>
      <c r="M11" s="15" t="s">
        <v>27</v>
      </c>
      <c r="N11" s="15" t="s">
        <v>27</v>
      </c>
      <c r="O11" s="15" t="s">
        <v>27</v>
      </c>
      <c r="P11" s="15" t="s">
        <v>27</v>
      </c>
      <c r="Q11" s="3" t="s">
        <v>27</v>
      </c>
      <c r="R11" s="19"/>
      <c r="S11" s="15" t="s">
        <v>27</v>
      </c>
      <c r="T11" s="15">
        <v>25.234000000000002</v>
      </c>
      <c r="U11" s="15">
        <v>8.609</v>
      </c>
      <c r="V11" s="15">
        <v>40.572000000000003</v>
      </c>
      <c r="W11" s="15">
        <v>62.404000000000003</v>
      </c>
      <c r="X11" s="15">
        <v>287.37200000000001</v>
      </c>
      <c r="Y11" s="15" t="s">
        <v>27</v>
      </c>
      <c r="Z11" s="15" t="s">
        <v>27</v>
      </c>
      <c r="AA11" s="15" t="s">
        <v>27</v>
      </c>
      <c r="AB11" s="15" t="s">
        <v>27</v>
      </c>
      <c r="AC11" s="15" t="s">
        <v>27</v>
      </c>
      <c r="AD11" s="15" t="s">
        <v>27</v>
      </c>
      <c r="AE11" s="22">
        <f t="shared" si="1"/>
        <v>424.19100000000003</v>
      </c>
    </row>
    <row r="12" spans="1:31" ht="15" customHeight="1">
      <c r="A12" s="4">
        <v>5</v>
      </c>
      <c r="B12" s="10" t="s">
        <v>31</v>
      </c>
      <c r="C12" s="32" t="s">
        <v>152</v>
      </c>
      <c r="D12" s="22">
        <f t="shared" si="0"/>
        <v>1332.1710131373727</v>
      </c>
      <c r="E12" s="15">
        <v>260.87408200000004</v>
      </c>
      <c r="F12" s="15">
        <v>106.9314</v>
      </c>
      <c r="G12" s="15">
        <v>202.97411100000002</v>
      </c>
      <c r="H12" s="15">
        <v>216.049823</v>
      </c>
      <c r="I12" s="15">
        <v>76.155029999999996</v>
      </c>
      <c r="J12" s="3">
        <v>130.86824496846427</v>
      </c>
      <c r="K12" s="19"/>
      <c r="L12" s="15" t="s">
        <v>27</v>
      </c>
      <c r="M12" s="15">
        <v>32.486669999999997</v>
      </c>
      <c r="N12" s="15">
        <v>117.65753400000001</v>
      </c>
      <c r="O12" s="15">
        <v>120.78613900000001</v>
      </c>
      <c r="P12" s="15">
        <v>27.083979999999997</v>
      </c>
      <c r="Q12" s="3">
        <v>40.303999168908334</v>
      </c>
      <c r="R12" s="19"/>
      <c r="S12" s="15">
        <v>8.4380000000000006</v>
      </c>
      <c r="T12" s="15">
        <v>18.306000000000001</v>
      </c>
      <c r="U12" s="15">
        <v>30.614999999999998</v>
      </c>
      <c r="V12" s="15">
        <v>96.603999999999999</v>
      </c>
      <c r="W12" s="15">
        <v>126.22499999999999</v>
      </c>
      <c r="X12" s="15">
        <v>716.62400000000002</v>
      </c>
      <c r="Y12" s="15" t="s">
        <v>27</v>
      </c>
      <c r="Z12" s="15">
        <v>4.0510000000000002</v>
      </c>
      <c r="AA12" s="15">
        <v>7.7629999999999981</v>
      </c>
      <c r="AB12" s="15">
        <v>16.992999999999999</v>
      </c>
      <c r="AC12" s="15">
        <v>10.118</v>
      </c>
      <c r="AD12" s="15">
        <v>87</v>
      </c>
      <c r="AE12" s="22">
        <f t="shared" si="1"/>
        <v>1122.7370000000001</v>
      </c>
    </row>
    <row r="13" spans="1:31" ht="15" customHeight="1">
      <c r="A13" s="4">
        <v>6</v>
      </c>
      <c r="B13" s="10" t="s">
        <v>32</v>
      </c>
      <c r="C13" s="32" t="s">
        <v>151</v>
      </c>
      <c r="D13" s="22">
        <f t="shared" si="0"/>
        <v>485.69189530690551</v>
      </c>
      <c r="E13" s="15">
        <v>248.36951899999997</v>
      </c>
      <c r="F13" s="15" t="s">
        <v>27</v>
      </c>
      <c r="G13" s="15">
        <v>33.341542999999994</v>
      </c>
      <c r="H13" s="15">
        <v>130.48578099999997</v>
      </c>
      <c r="I13" s="15">
        <v>26.101568</v>
      </c>
      <c r="J13" s="3">
        <v>47.393484306905592</v>
      </c>
      <c r="K13" s="19"/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3" t="s">
        <v>27</v>
      </c>
      <c r="R13" s="19"/>
      <c r="S13" s="15">
        <v>13.308</v>
      </c>
      <c r="T13" s="15" t="s">
        <v>27</v>
      </c>
      <c r="U13" s="15">
        <v>12.748999999999999</v>
      </c>
      <c r="V13" s="15">
        <v>66.655000000000001</v>
      </c>
      <c r="W13" s="15">
        <v>51.68</v>
      </c>
      <c r="X13" s="15">
        <v>290.012</v>
      </c>
      <c r="Y13" s="15" t="s">
        <v>27</v>
      </c>
      <c r="Z13" s="15" t="s">
        <v>27</v>
      </c>
      <c r="AA13" s="15" t="s">
        <v>27</v>
      </c>
      <c r="AB13" s="15" t="s">
        <v>27</v>
      </c>
      <c r="AC13" s="15" t="s">
        <v>27</v>
      </c>
      <c r="AD13" s="15" t="s">
        <v>27</v>
      </c>
      <c r="AE13" s="22">
        <f t="shared" si="1"/>
        <v>434.404</v>
      </c>
    </row>
    <row r="14" spans="1:31" ht="15" customHeight="1">
      <c r="A14" s="4">
        <v>7</v>
      </c>
      <c r="B14" s="10" t="s">
        <v>33</v>
      </c>
      <c r="C14" s="32" t="s">
        <v>152</v>
      </c>
      <c r="D14" s="22">
        <f t="shared" si="0"/>
        <v>889.49990666238659</v>
      </c>
      <c r="E14" s="15" t="s">
        <v>27</v>
      </c>
      <c r="F14" s="15">
        <v>399.01114200000001</v>
      </c>
      <c r="G14" s="15" t="s">
        <v>27</v>
      </c>
      <c r="H14" s="15">
        <v>155.822869</v>
      </c>
      <c r="I14" s="15">
        <v>45.479861000000007</v>
      </c>
      <c r="J14" s="3">
        <v>61.897498946642415</v>
      </c>
      <c r="K14" s="19"/>
      <c r="L14" s="15" t="s">
        <v>27</v>
      </c>
      <c r="M14" s="15" t="s">
        <v>27</v>
      </c>
      <c r="N14" s="15">
        <v>68.459353000000007</v>
      </c>
      <c r="O14" s="15">
        <v>83.32913499999998</v>
      </c>
      <c r="P14" s="15">
        <v>38.302624999999999</v>
      </c>
      <c r="Q14" s="3">
        <v>37.197422715744239</v>
      </c>
      <c r="R14" s="19"/>
      <c r="S14" s="15" t="s">
        <v>27</v>
      </c>
      <c r="T14" s="15">
        <v>31.611999999999998</v>
      </c>
      <c r="U14" s="15" t="s">
        <v>27</v>
      </c>
      <c r="V14" s="15">
        <v>99.129000000000005</v>
      </c>
      <c r="W14" s="15">
        <v>54.343000000000004</v>
      </c>
      <c r="X14" s="15">
        <v>276.26900000000001</v>
      </c>
      <c r="Y14" s="15" t="s">
        <v>27</v>
      </c>
      <c r="Z14" s="15" t="s">
        <v>27</v>
      </c>
      <c r="AA14" s="15">
        <v>2.855</v>
      </c>
      <c r="AB14" s="15">
        <v>9.5279999999999987</v>
      </c>
      <c r="AC14" s="15">
        <v>10.93</v>
      </c>
      <c r="AD14" s="15">
        <v>67.855999999999995</v>
      </c>
      <c r="AE14" s="22">
        <f t="shared" si="1"/>
        <v>552.52200000000005</v>
      </c>
    </row>
    <row r="15" spans="1:31" ht="15" customHeight="1">
      <c r="A15" s="4">
        <v>8</v>
      </c>
      <c r="B15" s="10" t="s">
        <v>34</v>
      </c>
      <c r="C15" s="32" t="s">
        <v>153</v>
      </c>
      <c r="D15" s="22">
        <f t="shared" si="0"/>
        <v>3714.6153786941532</v>
      </c>
      <c r="E15" s="15">
        <v>831.51821699999994</v>
      </c>
      <c r="F15" s="15" t="s">
        <v>27</v>
      </c>
      <c r="G15" s="15" t="s">
        <v>27</v>
      </c>
      <c r="H15" s="15">
        <v>183.40918500000001</v>
      </c>
      <c r="I15" s="15">
        <v>57.457273999999998</v>
      </c>
      <c r="J15" s="3">
        <v>58.529376747402758</v>
      </c>
      <c r="K15" s="19"/>
      <c r="L15" s="15">
        <v>1250.4868859999999</v>
      </c>
      <c r="M15" s="15" t="s">
        <v>27</v>
      </c>
      <c r="N15" s="15" t="s">
        <v>27</v>
      </c>
      <c r="O15" s="15">
        <v>696.00106600000004</v>
      </c>
      <c r="P15" s="15">
        <v>315.97021799999999</v>
      </c>
      <c r="Q15" s="3">
        <v>321.24315594675085</v>
      </c>
      <c r="R15" s="19"/>
      <c r="S15" s="15">
        <v>19.41</v>
      </c>
      <c r="T15" s="15" t="s">
        <v>27</v>
      </c>
      <c r="U15" s="15" t="s">
        <v>27</v>
      </c>
      <c r="V15" s="15">
        <v>57.698</v>
      </c>
      <c r="W15" s="15">
        <v>54.713999999999999</v>
      </c>
      <c r="X15" s="15">
        <v>226.697</v>
      </c>
      <c r="Y15" s="15">
        <v>14.573</v>
      </c>
      <c r="Z15" s="15" t="s">
        <v>27</v>
      </c>
      <c r="AA15" s="15" t="s">
        <v>27</v>
      </c>
      <c r="AB15" s="15">
        <v>44.220999999999997</v>
      </c>
      <c r="AC15" s="15">
        <v>33.756</v>
      </c>
      <c r="AD15" s="15">
        <v>317.18700000000001</v>
      </c>
      <c r="AE15" s="22">
        <f t="shared" si="1"/>
        <v>768.25599999999997</v>
      </c>
    </row>
    <row r="16" spans="1:31" ht="15" customHeight="1">
      <c r="A16" s="4">
        <v>9</v>
      </c>
      <c r="B16" s="10" t="s">
        <v>35</v>
      </c>
      <c r="C16" s="32" t="s">
        <v>152</v>
      </c>
      <c r="D16" s="22">
        <f t="shared" si="0"/>
        <v>576.9980373893784</v>
      </c>
      <c r="E16" s="15" t="s">
        <v>27</v>
      </c>
      <c r="F16" s="15">
        <v>121.593254</v>
      </c>
      <c r="G16" s="15">
        <v>114.32632900000002</v>
      </c>
      <c r="H16" s="15">
        <v>40.325679999999998</v>
      </c>
      <c r="I16" s="15">
        <v>55.916645999999993</v>
      </c>
      <c r="J16" s="3">
        <v>44.316215656051547</v>
      </c>
      <c r="K16" s="19"/>
      <c r="L16" s="15" t="s">
        <v>27</v>
      </c>
      <c r="M16" s="15" t="s">
        <v>27</v>
      </c>
      <c r="N16" s="15">
        <v>108.43881400000001</v>
      </c>
      <c r="O16" s="15">
        <v>56.703318999999993</v>
      </c>
      <c r="P16" s="15">
        <v>19.097949999999997</v>
      </c>
      <c r="Q16" s="3">
        <v>16.279829733326761</v>
      </c>
      <c r="R16" s="19"/>
      <c r="S16" s="15" t="s">
        <v>27</v>
      </c>
      <c r="T16" s="15">
        <v>12.625</v>
      </c>
      <c r="U16" s="15">
        <v>35.676000000000002</v>
      </c>
      <c r="V16" s="15">
        <v>25.67</v>
      </c>
      <c r="W16" s="15">
        <v>64.332000000000008</v>
      </c>
      <c r="X16" s="15">
        <v>193.17500000000001</v>
      </c>
      <c r="Y16" s="15" t="s">
        <v>27</v>
      </c>
      <c r="Z16" s="15" t="s">
        <v>27</v>
      </c>
      <c r="AA16" s="15">
        <v>9.8129999999999988</v>
      </c>
      <c r="AB16" s="15">
        <v>8.3730000000000011</v>
      </c>
      <c r="AC16" s="15">
        <v>7.7479999999999993</v>
      </c>
      <c r="AD16" s="15">
        <v>37</v>
      </c>
      <c r="AE16" s="22">
        <f t="shared" si="1"/>
        <v>394.41199999999998</v>
      </c>
    </row>
    <row r="17" spans="1:31" ht="15" customHeight="1">
      <c r="A17" s="4">
        <v>10</v>
      </c>
      <c r="B17" s="10" t="s">
        <v>36</v>
      </c>
      <c r="C17" s="32" t="s">
        <v>153</v>
      </c>
      <c r="D17" s="22">
        <f t="shared" si="0"/>
        <v>1348.71938822076</v>
      </c>
      <c r="E17" s="15">
        <v>189.50485500000002</v>
      </c>
      <c r="F17" s="15">
        <v>125.18779100000002</v>
      </c>
      <c r="G17" s="15" t="s">
        <v>27</v>
      </c>
      <c r="H17" s="15">
        <v>113.57116400000001</v>
      </c>
      <c r="I17" s="15">
        <v>18.233837999999999</v>
      </c>
      <c r="J17" s="3">
        <v>32.304755972226602</v>
      </c>
      <c r="K17" s="19"/>
      <c r="L17" s="15" t="s">
        <v>27</v>
      </c>
      <c r="M17" s="15" t="s">
        <v>27</v>
      </c>
      <c r="N17" s="15">
        <v>466.61487199999999</v>
      </c>
      <c r="O17" s="15">
        <v>139.18015199999999</v>
      </c>
      <c r="P17" s="15">
        <v>124.19443800000001</v>
      </c>
      <c r="Q17" s="3">
        <v>139.92752224853336</v>
      </c>
      <c r="R17" s="19"/>
      <c r="S17" s="15">
        <v>10.695</v>
      </c>
      <c r="T17" s="15">
        <v>11.318000000000001</v>
      </c>
      <c r="U17" s="15" t="s">
        <v>27</v>
      </c>
      <c r="V17" s="15">
        <v>39.331000000000003</v>
      </c>
      <c r="W17" s="15">
        <v>35.215000000000003</v>
      </c>
      <c r="X17" s="15">
        <v>194.631</v>
      </c>
      <c r="Y17" s="15" t="s">
        <v>27</v>
      </c>
      <c r="Z17" s="15" t="s">
        <v>27</v>
      </c>
      <c r="AA17" s="15">
        <v>21.636999999999997</v>
      </c>
      <c r="AB17" s="15">
        <v>17.997999999999998</v>
      </c>
      <c r="AC17" s="15">
        <v>31.881</v>
      </c>
      <c r="AD17" s="15">
        <v>238.92500000000001</v>
      </c>
      <c r="AE17" s="22">
        <f t="shared" si="1"/>
        <v>601.63100000000009</v>
      </c>
    </row>
    <row r="18" spans="1:31" ht="15" customHeight="1">
      <c r="A18" s="4">
        <v>11</v>
      </c>
      <c r="B18" s="10" t="s">
        <v>37</v>
      </c>
      <c r="C18" s="32" t="s">
        <v>152</v>
      </c>
      <c r="D18" s="22">
        <f t="shared" si="0"/>
        <v>716.72824598176453</v>
      </c>
      <c r="E18" s="15" t="s">
        <v>27</v>
      </c>
      <c r="F18" s="15">
        <v>131.06857699999998</v>
      </c>
      <c r="G18" s="15">
        <v>84.063020000000009</v>
      </c>
      <c r="H18" s="15">
        <v>65.715679000000009</v>
      </c>
      <c r="I18" s="15">
        <v>33.663993999999995</v>
      </c>
      <c r="J18" s="3">
        <v>33.510651653707257</v>
      </c>
      <c r="K18" s="19"/>
      <c r="L18" s="15" t="s">
        <v>27</v>
      </c>
      <c r="M18" s="15" t="s">
        <v>27</v>
      </c>
      <c r="N18" s="15">
        <v>241.521444</v>
      </c>
      <c r="O18" s="15">
        <v>53.448948000000001</v>
      </c>
      <c r="P18" s="15">
        <v>35.875655000000002</v>
      </c>
      <c r="Q18" s="3">
        <v>37.860277328057244</v>
      </c>
      <c r="R18" s="19"/>
      <c r="S18" s="15" t="s">
        <v>27</v>
      </c>
      <c r="T18" s="15">
        <v>11.77</v>
      </c>
      <c r="U18" s="15">
        <v>16.582999999999998</v>
      </c>
      <c r="V18" s="15">
        <v>30.716000000000008</v>
      </c>
      <c r="W18" s="15">
        <v>52.526000000000003</v>
      </c>
      <c r="X18" s="15">
        <v>176.70400000000001</v>
      </c>
      <c r="Y18" s="15" t="s">
        <v>27</v>
      </c>
      <c r="Z18" s="15" t="s">
        <v>27</v>
      </c>
      <c r="AA18" s="15">
        <v>16.835999999999999</v>
      </c>
      <c r="AB18" s="15">
        <v>9.2040000000000006</v>
      </c>
      <c r="AC18" s="15">
        <v>9.52</v>
      </c>
      <c r="AD18" s="15">
        <v>66</v>
      </c>
      <c r="AE18" s="22">
        <f t="shared" si="1"/>
        <v>389.85899999999998</v>
      </c>
    </row>
    <row r="19" spans="1:31" ht="15" customHeight="1">
      <c r="A19" s="4">
        <v>12</v>
      </c>
      <c r="B19" s="10" t="s">
        <v>38</v>
      </c>
      <c r="C19" s="32" t="s">
        <v>151</v>
      </c>
      <c r="D19" s="22">
        <f t="shared" si="0"/>
        <v>294.19756755199035</v>
      </c>
      <c r="E19" s="15" t="s">
        <v>27</v>
      </c>
      <c r="F19" s="15">
        <v>152.660616</v>
      </c>
      <c r="G19" s="15" t="s">
        <v>27</v>
      </c>
      <c r="H19" s="15">
        <v>84.831797000000009</v>
      </c>
      <c r="I19" s="15">
        <v>20.708809000000002</v>
      </c>
      <c r="J19" s="3">
        <v>35.996345551990295</v>
      </c>
      <c r="K19" s="19"/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3" t="s">
        <v>27</v>
      </c>
      <c r="R19" s="19"/>
      <c r="S19" s="15" t="s">
        <v>27</v>
      </c>
      <c r="T19" s="15">
        <v>19.856999999999999</v>
      </c>
      <c r="U19" s="15" t="s">
        <v>27</v>
      </c>
      <c r="V19" s="15">
        <v>69.241</v>
      </c>
      <c r="W19" s="15">
        <v>45.47</v>
      </c>
      <c r="X19" s="15">
        <v>234.97300000000001</v>
      </c>
      <c r="Y19" s="15" t="s">
        <v>27</v>
      </c>
      <c r="Z19" s="15" t="s">
        <v>27</v>
      </c>
      <c r="AA19" s="15" t="s">
        <v>27</v>
      </c>
      <c r="AB19" s="15" t="s">
        <v>27</v>
      </c>
      <c r="AC19" s="15" t="s">
        <v>27</v>
      </c>
      <c r="AD19" s="15" t="s">
        <v>27</v>
      </c>
      <c r="AE19" s="22">
        <f t="shared" si="1"/>
        <v>369.541</v>
      </c>
    </row>
    <row r="20" spans="1:31" ht="15" customHeight="1">
      <c r="A20" s="4">
        <v>13</v>
      </c>
      <c r="B20" s="10" t="s">
        <v>39</v>
      </c>
      <c r="C20" s="32" t="s">
        <v>151</v>
      </c>
      <c r="D20" s="22">
        <f t="shared" si="0"/>
        <v>431.98553443052737</v>
      </c>
      <c r="E20" s="15" t="s">
        <v>27</v>
      </c>
      <c r="F20" s="15">
        <v>211.556366</v>
      </c>
      <c r="G20" s="15" t="s">
        <v>27</v>
      </c>
      <c r="H20" s="15">
        <v>100.94782300000001</v>
      </c>
      <c r="I20" s="15">
        <v>68.903796</v>
      </c>
      <c r="J20" s="3">
        <v>50.577549430527348</v>
      </c>
      <c r="K20" s="19"/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3" t="s">
        <v>27</v>
      </c>
      <c r="R20" s="19"/>
      <c r="S20" s="15" t="s">
        <v>27</v>
      </c>
      <c r="T20" s="15">
        <v>27.504999999999999</v>
      </c>
      <c r="U20" s="15" t="s">
        <v>27</v>
      </c>
      <c r="V20" s="15">
        <v>76.194999999999993</v>
      </c>
      <c r="W20" s="15">
        <v>141.51799999999997</v>
      </c>
      <c r="X20" s="15">
        <v>316.66300000000001</v>
      </c>
      <c r="Y20" s="15" t="s">
        <v>27</v>
      </c>
      <c r="Z20" s="15" t="s">
        <v>27</v>
      </c>
      <c r="AA20" s="15" t="s">
        <v>27</v>
      </c>
      <c r="AB20" s="15" t="s">
        <v>27</v>
      </c>
      <c r="AC20" s="15" t="s">
        <v>27</v>
      </c>
      <c r="AD20" s="15" t="s">
        <v>27</v>
      </c>
      <c r="AE20" s="22">
        <f t="shared" si="1"/>
        <v>561.88099999999997</v>
      </c>
    </row>
    <row r="21" spans="1:31" ht="15" customHeight="1">
      <c r="A21" s="4">
        <v>14</v>
      </c>
      <c r="B21" s="10" t="s">
        <v>40</v>
      </c>
      <c r="C21" s="32" t="s">
        <v>151</v>
      </c>
      <c r="D21" s="22">
        <f t="shared" si="0"/>
        <v>443.31727292319192</v>
      </c>
      <c r="E21" s="15" t="s">
        <v>27</v>
      </c>
      <c r="F21" s="15">
        <v>141.84668900000003</v>
      </c>
      <c r="G21" s="15">
        <v>43.705716000000002</v>
      </c>
      <c r="H21" s="15">
        <v>94.163814000000002</v>
      </c>
      <c r="I21" s="15">
        <v>60.189520999999985</v>
      </c>
      <c r="J21" s="3">
        <v>103.41153292319187</v>
      </c>
      <c r="K21" s="19"/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3" t="s">
        <v>27</v>
      </c>
      <c r="R21" s="19"/>
      <c r="S21" s="15" t="s">
        <v>27</v>
      </c>
      <c r="T21" s="15">
        <v>31.321000000000002</v>
      </c>
      <c r="U21" s="15">
        <v>17.597000000000001</v>
      </c>
      <c r="V21" s="15">
        <v>77.272000000000006</v>
      </c>
      <c r="W21" s="15">
        <v>144.25899999999999</v>
      </c>
      <c r="X21" s="15">
        <v>713.02300000000002</v>
      </c>
      <c r="Y21" s="15" t="s">
        <v>27</v>
      </c>
      <c r="Z21" s="15" t="s">
        <v>27</v>
      </c>
      <c r="AA21" s="15" t="s">
        <v>27</v>
      </c>
      <c r="AB21" s="15" t="s">
        <v>27</v>
      </c>
      <c r="AC21" s="15" t="s">
        <v>27</v>
      </c>
      <c r="AD21" s="15" t="s">
        <v>27</v>
      </c>
      <c r="AE21" s="22">
        <f t="shared" si="1"/>
        <v>983.47199999999998</v>
      </c>
    </row>
    <row r="22" spans="1:31" ht="15" customHeight="1">
      <c r="A22" s="4">
        <v>15</v>
      </c>
      <c r="B22" s="10" t="s">
        <v>41</v>
      </c>
      <c r="C22" s="32" t="s">
        <v>161</v>
      </c>
      <c r="D22" s="22">
        <f t="shared" si="0"/>
        <v>2077.8867727834458</v>
      </c>
      <c r="E22" s="15">
        <v>898.23463100000004</v>
      </c>
      <c r="F22" s="15">
        <v>19.517079000000003</v>
      </c>
      <c r="G22" s="15">
        <v>59.067758999999995</v>
      </c>
      <c r="H22" s="15">
        <v>322.80280500000003</v>
      </c>
      <c r="I22" s="15">
        <v>76.379749999999987</v>
      </c>
      <c r="J22" s="3">
        <v>95.630314213457822</v>
      </c>
      <c r="K22" s="19"/>
      <c r="L22" s="15">
        <v>316.75558400000006</v>
      </c>
      <c r="M22" s="15" t="s">
        <v>27</v>
      </c>
      <c r="N22" s="15">
        <v>79.736018999999999</v>
      </c>
      <c r="O22" s="15">
        <v>80.241507999999996</v>
      </c>
      <c r="P22" s="15">
        <v>53.654001999999998</v>
      </c>
      <c r="Q22" s="3">
        <v>75.867321569987794</v>
      </c>
      <c r="R22" s="19"/>
      <c r="S22" s="15">
        <v>15.68</v>
      </c>
      <c r="T22" s="15">
        <v>1.427</v>
      </c>
      <c r="U22" s="15">
        <v>6.3849999999999998</v>
      </c>
      <c r="V22" s="15">
        <v>59.6</v>
      </c>
      <c r="W22" s="15">
        <v>60.332000000000008</v>
      </c>
      <c r="X22" s="15">
        <v>329.56700000000001</v>
      </c>
      <c r="Y22" s="15">
        <v>4.1920000000000002</v>
      </c>
      <c r="Z22" s="15" t="s">
        <v>27</v>
      </c>
      <c r="AA22" s="15">
        <v>5.4059999999999997</v>
      </c>
      <c r="AB22" s="15">
        <v>10.3</v>
      </c>
      <c r="AC22" s="15">
        <v>9.2899999999999991</v>
      </c>
      <c r="AD22" s="15">
        <v>101.289</v>
      </c>
      <c r="AE22" s="22">
        <f t="shared" si="1"/>
        <v>603.46800000000007</v>
      </c>
    </row>
    <row r="23" spans="1:31" ht="15" customHeight="1">
      <c r="A23" s="4">
        <v>16</v>
      </c>
      <c r="B23" s="10" t="s">
        <v>42</v>
      </c>
      <c r="C23" s="32" t="s">
        <v>151</v>
      </c>
      <c r="D23" s="22">
        <f t="shared" si="0"/>
        <v>480.07310391547861</v>
      </c>
      <c r="E23" s="15" t="s">
        <v>27</v>
      </c>
      <c r="F23" s="15">
        <v>156.89216700000003</v>
      </c>
      <c r="G23" s="15" t="s">
        <v>27</v>
      </c>
      <c r="H23" s="15">
        <v>195.85563300000001</v>
      </c>
      <c r="I23" s="15">
        <v>51.432121999999993</v>
      </c>
      <c r="J23" s="3">
        <v>75.893181915478593</v>
      </c>
      <c r="K23" s="19"/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3" t="s">
        <v>27</v>
      </c>
      <c r="R23" s="19"/>
      <c r="S23" s="15" t="s">
        <v>27</v>
      </c>
      <c r="T23" s="15">
        <v>17.968</v>
      </c>
      <c r="U23" s="15" t="s">
        <v>27</v>
      </c>
      <c r="V23" s="15">
        <v>91.137000000000015</v>
      </c>
      <c r="W23" s="15">
        <v>120.95700000000002</v>
      </c>
      <c r="X23" s="15">
        <v>517.12800000000004</v>
      </c>
      <c r="Y23" s="15" t="s">
        <v>27</v>
      </c>
      <c r="Z23" s="15" t="s">
        <v>27</v>
      </c>
      <c r="AA23" s="15" t="s">
        <v>27</v>
      </c>
      <c r="AB23" s="15" t="s">
        <v>27</v>
      </c>
      <c r="AC23" s="15" t="s">
        <v>27</v>
      </c>
      <c r="AD23" s="15" t="s">
        <v>27</v>
      </c>
      <c r="AE23" s="22">
        <f t="shared" si="1"/>
        <v>747.19</v>
      </c>
    </row>
    <row r="24" spans="1:31" ht="15" customHeight="1">
      <c r="A24" s="4">
        <v>17</v>
      </c>
      <c r="B24" s="10" t="s">
        <v>43</v>
      </c>
      <c r="C24" s="32" t="s">
        <v>152</v>
      </c>
      <c r="D24" s="22">
        <f t="shared" si="0"/>
        <v>521.36929814036159</v>
      </c>
      <c r="E24" s="15">
        <v>37.909548000000001</v>
      </c>
      <c r="F24" s="15">
        <v>132.37520599999999</v>
      </c>
      <c r="G24" s="15">
        <v>15.836672999999999</v>
      </c>
      <c r="H24" s="15">
        <v>115.99164599999997</v>
      </c>
      <c r="I24" s="15">
        <v>27.589508000000002</v>
      </c>
      <c r="J24" s="3">
        <v>51.104840889507635</v>
      </c>
      <c r="K24" s="19"/>
      <c r="L24" s="15" t="s">
        <v>27</v>
      </c>
      <c r="M24" s="15" t="s">
        <v>27</v>
      </c>
      <c r="N24" s="15">
        <v>4.6748099999999999</v>
      </c>
      <c r="O24" s="15">
        <v>105.749432</v>
      </c>
      <c r="P24" s="15">
        <v>10.587734000000001</v>
      </c>
      <c r="Q24" s="3">
        <v>19.549900250853977</v>
      </c>
      <c r="R24" s="19"/>
      <c r="S24" s="15">
        <v>2.5470000000000002</v>
      </c>
      <c r="T24" s="15">
        <v>15.562999999999999</v>
      </c>
      <c r="U24" s="15">
        <v>4.6289999999999996</v>
      </c>
      <c r="V24" s="15">
        <v>73.846000000000004</v>
      </c>
      <c r="W24" s="15">
        <v>76.745000000000005</v>
      </c>
      <c r="X24" s="15">
        <v>386.733</v>
      </c>
      <c r="Y24" s="15" t="s">
        <v>27</v>
      </c>
      <c r="Z24" s="15" t="s">
        <v>27</v>
      </c>
      <c r="AA24" s="15">
        <v>0.59099999999999997</v>
      </c>
      <c r="AB24" s="15">
        <v>16.215999999999998</v>
      </c>
      <c r="AC24" s="15">
        <v>5.1100000000000003</v>
      </c>
      <c r="AD24" s="15">
        <v>49.524000000000001</v>
      </c>
      <c r="AE24" s="22">
        <f t="shared" si="1"/>
        <v>631.50400000000002</v>
      </c>
    </row>
    <row r="25" spans="1:31" ht="15" customHeight="1">
      <c r="A25" s="4">
        <v>18</v>
      </c>
      <c r="B25" s="10" t="s">
        <v>44</v>
      </c>
      <c r="C25" s="32" t="s">
        <v>152</v>
      </c>
      <c r="D25" s="22">
        <f t="shared" si="0"/>
        <v>817.22838547625247</v>
      </c>
      <c r="E25" s="15" t="s">
        <v>27</v>
      </c>
      <c r="F25" s="15">
        <v>191.79219400000002</v>
      </c>
      <c r="G25" s="15">
        <v>62.960847999999999</v>
      </c>
      <c r="H25" s="15">
        <v>90.387067999999999</v>
      </c>
      <c r="I25" s="15">
        <v>58.783550000000005</v>
      </c>
      <c r="J25" s="3">
        <v>151.38259910437301</v>
      </c>
      <c r="K25" s="19"/>
      <c r="L25" s="15" t="s">
        <v>27</v>
      </c>
      <c r="M25" s="15" t="s">
        <v>27</v>
      </c>
      <c r="N25" s="15">
        <v>77.633709999999994</v>
      </c>
      <c r="O25" s="15">
        <v>93.277017999999998</v>
      </c>
      <c r="P25" s="15">
        <v>45.722526000000002</v>
      </c>
      <c r="Q25" s="3">
        <v>45.288872371879364</v>
      </c>
      <c r="R25" s="19"/>
      <c r="S25" s="15" t="s">
        <v>27</v>
      </c>
      <c r="T25" s="15">
        <v>22.423999999999999</v>
      </c>
      <c r="U25" s="15">
        <v>13.135999999999999</v>
      </c>
      <c r="V25" s="15">
        <v>42.346000000000004</v>
      </c>
      <c r="W25" s="15">
        <v>91.186999999999998</v>
      </c>
      <c r="X25" s="15">
        <v>795.34899999999993</v>
      </c>
      <c r="Y25" s="15" t="s">
        <v>27</v>
      </c>
      <c r="Z25" s="15" t="s">
        <v>27</v>
      </c>
      <c r="AA25" s="15">
        <v>5.101</v>
      </c>
      <c r="AB25" s="15">
        <v>10.589</v>
      </c>
      <c r="AC25" s="15">
        <v>13.421000000000001</v>
      </c>
      <c r="AD25" s="15">
        <v>84.087000000000003</v>
      </c>
      <c r="AE25" s="22">
        <f t="shared" si="1"/>
        <v>1077.6400000000001</v>
      </c>
    </row>
    <row r="26" spans="1:31" ht="15" customHeight="1">
      <c r="A26" s="4">
        <v>19</v>
      </c>
      <c r="B26" s="10" t="s">
        <v>45</v>
      </c>
      <c r="C26" s="32" t="s">
        <v>153</v>
      </c>
      <c r="D26" s="22">
        <f t="shared" si="0"/>
        <v>2143.9948364436823</v>
      </c>
      <c r="E26" s="15" t="s">
        <v>27</v>
      </c>
      <c r="F26" s="15">
        <v>110.79376600000001</v>
      </c>
      <c r="G26" s="15">
        <v>65.325889000000004</v>
      </c>
      <c r="H26" s="15">
        <v>26.219291000000002</v>
      </c>
      <c r="I26" s="15">
        <v>18.200242999999997</v>
      </c>
      <c r="J26" s="3">
        <v>26.648244710387221</v>
      </c>
      <c r="K26" s="19"/>
      <c r="L26" s="15">
        <v>824.75738200000001</v>
      </c>
      <c r="M26" s="15">
        <v>34.062399999999997</v>
      </c>
      <c r="N26" s="15">
        <v>528.323666</v>
      </c>
      <c r="O26" s="15">
        <v>181.603635</v>
      </c>
      <c r="P26" s="15">
        <v>150.23648900000001</v>
      </c>
      <c r="Q26" s="3">
        <v>177.8238307332949</v>
      </c>
      <c r="R26" s="19"/>
      <c r="S26" s="15" t="s">
        <v>27</v>
      </c>
      <c r="T26" s="15">
        <v>10.198</v>
      </c>
      <c r="U26" s="15">
        <v>9.2840000000000007</v>
      </c>
      <c r="V26" s="15">
        <v>20.853999999999999</v>
      </c>
      <c r="W26" s="15">
        <v>33.488</v>
      </c>
      <c r="X26" s="15">
        <v>155.76499999999999</v>
      </c>
      <c r="Y26" s="15">
        <v>9.5339999999999989</v>
      </c>
      <c r="Z26" s="15">
        <v>0.69799999999999995</v>
      </c>
      <c r="AA26" s="15">
        <v>30.469000000000001</v>
      </c>
      <c r="AB26" s="15">
        <v>34.678000000000004</v>
      </c>
      <c r="AC26" s="15">
        <v>30.131999999999998</v>
      </c>
      <c r="AD26" s="15">
        <v>260.24599999999998</v>
      </c>
      <c r="AE26" s="22">
        <f t="shared" si="1"/>
        <v>595.346</v>
      </c>
    </row>
    <row r="27" spans="1:31" ht="15" customHeight="1">
      <c r="A27" s="4">
        <v>20</v>
      </c>
      <c r="B27" s="10" t="s">
        <v>46</v>
      </c>
      <c r="C27" s="32" t="s">
        <v>151</v>
      </c>
      <c r="D27" s="22">
        <f t="shared" si="0"/>
        <v>159.37452891236651</v>
      </c>
      <c r="E27" s="15" t="s">
        <v>27</v>
      </c>
      <c r="F27" s="15">
        <v>36.668137999999999</v>
      </c>
      <c r="G27" s="15">
        <v>24.863641999999999</v>
      </c>
      <c r="H27" s="15">
        <v>60.798079999999999</v>
      </c>
      <c r="I27" s="15">
        <v>10.958579</v>
      </c>
      <c r="J27" s="3">
        <v>26.086089912366543</v>
      </c>
      <c r="K27" s="19"/>
      <c r="L27" s="15" t="s">
        <v>27</v>
      </c>
      <c r="M27" s="15" t="s">
        <v>27</v>
      </c>
      <c r="N27" s="15" t="s">
        <v>27</v>
      </c>
      <c r="O27" s="15" t="s">
        <v>27</v>
      </c>
      <c r="P27" s="15" t="s">
        <v>27</v>
      </c>
      <c r="Q27" s="3" t="s">
        <v>27</v>
      </c>
      <c r="R27" s="19"/>
      <c r="S27" s="15" t="s">
        <v>27</v>
      </c>
      <c r="T27" s="15">
        <v>12.526999999999999</v>
      </c>
      <c r="U27" s="15">
        <v>19.190000000000001</v>
      </c>
      <c r="V27" s="15">
        <v>38.978999999999999</v>
      </c>
      <c r="W27" s="15">
        <v>41.147000000000006</v>
      </c>
      <c r="X27" s="15">
        <v>238.09800000000001</v>
      </c>
      <c r="Y27" s="15" t="s">
        <v>27</v>
      </c>
      <c r="Z27" s="15" t="s">
        <v>27</v>
      </c>
      <c r="AA27" s="15" t="s">
        <v>27</v>
      </c>
      <c r="AB27" s="15" t="s">
        <v>27</v>
      </c>
      <c r="AC27" s="15" t="s">
        <v>27</v>
      </c>
      <c r="AD27" s="15" t="s">
        <v>27</v>
      </c>
      <c r="AE27" s="22">
        <f t="shared" si="1"/>
        <v>349.94100000000003</v>
      </c>
    </row>
    <row r="28" spans="1:31" ht="15" customHeight="1">
      <c r="A28" s="4">
        <v>21</v>
      </c>
      <c r="B28" s="10" t="s">
        <v>47</v>
      </c>
      <c r="C28" s="32" t="s">
        <v>151</v>
      </c>
      <c r="D28" s="22">
        <f t="shared" si="0"/>
        <v>624.24858480103001</v>
      </c>
      <c r="E28" s="15">
        <v>370.20262500000001</v>
      </c>
      <c r="F28" s="15" t="s">
        <v>27</v>
      </c>
      <c r="G28" s="15" t="s">
        <v>27</v>
      </c>
      <c r="H28" s="15">
        <v>215.060305</v>
      </c>
      <c r="I28" s="15">
        <v>14.343814999999999</v>
      </c>
      <c r="J28" s="3">
        <v>24.641839801030123</v>
      </c>
      <c r="K28" s="19"/>
      <c r="L28" s="15" t="s">
        <v>27</v>
      </c>
      <c r="M28" s="15" t="s">
        <v>27</v>
      </c>
      <c r="N28" s="15" t="s">
        <v>27</v>
      </c>
      <c r="O28" s="15" t="s">
        <v>27</v>
      </c>
      <c r="P28" s="15" t="s">
        <v>27</v>
      </c>
      <c r="Q28" s="3" t="s">
        <v>27</v>
      </c>
      <c r="R28" s="19"/>
      <c r="S28" s="15">
        <v>14.625</v>
      </c>
      <c r="T28" s="15" t="s">
        <v>27</v>
      </c>
      <c r="U28" s="15" t="s">
        <v>27</v>
      </c>
      <c r="V28" s="15">
        <v>62.768999999999998</v>
      </c>
      <c r="W28" s="15">
        <v>30.678000000000001</v>
      </c>
      <c r="X28" s="15">
        <v>158.23599999999999</v>
      </c>
      <c r="Y28" s="15" t="s">
        <v>27</v>
      </c>
      <c r="Z28" s="15" t="s">
        <v>27</v>
      </c>
      <c r="AA28" s="15" t="s">
        <v>27</v>
      </c>
      <c r="AB28" s="15" t="s">
        <v>27</v>
      </c>
      <c r="AC28" s="15" t="s">
        <v>27</v>
      </c>
      <c r="AD28" s="15" t="s">
        <v>27</v>
      </c>
      <c r="AE28" s="22">
        <f t="shared" si="1"/>
        <v>266.30799999999999</v>
      </c>
    </row>
    <row r="29" spans="1:31" ht="15" customHeight="1">
      <c r="A29" s="4">
        <v>22</v>
      </c>
      <c r="B29" s="10" t="s">
        <v>48</v>
      </c>
      <c r="C29" s="32" t="s">
        <v>151</v>
      </c>
      <c r="D29" s="22">
        <f t="shared" si="0"/>
        <v>1093.1673620132492</v>
      </c>
      <c r="E29" s="15">
        <v>474.24779999999998</v>
      </c>
      <c r="F29" s="15">
        <v>71.267083999999997</v>
      </c>
      <c r="G29" s="15">
        <v>60.511755000000008</v>
      </c>
      <c r="H29" s="15">
        <v>254.38616200000007</v>
      </c>
      <c r="I29" s="15">
        <v>87.02750300000001</v>
      </c>
      <c r="J29" s="3">
        <v>145.72705801324932</v>
      </c>
      <c r="K29" s="19"/>
      <c r="L29" s="15" t="s">
        <v>27</v>
      </c>
      <c r="M29" s="15" t="s">
        <v>27</v>
      </c>
      <c r="N29" s="15" t="s">
        <v>27</v>
      </c>
      <c r="O29" s="15" t="s">
        <v>27</v>
      </c>
      <c r="P29" s="15" t="s">
        <v>27</v>
      </c>
      <c r="Q29" s="3" t="s">
        <v>27</v>
      </c>
      <c r="R29" s="19"/>
      <c r="S29" s="15">
        <v>32.147000000000006</v>
      </c>
      <c r="T29" s="15">
        <v>18.844000000000001</v>
      </c>
      <c r="U29" s="15">
        <v>11.646000000000001</v>
      </c>
      <c r="V29" s="15">
        <v>85.335999999999984</v>
      </c>
      <c r="W29" s="15">
        <v>111.995</v>
      </c>
      <c r="X29" s="15">
        <v>681.28499999999997</v>
      </c>
      <c r="Y29" s="15" t="s">
        <v>27</v>
      </c>
      <c r="Z29" s="15" t="s">
        <v>27</v>
      </c>
      <c r="AA29" s="15" t="s">
        <v>27</v>
      </c>
      <c r="AB29" s="15" t="s">
        <v>27</v>
      </c>
      <c r="AC29" s="15" t="s">
        <v>27</v>
      </c>
      <c r="AD29" s="15" t="s">
        <v>27</v>
      </c>
      <c r="AE29" s="22">
        <f t="shared" si="1"/>
        <v>941.25299999999993</v>
      </c>
    </row>
    <row r="30" spans="1:31" ht="15" customHeight="1">
      <c r="A30" s="4">
        <v>23</v>
      </c>
      <c r="B30" s="10" t="s">
        <v>49</v>
      </c>
      <c r="C30" s="32" t="s">
        <v>151</v>
      </c>
      <c r="D30" s="22">
        <f t="shared" si="0"/>
        <v>394.82508573700079</v>
      </c>
      <c r="E30" s="15" t="s">
        <v>27</v>
      </c>
      <c r="F30" s="15">
        <v>104.40783499999999</v>
      </c>
      <c r="G30" s="15" t="s">
        <v>27</v>
      </c>
      <c r="H30" s="15">
        <v>138.555712</v>
      </c>
      <c r="I30" s="15">
        <v>53.998329000000005</v>
      </c>
      <c r="J30" s="3">
        <v>97.863209737000759</v>
      </c>
      <c r="K30" s="19"/>
      <c r="L30" s="15" t="s">
        <v>27</v>
      </c>
      <c r="M30" s="15" t="s">
        <v>27</v>
      </c>
      <c r="N30" s="15" t="s">
        <v>27</v>
      </c>
      <c r="O30" s="15" t="s">
        <v>27</v>
      </c>
      <c r="P30" s="15" t="s">
        <v>27</v>
      </c>
      <c r="Q30" s="3" t="s">
        <v>27</v>
      </c>
      <c r="R30" s="19"/>
      <c r="S30" s="15" t="s">
        <v>27</v>
      </c>
      <c r="T30" s="15">
        <v>23.715</v>
      </c>
      <c r="U30" s="15" t="s">
        <v>27</v>
      </c>
      <c r="V30" s="15">
        <v>95.60799999999999</v>
      </c>
      <c r="W30" s="15">
        <v>95.793999999999997</v>
      </c>
      <c r="X30" s="15">
        <v>559.13300000000004</v>
      </c>
      <c r="Y30" s="15" t="s">
        <v>27</v>
      </c>
      <c r="Z30" s="15" t="s">
        <v>27</v>
      </c>
      <c r="AA30" s="15" t="s">
        <v>27</v>
      </c>
      <c r="AB30" s="15" t="s">
        <v>27</v>
      </c>
      <c r="AC30" s="15" t="s">
        <v>27</v>
      </c>
      <c r="AD30" s="15" t="s">
        <v>27</v>
      </c>
      <c r="AE30" s="22">
        <f t="shared" si="1"/>
        <v>774.25</v>
      </c>
    </row>
    <row r="31" spans="1:31" ht="15" customHeight="1">
      <c r="A31" s="4">
        <v>24</v>
      </c>
      <c r="B31" s="10" t="s">
        <v>50</v>
      </c>
      <c r="C31" s="32" t="s">
        <v>161</v>
      </c>
      <c r="D31" s="22">
        <f t="shared" si="0"/>
        <v>2302.5264353658963</v>
      </c>
      <c r="E31" s="15">
        <v>369.16368399999999</v>
      </c>
      <c r="F31" s="15">
        <v>447.393733</v>
      </c>
      <c r="G31" s="15">
        <v>34.442250000000001</v>
      </c>
      <c r="H31" s="15">
        <v>182.08669800000001</v>
      </c>
      <c r="I31" s="15">
        <v>100.65178900000001</v>
      </c>
      <c r="J31" s="3">
        <v>113.35755289935361</v>
      </c>
      <c r="K31" s="19"/>
      <c r="L31" s="15">
        <v>97.241962999999984</v>
      </c>
      <c r="M31" s="15">
        <v>67.989075</v>
      </c>
      <c r="N31" s="15">
        <v>294.73516099999995</v>
      </c>
      <c r="O31" s="15">
        <v>347.43847700000003</v>
      </c>
      <c r="P31" s="15">
        <v>106.73694799999997</v>
      </c>
      <c r="Q31" s="3">
        <v>141.28910446654271</v>
      </c>
      <c r="R31" s="19"/>
      <c r="S31" s="15">
        <v>19.63</v>
      </c>
      <c r="T31" s="15">
        <v>47.391000000000005</v>
      </c>
      <c r="U31" s="15">
        <v>7.9270000000000005</v>
      </c>
      <c r="V31" s="15">
        <v>98.986999999999995</v>
      </c>
      <c r="W31" s="15">
        <v>163.53100000000003</v>
      </c>
      <c r="X31" s="15">
        <v>613.04399999999998</v>
      </c>
      <c r="Y31" s="15">
        <v>3.9129999999999998</v>
      </c>
      <c r="Z31" s="15">
        <v>4.6970000000000001</v>
      </c>
      <c r="AA31" s="15">
        <v>22.603000000000002</v>
      </c>
      <c r="AB31" s="15">
        <v>46.241000000000007</v>
      </c>
      <c r="AC31" s="15">
        <v>23.811999999999998</v>
      </c>
      <c r="AD31" s="15">
        <v>220.99700000000001</v>
      </c>
      <c r="AE31" s="22">
        <f t="shared" si="1"/>
        <v>1272.7729999999999</v>
      </c>
    </row>
    <row r="32" spans="1:31" ht="15" customHeight="1">
      <c r="A32" s="4">
        <v>25</v>
      </c>
      <c r="B32" s="10" t="s">
        <v>51</v>
      </c>
      <c r="C32" s="32" t="s">
        <v>152</v>
      </c>
      <c r="D32" s="22">
        <f t="shared" si="0"/>
        <v>1229.3217584993176</v>
      </c>
      <c r="E32" s="15">
        <v>359.46690000000001</v>
      </c>
      <c r="F32" s="15">
        <v>215.99000099999998</v>
      </c>
      <c r="G32" s="15">
        <v>11.063040000000001</v>
      </c>
      <c r="H32" s="15">
        <v>133.09153499999999</v>
      </c>
      <c r="I32" s="15">
        <v>53.481346000000002</v>
      </c>
      <c r="J32" s="3">
        <v>57.75325024754553</v>
      </c>
      <c r="K32" s="19"/>
      <c r="L32" s="15">
        <v>100.91659799999999</v>
      </c>
      <c r="M32" s="15" t="s">
        <v>27</v>
      </c>
      <c r="N32" s="15">
        <v>65.928247999999996</v>
      </c>
      <c r="O32" s="15">
        <v>159.58884600000002</v>
      </c>
      <c r="P32" s="15">
        <v>32.13843</v>
      </c>
      <c r="Q32" s="3">
        <v>39.903564251771982</v>
      </c>
      <c r="R32" s="19"/>
      <c r="S32" s="15">
        <v>12.263</v>
      </c>
      <c r="T32" s="15">
        <v>17.628999999999998</v>
      </c>
      <c r="U32" s="15">
        <v>4.1280000000000001</v>
      </c>
      <c r="V32" s="15">
        <v>45.116999999999997</v>
      </c>
      <c r="W32" s="15">
        <v>64.043999999999997</v>
      </c>
      <c r="X32" s="15">
        <v>258.125</v>
      </c>
      <c r="Y32" s="15">
        <v>2.5169999999999999</v>
      </c>
      <c r="Z32" s="15" t="s">
        <v>27</v>
      </c>
      <c r="AA32" s="15">
        <v>3.5270000000000001</v>
      </c>
      <c r="AB32" s="15">
        <v>15.343999999999999</v>
      </c>
      <c r="AC32" s="15">
        <v>11.097000000000001</v>
      </c>
      <c r="AD32" s="15">
        <v>82</v>
      </c>
      <c r="AE32" s="22">
        <f t="shared" si="1"/>
        <v>515.79099999999994</v>
      </c>
    </row>
    <row r="33" spans="1:31" ht="15" customHeight="1">
      <c r="A33" s="4">
        <v>26</v>
      </c>
      <c r="B33" s="10" t="s">
        <v>52</v>
      </c>
      <c r="C33" s="32" t="s">
        <v>151</v>
      </c>
      <c r="D33" s="22">
        <f t="shared" si="0"/>
        <v>701.2148509424436</v>
      </c>
      <c r="E33" s="15" t="s">
        <v>27</v>
      </c>
      <c r="F33" s="15">
        <v>165.27730599999998</v>
      </c>
      <c r="G33" s="15">
        <v>124.681522</v>
      </c>
      <c r="H33" s="15">
        <v>191.31808900000001</v>
      </c>
      <c r="I33" s="15">
        <v>80.806481000000005</v>
      </c>
      <c r="J33" s="3">
        <v>139.13145294244359</v>
      </c>
      <c r="K33" s="19"/>
      <c r="L33" s="15" t="s">
        <v>27</v>
      </c>
      <c r="M33" s="15" t="s">
        <v>27</v>
      </c>
      <c r="N33" s="15" t="s">
        <v>27</v>
      </c>
      <c r="O33" s="15" t="s">
        <v>27</v>
      </c>
      <c r="P33" s="15" t="s">
        <v>27</v>
      </c>
      <c r="Q33" s="3" t="s">
        <v>27</v>
      </c>
      <c r="R33" s="19"/>
      <c r="S33" s="15" t="s">
        <v>27</v>
      </c>
      <c r="T33" s="15">
        <v>25.335999999999999</v>
      </c>
      <c r="U33" s="15">
        <v>16.161999999999999</v>
      </c>
      <c r="V33" s="15">
        <v>92.406000000000006</v>
      </c>
      <c r="W33" s="15">
        <v>89.55</v>
      </c>
      <c r="X33" s="15">
        <v>592.44799999999998</v>
      </c>
      <c r="Y33" s="15" t="s">
        <v>27</v>
      </c>
      <c r="Z33" s="15" t="s">
        <v>27</v>
      </c>
      <c r="AA33" s="15" t="s">
        <v>27</v>
      </c>
      <c r="AB33" s="15" t="s">
        <v>27</v>
      </c>
      <c r="AC33" s="15" t="s">
        <v>27</v>
      </c>
      <c r="AD33" s="15" t="s">
        <v>27</v>
      </c>
      <c r="AE33" s="22">
        <f t="shared" si="1"/>
        <v>815.90200000000004</v>
      </c>
    </row>
    <row r="34" spans="1:31" ht="15" customHeight="1">
      <c r="A34" s="4">
        <v>27</v>
      </c>
      <c r="B34" s="10" t="s">
        <v>53</v>
      </c>
      <c r="C34" s="32" t="s">
        <v>151</v>
      </c>
      <c r="D34" s="22">
        <f t="shared" si="0"/>
        <v>272.19119003032785</v>
      </c>
      <c r="E34" s="15" t="s">
        <v>27</v>
      </c>
      <c r="F34" s="15">
        <v>93.309263000000001</v>
      </c>
      <c r="G34" s="15">
        <v>47.936001000000005</v>
      </c>
      <c r="H34" s="15">
        <v>42.144349000000005</v>
      </c>
      <c r="I34" s="15">
        <v>41.784194000000006</v>
      </c>
      <c r="J34" s="3">
        <v>47.0173830303278</v>
      </c>
      <c r="K34" s="19"/>
      <c r="L34" s="15" t="s">
        <v>27</v>
      </c>
      <c r="M34" s="15" t="s">
        <v>27</v>
      </c>
      <c r="N34" s="15" t="s">
        <v>27</v>
      </c>
      <c r="O34" s="15" t="s">
        <v>27</v>
      </c>
      <c r="P34" s="15" t="s">
        <v>27</v>
      </c>
      <c r="Q34" s="3" t="s">
        <v>27</v>
      </c>
      <c r="R34" s="19"/>
      <c r="S34" s="15" t="s">
        <v>27</v>
      </c>
      <c r="T34" s="15">
        <v>21.308</v>
      </c>
      <c r="U34" s="15">
        <v>12.816000000000001</v>
      </c>
      <c r="V34" s="15">
        <v>21.256</v>
      </c>
      <c r="W34" s="15">
        <v>68.400000000000006</v>
      </c>
      <c r="X34" s="15">
        <v>255.47</v>
      </c>
      <c r="Y34" s="15" t="s">
        <v>27</v>
      </c>
      <c r="Z34" s="15" t="s">
        <v>27</v>
      </c>
      <c r="AA34" s="15" t="s">
        <v>27</v>
      </c>
      <c r="AB34" s="15" t="s">
        <v>27</v>
      </c>
      <c r="AC34" s="15" t="s">
        <v>27</v>
      </c>
      <c r="AD34" s="15" t="s">
        <v>27</v>
      </c>
      <c r="AE34" s="22">
        <f t="shared" si="1"/>
        <v>379.25</v>
      </c>
    </row>
    <row r="35" spans="1:31" ht="15" customHeight="1">
      <c r="A35" s="4">
        <v>28</v>
      </c>
      <c r="B35" s="10" t="s">
        <v>54</v>
      </c>
      <c r="C35" s="32" t="s">
        <v>151</v>
      </c>
      <c r="D35" s="22">
        <f t="shared" si="0"/>
        <v>236.57226766566848</v>
      </c>
      <c r="E35" s="15" t="s">
        <v>27</v>
      </c>
      <c r="F35" s="15" t="s">
        <v>27</v>
      </c>
      <c r="G35" s="15">
        <v>118.78215899999999</v>
      </c>
      <c r="H35" s="15">
        <v>45.611661999999995</v>
      </c>
      <c r="I35" s="15">
        <v>22.445728000000003</v>
      </c>
      <c r="J35" s="3">
        <v>49.732718665668479</v>
      </c>
      <c r="K35" s="19"/>
      <c r="L35" s="15" t="s">
        <v>27</v>
      </c>
      <c r="M35" s="15" t="s">
        <v>27</v>
      </c>
      <c r="N35" s="15" t="s">
        <v>27</v>
      </c>
      <c r="O35" s="15" t="s">
        <v>27</v>
      </c>
      <c r="P35" s="15" t="s">
        <v>27</v>
      </c>
      <c r="Q35" s="3" t="s">
        <v>27</v>
      </c>
      <c r="R35" s="19"/>
      <c r="S35" s="15" t="s">
        <v>27</v>
      </c>
      <c r="T35" s="15" t="s">
        <v>27</v>
      </c>
      <c r="U35" s="15">
        <v>30.512</v>
      </c>
      <c r="V35" s="15">
        <v>57.156999999999996</v>
      </c>
      <c r="W35" s="15">
        <v>73.394999999999996</v>
      </c>
      <c r="X35" s="15">
        <v>416.36</v>
      </c>
      <c r="Y35" s="15" t="s">
        <v>27</v>
      </c>
      <c r="Z35" s="15" t="s">
        <v>27</v>
      </c>
      <c r="AA35" s="15" t="s">
        <v>27</v>
      </c>
      <c r="AB35" s="15" t="s">
        <v>27</v>
      </c>
      <c r="AC35" s="15" t="s">
        <v>27</v>
      </c>
      <c r="AD35" s="15" t="s">
        <v>27</v>
      </c>
      <c r="AE35" s="22">
        <f t="shared" si="1"/>
        <v>577.42399999999998</v>
      </c>
    </row>
    <row r="36" spans="1:31" ht="15" customHeight="1">
      <c r="A36" s="4">
        <v>29</v>
      </c>
      <c r="B36" s="10" t="s">
        <v>55</v>
      </c>
      <c r="C36" s="32" t="s">
        <v>151</v>
      </c>
      <c r="D36" s="22">
        <f t="shared" si="0"/>
        <v>219.32241518912673</v>
      </c>
      <c r="E36" s="15" t="s">
        <v>27</v>
      </c>
      <c r="F36" s="15" t="s">
        <v>27</v>
      </c>
      <c r="G36" s="15">
        <v>122.68449799999999</v>
      </c>
      <c r="H36" s="15">
        <v>24.48995</v>
      </c>
      <c r="I36" s="15">
        <v>29.595050000000001</v>
      </c>
      <c r="J36" s="3">
        <v>42.552917189126738</v>
      </c>
      <c r="K36" s="19"/>
      <c r="L36" s="15" t="s">
        <v>27</v>
      </c>
      <c r="M36" s="15" t="s">
        <v>27</v>
      </c>
      <c r="N36" s="15" t="s">
        <v>27</v>
      </c>
      <c r="O36" s="15" t="s">
        <v>27</v>
      </c>
      <c r="P36" s="15" t="s">
        <v>27</v>
      </c>
      <c r="Q36" s="3" t="s">
        <v>27</v>
      </c>
      <c r="R36" s="19"/>
      <c r="S36" s="15" t="s">
        <v>27</v>
      </c>
      <c r="T36" s="15" t="s">
        <v>27</v>
      </c>
      <c r="U36" s="15">
        <v>36.235999999999997</v>
      </c>
      <c r="V36" s="15">
        <v>20.534000000000002</v>
      </c>
      <c r="W36" s="15">
        <v>80.322000000000003</v>
      </c>
      <c r="X36" s="15">
        <v>317.10199999999998</v>
      </c>
      <c r="Y36" s="15" t="s">
        <v>27</v>
      </c>
      <c r="Z36" s="15" t="s">
        <v>27</v>
      </c>
      <c r="AA36" s="15" t="s">
        <v>27</v>
      </c>
      <c r="AB36" s="15" t="s">
        <v>27</v>
      </c>
      <c r="AC36" s="15" t="s">
        <v>27</v>
      </c>
      <c r="AD36" s="15" t="s">
        <v>27</v>
      </c>
      <c r="AE36" s="22">
        <f t="shared" si="1"/>
        <v>454.19399999999996</v>
      </c>
    </row>
    <row r="37" spans="1:31" ht="15" customHeight="1">
      <c r="A37" s="4">
        <v>30</v>
      </c>
      <c r="B37" s="10" t="s">
        <v>56</v>
      </c>
      <c r="C37" s="32" t="s">
        <v>153</v>
      </c>
      <c r="D37" s="22">
        <f t="shared" si="0"/>
        <v>2110.0675509651001</v>
      </c>
      <c r="E37" s="15" t="s">
        <v>27</v>
      </c>
      <c r="F37" s="15">
        <v>192.843042</v>
      </c>
      <c r="G37" s="15">
        <v>143.21849</v>
      </c>
      <c r="H37" s="15">
        <v>271.75561599999992</v>
      </c>
      <c r="I37" s="15">
        <v>90.093292000000019</v>
      </c>
      <c r="J37" s="3">
        <v>119.27746672176274</v>
      </c>
      <c r="K37" s="19"/>
      <c r="L37" s="15" t="s">
        <v>27</v>
      </c>
      <c r="M37" s="15">
        <v>220.51565899999997</v>
      </c>
      <c r="N37" s="15">
        <v>456.80618800000002</v>
      </c>
      <c r="O37" s="15">
        <v>278.85501299999999</v>
      </c>
      <c r="P37" s="15">
        <v>181.04464100000001</v>
      </c>
      <c r="Q37" s="3">
        <v>155.65814324333732</v>
      </c>
      <c r="R37" s="19"/>
      <c r="S37" s="15" t="s">
        <v>27</v>
      </c>
      <c r="T37" s="15">
        <v>23.758000000000003</v>
      </c>
      <c r="U37" s="15">
        <v>20.856000000000002</v>
      </c>
      <c r="V37" s="15">
        <v>67.233000000000004</v>
      </c>
      <c r="W37" s="15">
        <v>121.376</v>
      </c>
      <c r="X37" s="15">
        <v>573.82500000000005</v>
      </c>
      <c r="Y37" s="15" t="s">
        <v>27</v>
      </c>
      <c r="Z37" s="15">
        <v>14.308</v>
      </c>
      <c r="AA37" s="15">
        <v>31.62</v>
      </c>
      <c r="AB37" s="15">
        <v>34.415999999999997</v>
      </c>
      <c r="AC37" s="15">
        <v>43.271000000000001</v>
      </c>
      <c r="AD37" s="15">
        <v>254.185</v>
      </c>
      <c r="AE37" s="22">
        <f t="shared" si="1"/>
        <v>1184.848</v>
      </c>
    </row>
    <row r="38" spans="1:31" ht="15" customHeight="1">
      <c r="A38" s="4">
        <v>31</v>
      </c>
      <c r="B38" s="10" t="s">
        <v>57</v>
      </c>
      <c r="C38" s="32" t="s">
        <v>151</v>
      </c>
      <c r="D38" s="22">
        <f t="shared" si="0"/>
        <v>332.21571881693058</v>
      </c>
      <c r="E38" s="15">
        <v>78.314400000000006</v>
      </c>
      <c r="F38" s="15" t="s">
        <v>27</v>
      </c>
      <c r="G38" s="15">
        <v>83.735789999999994</v>
      </c>
      <c r="H38" s="15">
        <v>68.68199899999999</v>
      </c>
      <c r="I38" s="15">
        <v>43.481285999999997</v>
      </c>
      <c r="J38" s="3">
        <v>58.002243816930637</v>
      </c>
      <c r="K38" s="19"/>
      <c r="L38" s="15" t="s">
        <v>27</v>
      </c>
      <c r="M38" s="15" t="s">
        <v>27</v>
      </c>
      <c r="N38" s="15" t="s">
        <v>27</v>
      </c>
      <c r="O38" s="15" t="s">
        <v>27</v>
      </c>
      <c r="P38" s="15" t="s">
        <v>27</v>
      </c>
      <c r="Q38" s="3" t="s">
        <v>27</v>
      </c>
      <c r="R38" s="19"/>
      <c r="S38" s="15">
        <v>2.6280000000000001</v>
      </c>
      <c r="T38" s="15" t="s">
        <v>27</v>
      </c>
      <c r="U38" s="15">
        <v>20.03</v>
      </c>
      <c r="V38" s="15">
        <v>54.576999999999998</v>
      </c>
      <c r="W38" s="15">
        <v>72.271999999999991</v>
      </c>
      <c r="X38" s="15">
        <v>318.17399999999998</v>
      </c>
      <c r="Y38" s="15" t="s">
        <v>27</v>
      </c>
      <c r="Z38" s="15" t="s">
        <v>27</v>
      </c>
      <c r="AA38" s="15" t="s">
        <v>27</v>
      </c>
      <c r="AB38" s="15" t="s">
        <v>27</v>
      </c>
      <c r="AC38" s="15" t="s">
        <v>27</v>
      </c>
      <c r="AD38" s="15" t="s">
        <v>27</v>
      </c>
      <c r="AE38" s="22">
        <f t="shared" si="1"/>
        <v>467.68099999999998</v>
      </c>
    </row>
    <row r="39" spans="1:31" ht="15" customHeight="1">
      <c r="A39" s="4">
        <v>32</v>
      </c>
      <c r="B39" s="10" t="s">
        <v>58</v>
      </c>
      <c r="C39" s="32" t="s">
        <v>151</v>
      </c>
      <c r="D39" s="22">
        <f t="shared" si="0"/>
        <v>140.39871707290848</v>
      </c>
      <c r="E39" s="15" t="s">
        <v>27</v>
      </c>
      <c r="F39" s="15" t="s">
        <v>27</v>
      </c>
      <c r="G39" s="15">
        <v>44.428106</v>
      </c>
      <c r="H39" s="15">
        <v>29.991976000000001</v>
      </c>
      <c r="I39" s="15">
        <v>20.398315000000004</v>
      </c>
      <c r="J39" s="3">
        <v>45.580320072908492</v>
      </c>
      <c r="K39" s="19"/>
      <c r="L39" s="15" t="s">
        <v>27</v>
      </c>
      <c r="M39" s="15" t="s">
        <v>27</v>
      </c>
      <c r="N39" s="15" t="s">
        <v>27</v>
      </c>
      <c r="O39" s="15" t="s">
        <v>27</v>
      </c>
      <c r="P39" s="15" t="s">
        <v>27</v>
      </c>
      <c r="Q39" s="3" t="s">
        <v>27</v>
      </c>
      <c r="R39" s="19"/>
      <c r="S39" s="15" t="s">
        <v>27</v>
      </c>
      <c r="T39" s="15" t="s">
        <v>27</v>
      </c>
      <c r="U39" s="15">
        <v>18.873999999999999</v>
      </c>
      <c r="V39" s="15">
        <v>50.640999999999998</v>
      </c>
      <c r="W39" s="15">
        <v>54.005000000000003</v>
      </c>
      <c r="X39" s="15">
        <v>334.43700000000001</v>
      </c>
      <c r="Y39" s="15" t="s">
        <v>27</v>
      </c>
      <c r="Z39" s="15" t="s">
        <v>27</v>
      </c>
      <c r="AA39" s="15" t="s">
        <v>27</v>
      </c>
      <c r="AB39" s="15" t="s">
        <v>27</v>
      </c>
      <c r="AC39" s="15" t="s">
        <v>27</v>
      </c>
      <c r="AD39" s="15" t="s">
        <v>27</v>
      </c>
      <c r="AE39" s="22">
        <f t="shared" si="1"/>
        <v>457.95699999999999</v>
      </c>
    </row>
    <row r="40" spans="1:31" ht="15" customHeight="1">
      <c r="A40" s="4">
        <v>33</v>
      </c>
      <c r="B40" s="10" t="s">
        <v>59</v>
      </c>
      <c r="C40" s="32" t="s">
        <v>151</v>
      </c>
      <c r="D40" s="22">
        <f t="shared" ref="D40:D71" si="2">SUM(E40:J40)+SUM(L40:Q40)</f>
        <v>337.38018148379223</v>
      </c>
      <c r="E40" s="15" t="s">
        <v>27</v>
      </c>
      <c r="F40" s="15" t="s">
        <v>27</v>
      </c>
      <c r="G40" s="15" t="s">
        <v>27</v>
      </c>
      <c r="H40" s="15">
        <v>206.62224800000001</v>
      </c>
      <c r="I40" s="15">
        <v>55.645485999999998</v>
      </c>
      <c r="J40" s="3">
        <v>75.112447483792195</v>
      </c>
      <c r="K40" s="19"/>
      <c r="L40" s="15" t="s">
        <v>27</v>
      </c>
      <c r="M40" s="15" t="s">
        <v>27</v>
      </c>
      <c r="N40" s="15" t="s">
        <v>27</v>
      </c>
      <c r="O40" s="15" t="s">
        <v>27</v>
      </c>
      <c r="P40" s="15" t="s">
        <v>27</v>
      </c>
      <c r="Q40" s="3" t="s">
        <v>27</v>
      </c>
      <c r="R40" s="19"/>
      <c r="S40" s="15" t="s">
        <v>27</v>
      </c>
      <c r="T40" s="15" t="s">
        <v>27</v>
      </c>
      <c r="U40" s="15" t="s">
        <v>27</v>
      </c>
      <c r="V40" s="15">
        <v>60.905999999999999</v>
      </c>
      <c r="W40" s="15">
        <v>67.057000000000002</v>
      </c>
      <c r="X40" s="15">
        <v>337.036</v>
      </c>
      <c r="Y40" s="15" t="s">
        <v>27</v>
      </c>
      <c r="Z40" s="15" t="s">
        <v>27</v>
      </c>
      <c r="AA40" s="15" t="s">
        <v>27</v>
      </c>
      <c r="AB40" s="15" t="s">
        <v>27</v>
      </c>
      <c r="AC40" s="15" t="s">
        <v>27</v>
      </c>
      <c r="AD40" s="15" t="s">
        <v>27</v>
      </c>
      <c r="AE40" s="22">
        <f t="shared" ref="AE40:AE71" si="3">SUM(S40:AD40)</f>
        <v>464.99900000000002</v>
      </c>
    </row>
    <row r="41" spans="1:31" ht="15" customHeight="1">
      <c r="A41" s="4">
        <v>34</v>
      </c>
      <c r="B41" s="10" t="s">
        <v>60</v>
      </c>
      <c r="C41" s="32" t="s">
        <v>162</v>
      </c>
      <c r="D41" s="22">
        <f t="shared" si="2"/>
        <v>7342.7525713553532</v>
      </c>
      <c r="E41" s="15" t="s">
        <v>27</v>
      </c>
      <c r="F41" s="15" t="s">
        <v>27</v>
      </c>
      <c r="G41" s="15" t="s">
        <v>27</v>
      </c>
      <c r="H41" s="15" t="s">
        <v>27</v>
      </c>
      <c r="I41" s="15" t="s">
        <v>27</v>
      </c>
      <c r="J41" s="3" t="s">
        <v>27</v>
      </c>
      <c r="K41" s="19"/>
      <c r="L41" s="15">
        <v>1792.1080749999999</v>
      </c>
      <c r="M41" s="15">
        <v>873.17571500000008</v>
      </c>
      <c r="N41" s="15">
        <v>1678.2107579999995</v>
      </c>
      <c r="O41" s="15">
        <v>1770.7417430000007</v>
      </c>
      <c r="P41" s="15">
        <v>668.35419900000011</v>
      </c>
      <c r="Q41" s="3">
        <v>560.16208135535283</v>
      </c>
      <c r="R41" s="19"/>
      <c r="S41" s="15" t="s">
        <v>27</v>
      </c>
      <c r="T41" s="15" t="s">
        <v>27</v>
      </c>
      <c r="U41" s="15" t="s">
        <v>27</v>
      </c>
      <c r="V41" s="15" t="s">
        <v>27</v>
      </c>
      <c r="W41" s="15" t="s">
        <v>27</v>
      </c>
      <c r="X41" s="15" t="s">
        <v>27</v>
      </c>
      <c r="Y41" s="15">
        <v>35.420999999999999</v>
      </c>
      <c r="Z41" s="15">
        <v>13.763999999999999</v>
      </c>
      <c r="AA41" s="15">
        <v>56.442</v>
      </c>
      <c r="AB41" s="15">
        <v>141.79599999999999</v>
      </c>
      <c r="AC41" s="15">
        <v>158.78100000000001</v>
      </c>
      <c r="AD41" s="15">
        <v>911.28700000000003</v>
      </c>
      <c r="AE41" s="22">
        <f t="shared" si="3"/>
        <v>1317.491</v>
      </c>
    </row>
    <row r="42" spans="1:31" ht="15" customHeight="1">
      <c r="A42" s="4">
        <v>35</v>
      </c>
      <c r="B42" s="10" t="s">
        <v>61</v>
      </c>
      <c r="C42" s="32" t="s">
        <v>151</v>
      </c>
      <c r="D42" s="22">
        <f t="shared" si="2"/>
        <v>357.21281582056844</v>
      </c>
      <c r="E42" s="15" t="s">
        <v>27</v>
      </c>
      <c r="F42" s="15">
        <v>16.221567999999998</v>
      </c>
      <c r="G42" s="15">
        <v>134.92956699999999</v>
      </c>
      <c r="H42" s="15">
        <v>101.950092</v>
      </c>
      <c r="I42" s="15">
        <v>38.547651999999999</v>
      </c>
      <c r="J42" s="3">
        <v>65.563936820568472</v>
      </c>
      <c r="K42" s="19"/>
      <c r="L42" s="15" t="s">
        <v>27</v>
      </c>
      <c r="M42" s="15" t="s">
        <v>27</v>
      </c>
      <c r="N42" s="15" t="s">
        <v>27</v>
      </c>
      <c r="O42" s="15" t="s">
        <v>27</v>
      </c>
      <c r="P42" s="15" t="s">
        <v>27</v>
      </c>
      <c r="Q42" s="3" t="s">
        <v>27</v>
      </c>
      <c r="R42" s="19"/>
      <c r="S42" s="15" t="s">
        <v>27</v>
      </c>
      <c r="T42" s="15">
        <v>5.423</v>
      </c>
      <c r="U42" s="15">
        <v>34.783000000000001</v>
      </c>
      <c r="V42" s="15">
        <v>51.63900000000001</v>
      </c>
      <c r="W42" s="15">
        <v>70.906000000000006</v>
      </c>
      <c r="X42" s="15">
        <v>383.166</v>
      </c>
      <c r="Y42" s="15" t="s">
        <v>27</v>
      </c>
      <c r="Z42" s="15" t="s">
        <v>27</v>
      </c>
      <c r="AA42" s="15" t="s">
        <v>27</v>
      </c>
      <c r="AB42" s="15" t="s">
        <v>27</v>
      </c>
      <c r="AC42" s="15" t="s">
        <v>27</v>
      </c>
      <c r="AD42" s="15" t="s">
        <v>27</v>
      </c>
      <c r="AE42" s="22">
        <f t="shared" si="3"/>
        <v>545.91700000000003</v>
      </c>
    </row>
    <row r="43" spans="1:31" ht="15" customHeight="1">
      <c r="A43" s="4">
        <v>36</v>
      </c>
      <c r="B43" s="10" t="s">
        <v>62</v>
      </c>
      <c r="C43" s="32" t="s">
        <v>151</v>
      </c>
      <c r="D43" s="22">
        <f t="shared" si="2"/>
        <v>1493.8907108113765</v>
      </c>
      <c r="E43" s="15" t="s">
        <v>27</v>
      </c>
      <c r="F43" s="15">
        <v>736.49916800000005</v>
      </c>
      <c r="G43" s="15">
        <v>26.097068</v>
      </c>
      <c r="H43" s="15">
        <v>340.35091399999999</v>
      </c>
      <c r="I43" s="15">
        <v>215.423359</v>
      </c>
      <c r="J43" s="3">
        <v>175.52020181137661</v>
      </c>
      <c r="K43" s="19"/>
      <c r="L43" s="15" t="s">
        <v>27</v>
      </c>
      <c r="M43" s="15" t="s">
        <v>27</v>
      </c>
      <c r="N43" s="15" t="s">
        <v>27</v>
      </c>
      <c r="O43" s="15" t="s">
        <v>27</v>
      </c>
      <c r="P43" s="15" t="s">
        <v>27</v>
      </c>
      <c r="Q43" s="3" t="s">
        <v>27</v>
      </c>
      <c r="R43" s="19"/>
      <c r="S43" s="15" t="s">
        <v>27</v>
      </c>
      <c r="T43" s="15">
        <v>47.599000000000004</v>
      </c>
      <c r="U43" s="15">
        <v>4.585</v>
      </c>
      <c r="V43" s="15">
        <v>100.99299999999999</v>
      </c>
      <c r="W43" s="15">
        <v>122.785</v>
      </c>
      <c r="X43" s="15">
        <v>493.322</v>
      </c>
      <c r="Y43" s="15" t="s">
        <v>27</v>
      </c>
      <c r="Z43" s="15" t="s">
        <v>27</v>
      </c>
      <c r="AA43" s="15" t="s">
        <v>27</v>
      </c>
      <c r="AB43" s="15" t="s">
        <v>27</v>
      </c>
      <c r="AC43" s="15" t="s">
        <v>27</v>
      </c>
      <c r="AD43" s="15" t="s">
        <v>27</v>
      </c>
      <c r="AE43" s="22">
        <f t="shared" si="3"/>
        <v>769.28399999999999</v>
      </c>
    </row>
    <row r="44" spans="1:31" ht="15" customHeight="1">
      <c r="A44" s="4">
        <v>37</v>
      </c>
      <c r="B44" s="10" t="s">
        <v>63</v>
      </c>
      <c r="C44" s="32" t="s">
        <v>152</v>
      </c>
      <c r="D44" s="22">
        <f t="shared" si="2"/>
        <v>1504.8392445782392</v>
      </c>
      <c r="E44" s="15">
        <v>444.47326400000003</v>
      </c>
      <c r="F44" s="15">
        <v>102.10856299999999</v>
      </c>
      <c r="G44" s="15">
        <v>121.37768099999998</v>
      </c>
      <c r="H44" s="15">
        <v>11.632872000000001</v>
      </c>
      <c r="I44" s="15">
        <v>61.676769000000014</v>
      </c>
      <c r="J44" s="3">
        <v>43.563990995727757</v>
      </c>
      <c r="K44" s="19"/>
      <c r="L44" s="15" t="s">
        <v>27</v>
      </c>
      <c r="M44" s="15" t="s">
        <v>27</v>
      </c>
      <c r="N44" s="15">
        <v>403.31107199999997</v>
      </c>
      <c r="O44" s="15">
        <v>162.19407199999998</v>
      </c>
      <c r="P44" s="15">
        <v>75.455982999999989</v>
      </c>
      <c r="Q44" s="3">
        <v>79.044977582511677</v>
      </c>
      <c r="R44" s="19"/>
      <c r="S44" s="15">
        <v>13.128</v>
      </c>
      <c r="T44" s="15">
        <v>5.4290000000000003</v>
      </c>
      <c r="U44" s="15">
        <v>33.752000000000002</v>
      </c>
      <c r="V44" s="15">
        <v>2.93</v>
      </c>
      <c r="W44" s="15">
        <v>75.77</v>
      </c>
      <c r="X44" s="15">
        <v>197.84100000000001</v>
      </c>
      <c r="Y44" s="15" t="s">
        <v>27</v>
      </c>
      <c r="Z44" s="15" t="s">
        <v>27</v>
      </c>
      <c r="AA44" s="15">
        <v>18.769000000000002</v>
      </c>
      <c r="AB44" s="15">
        <v>16.931999999999999</v>
      </c>
      <c r="AC44" s="15">
        <v>20.293000000000003</v>
      </c>
      <c r="AD44" s="15">
        <v>138.953</v>
      </c>
      <c r="AE44" s="22">
        <f t="shared" si="3"/>
        <v>523.79700000000003</v>
      </c>
    </row>
    <row r="45" spans="1:31" ht="15" customHeight="1">
      <c r="A45" s="4">
        <v>38</v>
      </c>
      <c r="B45" s="10" t="s">
        <v>64</v>
      </c>
      <c r="C45" s="32" t="s">
        <v>151</v>
      </c>
      <c r="D45" s="22">
        <f t="shared" si="2"/>
        <v>206.67343012737967</v>
      </c>
      <c r="E45" s="15" t="s">
        <v>27</v>
      </c>
      <c r="F45" s="15">
        <v>42.597308000000005</v>
      </c>
      <c r="G45" s="15">
        <v>29.880640999999997</v>
      </c>
      <c r="H45" s="15">
        <v>81.796607000000009</v>
      </c>
      <c r="I45" s="15">
        <v>21.978788999999999</v>
      </c>
      <c r="J45" s="3">
        <v>30.420085127379636</v>
      </c>
      <c r="K45" s="19"/>
      <c r="L45" s="15" t="s">
        <v>27</v>
      </c>
      <c r="M45" s="15" t="s">
        <v>27</v>
      </c>
      <c r="N45" s="15" t="s">
        <v>27</v>
      </c>
      <c r="O45" s="15" t="s">
        <v>27</v>
      </c>
      <c r="P45" s="15" t="s">
        <v>27</v>
      </c>
      <c r="Q45" s="3" t="s">
        <v>27</v>
      </c>
      <c r="R45" s="19"/>
      <c r="S45" s="15" t="s">
        <v>27</v>
      </c>
      <c r="T45" s="15">
        <v>8.8840000000000003</v>
      </c>
      <c r="U45" s="15">
        <v>25.108999999999998</v>
      </c>
      <c r="V45" s="15">
        <v>42.747</v>
      </c>
      <c r="W45" s="15">
        <v>55.185000000000002</v>
      </c>
      <c r="X45" s="15">
        <v>215.93</v>
      </c>
      <c r="Y45" s="15" t="s">
        <v>27</v>
      </c>
      <c r="Z45" s="15" t="s">
        <v>27</v>
      </c>
      <c r="AA45" s="15" t="s">
        <v>27</v>
      </c>
      <c r="AB45" s="15" t="s">
        <v>27</v>
      </c>
      <c r="AC45" s="15" t="s">
        <v>27</v>
      </c>
      <c r="AD45" s="15" t="s">
        <v>27</v>
      </c>
      <c r="AE45" s="22">
        <f t="shared" si="3"/>
        <v>347.85500000000002</v>
      </c>
    </row>
    <row r="46" spans="1:31" ht="15" customHeight="1">
      <c r="A46" s="4">
        <v>39</v>
      </c>
      <c r="B46" s="10" t="s">
        <v>65</v>
      </c>
      <c r="C46" s="32" t="s">
        <v>151</v>
      </c>
      <c r="D46" s="22">
        <f t="shared" si="2"/>
        <v>620.91298149388001</v>
      </c>
      <c r="E46" s="15">
        <v>445.52390400000002</v>
      </c>
      <c r="F46" s="15" t="s">
        <v>27</v>
      </c>
      <c r="G46" s="15">
        <v>4.9023919999999999</v>
      </c>
      <c r="H46" s="15">
        <v>125.19795099999997</v>
      </c>
      <c r="I46" s="15">
        <v>24.764234000000002</v>
      </c>
      <c r="J46" s="3">
        <v>20.524500493880012</v>
      </c>
      <c r="K46" s="19"/>
      <c r="L46" s="15" t="s">
        <v>27</v>
      </c>
      <c r="M46" s="15" t="s">
        <v>27</v>
      </c>
      <c r="N46" s="15" t="s">
        <v>27</v>
      </c>
      <c r="O46" s="15" t="s">
        <v>27</v>
      </c>
      <c r="P46" s="15" t="s">
        <v>27</v>
      </c>
      <c r="Q46" s="3" t="s">
        <v>27</v>
      </c>
      <c r="R46" s="19"/>
      <c r="S46" s="15">
        <v>16.457000000000001</v>
      </c>
      <c r="T46" s="15" t="s">
        <v>27</v>
      </c>
      <c r="U46" s="15">
        <v>2.1280000000000001</v>
      </c>
      <c r="V46" s="15">
        <v>40.501999999999995</v>
      </c>
      <c r="W46" s="15">
        <v>34.132000000000005</v>
      </c>
      <c r="X46" s="15">
        <v>100.15600000000001</v>
      </c>
      <c r="Y46" s="15" t="s">
        <v>27</v>
      </c>
      <c r="Z46" s="15" t="s">
        <v>27</v>
      </c>
      <c r="AA46" s="15" t="s">
        <v>27</v>
      </c>
      <c r="AB46" s="15" t="s">
        <v>27</v>
      </c>
      <c r="AC46" s="15" t="s">
        <v>27</v>
      </c>
      <c r="AD46" s="15" t="s">
        <v>27</v>
      </c>
      <c r="AE46" s="22">
        <f t="shared" si="3"/>
        <v>193.375</v>
      </c>
    </row>
    <row r="47" spans="1:31" ht="15" customHeight="1">
      <c r="A47" s="4">
        <v>40</v>
      </c>
      <c r="B47" s="10" t="s">
        <v>66</v>
      </c>
      <c r="C47" s="32" t="s">
        <v>151</v>
      </c>
      <c r="D47" s="22">
        <f t="shared" si="2"/>
        <v>360.74639393052388</v>
      </c>
      <c r="E47" s="15" t="s">
        <v>27</v>
      </c>
      <c r="F47" s="15">
        <v>202.12510500000002</v>
      </c>
      <c r="G47" s="15">
        <v>64.570702999999995</v>
      </c>
      <c r="H47" s="15">
        <v>29.364376</v>
      </c>
      <c r="I47" s="15">
        <v>25.122608</v>
      </c>
      <c r="J47" s="3">
        <v>39.56360193052388</v>
      </c>
      <c r="K47" s="19"/>
      <c r="L47" s="15" t="s">
        <v>27</v>
      </c>
      <c r="M47" s="15" t="s">
        <v>27</v>
      </c>
      <c r="N47" s="15" t="s">
        <v>27</v>
      </c>
      <c r="O47" s="15" t="s">
        <v>27</v>
      </c>
      <c r="P47" s="15" t="s">
        <v>27</v>
      </c>
      <c r="Q47" s="3" t="s">
        <v>27</v>
      </c>
      <c r="R47" s="19"/>
      <c r="S47" s="15" t="s">
        <v>27</v>
      </c>
      <c r="T47" s="15">
        <v>18.12</v>
      </c>
      <c r="U47" s="15">
        <v>27.968</v>
      </c>
      <c r="V47" s="15">
        <v>23.602</v>
      </c>
      <c r="W47" s="15">
        <v>52.72</v>
      </c>
      <c r="X47" s="15">
        <v>251.05700000000002</v>
      </c>
      <c r="Y47" s="15" t="s">
        <v>27</v>
      </c>
      <c r="Z47" s="15" t="s">
        <v>27</v>
      </c>
      <c r="AA47" s="15" t="s">
        <v>27</v>
      </c>
      <c r="AB47" s="15" t="s">
        <v>27</v>
      </c>
      <c r="AC47" s="15" t="s">
        <v>27</v>
      </c>
      <c r="AD47" s="15" t="s">
        <v>27</v>
      </c>
      <c r="AE47" s="22">
        <f t="shared" si="3"/>
        <v>373.46699999999998</v>
      </c>
    </row>
    <row r="48" spans="1:31" ht="15" customHeight="1">
      <c r="A48" s="4">
        <v>41</v>
      </c>
      <c r="B48" s="10" t="s">
        <v>67</v>
      </c>
      <c r="C48" s="32" t="s">
        <v>151</v>
      </c>
      <c r="D48" s="22">
        <f t="shared" si="2"/>
        <v>1262.7517257065122</v>
      </c>
      <c r="E48" s="15">
        <v>902.67408</v>
      </c>
      <c r="F48" s="15" t="s">
        <v>27</v>
      </c>
      <c r="G48" s="15" t="s">
        <v>27</v>
      </c>
      <c r="H48" s="15">
        <v>219.78642400000004</v>
      </c>
      <c r="I48" s="15">
        <v>54.393571999999999</v>
      </c>
      <c r="J48" s="3">
        <v>85.897649706512055</v>
      </c>
      <c r="K48" s="19"/>
      <c r="L48" s="15" t="s">
        <v>27</v>
      </c>
      <c r="M48" s="15" t="s">
        <v>27</v>
      </c>
      <c r="N48" s="15" t="s">
        <v>27</v>
      </c>
      <c r="O48" s="15" t="s">
        <v>27</v>
      </c>
      <c r="P48" s="15" t="s">
        <v>27</v>
      </c>
      <c r="Q48" s="3" t="s">
        <v>27</v>
      </c>
      <c r="R48" s="19"/>
      <c r="S48" s="15">
        <v>23.024000000000001</v>
      </c>
      <c r="T48" s="15" t="s">
        <v>27</v>
      </c>
      <c r="U48" s="15" t="s">
        <v>27</v>
      </c>
      <c r="V48" s="15">
        <v>71.778999999999996</v>
      </c>
      <c r="W48" s="15">
        <v>56.714000000000006</v>
      </c>
      <c r="X48" s="15">
        <v>352.09800000000001</v>
      </c>
      <c r="Y48" s="15" t="s">
        <v>27</v>
      </c>
      <c r="Z48" s="15" t="s">
        <v>27</v>
      </c>
      <c r="AA48" s="15" t="s">
        <v>27</v>
      </c>
      <c r="AB48" s="15" t="s">
        <v>27</v>
      </c>
      <c r="AC48" s="15" t="s">
        <v>27</v>
      </c>
      <c r="AD48" s="15" t="s">
        <v>27</v>
      </c>
      <c r="AE48" s="22">
        <f t="shared" si="3"/>
        <v>503.61500000000001</v>
      </c>
    </row>
    <row r="49" spans="1:31" ht="15" customHeight="1">
      <c r="A49" s="4">
        <v>42</v>
      </c>
      <c r="B49" s="10" t="s">
        <v>68</v>
      </c>
      <c r="C49" s="32" t="s">
        <v>152</v>
      </c>
      <c r="D49" s="22">
        <f t="shared" si="2"/>
        <v>1207.1774799427876</v>
      </c>
      <c r="E49" s="15" t="s">
        <v>27</v>
      </c>
      <c r="F49" s="15">
        <v>401.55978599999997</v>
      </c>
      <c r="G49" s="15">
        <v>66.024575999999996</v>
      </c>
      <c r="H49" s="15">
        <v>192.91829100000001</v>
      </c>
      <c r="I49" s="15">
        <v>130.95896100000002</v>
      </c>
      <c r="J49" s="3">
        <v>182.02035119185069</v>
      </c>
      <c r="K49" s="19"/>
      <c r="L49" s="15" t="s">
        <v>27</v>
      </c>
      <c r="M49" s="15">
        <v>54.016414000000005</v>
      </c>
      <c r="N49" s="15">
        <v>83.92431599999999</v>
      </c>
      <c r="O49" s="15">
        <v>35.730703999999996</v>
      </c>
      <c r="P49" s="15">
        <v>25.561803000000005</v>
      </c>
      <c r="Q49" s="3">
        <v>34.462277750936757</v>
      </c>
      <c r="R49" s="19"/>
      <c r="S49" s="15" t="s">
        <v>27</v>
      </c>
      <c r="T49" s="15">
        <v>43.555999999999997</v>
      </c>
      <c r="U49" s="15">
        <v>19.29</v>
      </c>
      <c r="V49" s="15">
        <v>106.229</v>
      </c>
      <c r="W49" s="15">
        <v>157.61600000000001</v>
      </c>
      <c r="X49" s="15">
        <v>816.096</v>
      </c>
      <c r="Y49" s="15" t="s">
        <v>27</v>
      </c>
      <c r="Z49" s="15">
        <v>3.7889999999999997</v>
      </c>
      <c r="AA49" s="15">
        <v>8.0500000000000007</v>
      </c>
      <c r="AB49" s="15">
        <v>8.1959999999999997</v>
      </c>
      <c r="AC49" s="15">
        <v>8.1140000000000008</v>
      </c>
      <c r="AD49" s="15">
        <v>67.192000000000007</v>
      </c>
      <c r="AE49" s="22">
        <f t="shared" si="3"/>
        <v>1238.1279999999999</v>
      </c>
    </row>
    <row r="50" spans="1:31" ht="15" customHeight="1">
      <c r="A50" s="4">
        <v>43</v>
      </c>
      <c r="B50" s="10" t="s">
        <v>69</v>
      </c>
      <c r="C50" s="32" t="s">
        <v>151</v>
      </c>
      <c r="D50" s="22">
        <f t="shared" si="2"/>
        <v>880.39331251381441</v>
      </c>
      <c r="E50" s="15" t="s">
        <v>27</v>
      </c>
      <c r="F50" s="15">
        <v>273.84128600000003</v>
      </c>
      <c r="G50" s="15">
        <v>93.124791000000002</v>
      </c>
      <c r="H50" s="15">
        <v>243.25986100000003</v>
      </c>
      <c r="I50" s="15">
        <v>96.686734000000001</v>
      </c>
      <c r="J50" s="3">
        <v>173.48064051381434</v>
      </c>
      <c r="K50" s="19"/>
      <c r="L50" s="15" t="s">
        <v>27</v>
      </c>
      <c r="M50" s="15" t="s">
        <v>27</v>
      </c>
      <c r="N50" s="15" t="s">
        <v>27</v>
      </c>
      <c r="O50" s="15" t="s">
        <v>27</v>
      </c>
      <c r="P50" s="15" t="s">
        <v>27</v>
      </c>
      <c r="Q50" s="3" t="s">
        <v>27</v>
      </c>
      <c r="R50" s="19"/>
      <c r="S50" s="15" t="s">
        <v>27</v>
      </c>
      <c r="T50" s="15">
        <v>31.216000000000001</v>
      </c>
      <c r="U50" s="15">
        <v>22.023</v>
      </c>
      <c r="V50" s="15">
        <v>107.11199999999999</v>
      </c>
      <c r="W50" s="15">
        <v>103.113</v>
      </c>
      <c r="X50" s="15">
        <v>721.20500000000004</v>
      </c>
      <c r="Y50" s="15" t="s">
        <v>27</v>
      </c>
      <c r="Z50" s="15" t="s">
        <v>27</v>
      </c>
      <c r="AA50" s="15" t="s">
        <v>27</v>
      </c>
      <c r="AB50" s="15" t="s">
        <v>27</v>
      </c>
      <c r="AC50" s="15" t="s">
        <v>27</v>
      </c>
      <c r="AD50" s="15" t="s">
        <v>27</v>
      </c>
      <c r="AE50" s="22">
        <f t="shared" si="3"/>
        <v>984.6690000000001</v>
      </c>
    </row>
    <row r="51" spans="1:31" ht="15" customHeight="1">
      <c r="A51" s="4">
        <v>44</v>
      </c>
      <c r="B51" s="10" t="s">
        <v>70</v>
      </c>
      <c r="C51" s="32" t="s">
        <v>151</v>
      </c>
      <c r="D51" s="22">
        <f t="shared" si="2"/>
        <v>270.46124525473692</v>
      </c>
      <c r="E51" s="15" t="s">
        <v>27</v>
      </c>
      <c r="F51" s="15" t="s">
        <v>27</v>
      </c>
      <c r="G51" s="15">
        <v>95.866833999999997</v>
      </c>
      <c r="H51" s="15">
        <v>85.949112999999997</v>
      </c>
      <c r="I51" s="15">
        <v>31.507248000000001</v>
      </c>
      <c r="J51" s="3">
        <v>57.138050254736925</v>
      </c>
      <c r="K51" s="19"/>
      <c r="L51" s="15" t="s">
        <v>27</v>
      </c>
      <c r="M51" s="15" t="s">
        <v>27</v>
      </c>
      <c r="N51" s="15" t="s">
        <v>27</v>
      </c>
      <c r="O51" s="15" t="s">
        <v>27</v>
      </c>
      <c r="P51" s="15" t="s">
        <v>27</v>
      </c>
      <c r="Q51" s="3" t="s">
        <v>27</v>
      </c>
      <c r="R51" s="19"/>
      <c r="S51" s="15" t="s">
        <v>27</v>
      </c>
      <c r="T51" s="15" t="s">
        <v>27</v>
      </c>
      <c r="U51" s="15">
        <v>26.677000000000003</v>
      </c>
      <c r="V51" s="15">
        <v>37.582999999999998</v>
      </c>
      <c r="W51" s="15">
        <v>91.153000000000006</v>
      </c>
      <c r="X51" s="15">
        <v>443.12900000000002</v>
      </c>
      <c r="Y51" s="15" t="s">
        <v>27</v>
      </c>
      <c r="Z51" s="15" t="s">
        <v>27</v>
      </c>
      <c r="AA51" s="15" t="s">
        <v>27</v>
      </c>
      <c r="AB51" s="15" t="s">
        <v>27</v>
      </c>
      <c r="AC51" s="15" t="s">
        <v>27</v>
      </c>
      <c r="AD51" s="15" t="s">
        <v>27</v>
      </c>
      <c r="AE51" s="22">
        <f t="shared" si="3"/>
        <v>598.54200000000003</v>
      </c>
    </row>
    <row r="52" spans="1:31" ht="15" customHeight="1">
      <c r="A52" s="4">
        <v>45</v>
      </c>
      <c r="B52" s="10" t="s">
        <v>71</v>
      </c>
      <c r="C52" s="32" t="s">
        <v>153</v>
      </c>
      <c r="D52" s="22">
        <f t="shared" si="2"/>
        <v>908.62328983940188</v>
      </c>
      <c r="E52" s="15" t="s">
        <v>27</v>
      </c>
      <c r="F52" s="15">
        <v>283.35084699999999</v>
      </c>
      <c r="G52" s="15" t="s">
        <v>27</v>
      </c>
      <c r="H52" s="15">
        <v>131.48756299999999</v>
      </c>
      <c r="I52" s="15">
        <v>29.870673000000004</v>
      </c>
      <c r="J52" s="3">
        <v>83.107998843250883</v>
      </c>
      <c r="K52" s="19"/>
      <c r="L52" s="15" t="s">
        <v>27</v>
      </c>
      <c r="M52" s="15" t="s">
        <v>27</v>
      </c>
      <c r="N52" s="15">
        <v>159.584778</v>
      </c>
      <c r="O52" s="15">
        <v>94.488275999999985</v>
      </c>
      <c r="P52" s="15">
        <v>56.916779999999996</v>
      </c>
      <c r="Q52" s="3">
        <v>69.816373996151029</v>
      </c>
      <c r="R52" s="19"/>
      <c r="S52" s="15" t="s">
        <v>27</v>
      </c>
      <c r="T52" s="15">
        <v>37.054000000000002</v>
      </c>
      <c r="U52" s="15" t="s">
        <v>27</v>
      </c>
      <c r="V52" s="15">
        <v>75.06</v>
      </c>
      <c r="W52" s="15">
        <v>64.599000000000004</v>
      </c>
      <c r="X52" s="15">
        <v>537.38499999999999</v>
      </c>
      <c r="Y52" s="15" t="s">
        <v>27</v>
      </c>
      <c r="Z52" s="15" t="s">
        <v>27</v>
      </c>
      <c r="AA52" s="15">
        <v>8.1829999999999998</v>
      </c>
      <c r="AB52" s="15">
        <v>10.863</v>
      </c>
      <c r="AC52" s="15">
        <v>13.437000000000001</v>
      </c>
      <c r="AD52" s="15">
        <v>113.134</v>
      </c>
      <c r="AE52" s="22">
        <f t="shared" si="3"/>
        <v>859.71500000000003</v>
      </c>
    </row>
    <row r="53" spans="1:31" ht="15" customHeight="1">
      <c r="A53" s="4">
        <v>46</v>
      </c>
      <c r="B53" s="10" t="s">
        <v>72</v>
      </c>
      <c r="C53" s="32" t="s">
        <v>151</v>
      </c>
      <c r="D53" s="22">
        <f t="shared" si="2"/>
        <v>282.66657930783077</v>
      </c>
      <c r="E53" s="15" t="s">
        <v>27</v>
      </c>
      <c r="F53" s="15">
        <v>168.75064600000002</v>
      </c>
      <c r="G53" s="15" t="s">
        <v>27</v>
      </c>
      <c r="H53" s="15">
        <v>33.273512000000004</v>
      </c>
      <c r="I53" s="15">
        <v>41.981833000000009</v>
      </c>
      <c r="J53" s="3">
        <v>38.660588307830722</v>
      </c>
      <c r="K53" s="19"/>
      <c r="L53" s="15" t="s">
        <v>27</v>
      </c>
      <c r="M53" s="15" t="s">
        <v>27</v>
      </c>
      <c r="N53" s="15" t="s">
        <v>27</v>
      </c>
      <c r="O53" s="15" t="s">
        <v>27</v>
      </c>
      <c r="P53" s="15" t="s">
        <v>27</v>
      </c>
      <c r="Q53" s="3" t="s">
        <v>27</v>
      </c>
      <c r="R53" s="19"/>
      <c r="S53" s="15" t="s">
        <v>27</v>
      </c>
      <c r="T53" s="15">
        <v>18.753</v>
      </c>
      <c r="U53" s="15" t="s">
        <v>27</v>
      </c>
      <c r="V53" s="15">
        <v>24.04</v>
      </c>
      <c r="W53" s="15">
        <v>78.953000000000003</v>
      </c>
      <c r="X53" s="15">
        <v>229.08799999999999</v>
      </c>
      <c r="Y53" s="15" t="s">
        <v>27</v>
      </c>
      <c r="Z53" s="15" t="s">
        <v>27</v>
      </c>
      <c r="AA53" s="15" t="s">
        <v>27</v>
      </c>
      <c r="AB53" s="15" t="s">
        <v>27</v>
      </c>
      <c r="AC53" s="15" t="s">
        <v>27</v>
      </c>
      <c r="AD53" s="15" t="s">
        <v>27</v>
      </c>
      <c r="AE53" s="22">
        <f t="shared" si="3"/>
        <v>350.834</v>
      </c>
    </row>
    <row r="54" spans="1:31" ht="15" customHeight="1">
      <c r="A54" s="4">
        <v>47</v>
      </c>
      <c r="B54" s="10" t="s">
        <v>73</v>
      </c>
      <c r="C54" s="32" t="s">
        <v>152</v>
      </c>
      <c r="D54" s="22">
        <f t="shared" si="2"/>
        <v>3673.5120219973851</v>
      </c>
      <c r="E54" s="15">
        <v>780.14185199999997</v>
      </c>
      <c r="F54" s="15">
        <v>322.63072299999999</v>
      </c>
      <c r="G54" s="15">
        <v>93.288614999999993</v>
      </c>
      <c r="H54" s="15">
        <v>227.28720800000002</v>
      </c>
      <c r="I54" s="15">
        <v>184.93679500000005</v>
      </c>
      <c r="J54" s="3">
        <v>178.44544509848581</v>
      </c>
      <c r="K54" s="19"/>
      <c r="L54" s="15">
        <v>272.02668</v>
      </c>
      <c r="M54" s="15">
        <v>125.82201699999999</v>
      </c>
      <c r="N54" s="15">
        <v>455.74535100000003</v>
      </c>
      <c r="O54" s="15">
        <v>601.9691039999999</v>
      </c>
      <c r="P54" s="15">
        <v>231.69056399999997</v>
      </c>
      <c r="Q54" s="3">
        <v>199.52766789889915</v>
      </c>
      <c r="R54" s="19"/>
      <c r="S54" s="15">
        <v>18.713000000000001</v>
      </c>
      <c r="T54" s="15">
        <v>25.183999999999997</v>
      </c>
      <c r="U54" s="15">
        <v>13.275</v>
      </c>
      <c r="V54" s="15">
        <v>78.590999999999994</v>
      </c>
      <c r="W54" s="15">
        <v>139.26499999999999</v>
      </c>
      <c r="X54" s="15">
        <v>596.88199999999995</v>
      </c>
      <c r="Y54" s="15">
        <v>5.9340000000000002</v>
      </c>
      <c r="Z54" s="15">
        <v>8.4160000000000004</v>
      </c>
      <c r="AA54" s="15">
        <v>17.360999999999997</v>
      </c>
      <c r="AB54" s="15">
        <v>63.62</v>
      </c>
      <c r="AC54" s="15">
        <v>52.195</v>
      </c>
      <c r="AD54" s="15">
        <v>314</v>
      </c>
      <c r="AE54" s="22">
        <f t="shared" si="3"/>
        <v>1333.4359999999999</v>
      </c>
    </row>
    <row r="55" spans="1:31" ht="15" customHeight="1">
      <c r="A55" s="4">
        <v>48</v>
      </c>
      <c r="B55" s="10" t="s">
        <v>74</v>
      </c>
      <c r="C55" s="32" t="s">
        <v>151</v>
      </c>
      <c r="D55" s="22">
        <f t="shared" si="2"/>
        <v>843.75110251864703</v>
      </c>
      <c r="E55" s="15" t="s">
        <v>27</v>
      </c>
      <c r="F55" s="15">
        <v>237.94477099999995</v>
      </c>
      <c r="G55" s="15">
        <v>173.97765699999999</v>
      </c>
      <c r="H55" s="15">
        <v>222.36295799999999</v>
      </c>
      <c r="I55" s="15">
        <v>102.25689599999998</v>
      </c>
      <c r="J55" s="3">
        <v>107.20882051864703</v>
      </c>
      <c r="K55" s="19"/>
      <c r="L55" s="15" t="s">
        <v>27</v>
      </c>
      <c r="M55" s="15" t="s">
        <v>27</v>
      </c>
      <c r="N55" s="15" t="s">
        <v>27</v>
      </c>
      <c r="O55" s="15" t="s">
        <v>27</v>
      </c>
      <c r="P55" s="15" t="s">
        <v>27</v>
      </c>
      <c r="Q55" s="3" t="s">
        <v>27</v>
      </c>
      <c r="R55" s="19"/>
      <c r="S55" s="15" t="s">
        <v>27</v>
      </c>
      <c r="T55" s="15">
        <v>39.182000000000002</v>
      </c>
      <c r="U55" s="15">
        <v>27.631999999999998</v>
      </c>
      <c r="V55" s="15">
        <v>89.828999999999994</v>
      </c>
      <c r="W55" s="15">
        <v>70.944000000000017</v>
      </c>
      <c r="X55" s="15">
        <v>340.70100000000002</v>
      </c>
      <c r="Y55" s="15" t="s">
        <v>27</v>
      </c>
      <c r="Z55" s="15" t="s">
        <v>27</v>
      </c>
      <c r="AA55" s="15" t="s">
        <v>27</v>
      </c>
      <c r="AB55" s="15" t="s">
        <v>27</v>
      </c>
      <c r="AC55" s="15" t="s">
        <v>27</v>
      </c>
      <c r="AD55" s="15" t="s">
        <v>27</v>
      </c>
      <c r="AE55" s="22">
        <f t="shared" si="3"/>
        <v>568.28800000000001</v>
      </c>
    </row>
    <row r="56" spans="1:31" ht="15" customHeight="1">
      <c r="A56" s="4">
        <v>49</v>
      </c>
      <c r="B56" s="10" t="s">
        <v>75</v>
      </c>
      <c r="C56" s="32" t="s">
        <v>152</v>
      </c>
      <c r="D56" s="22">
        <f t="shared" si="2"/>
        <v>381.63014726743802</v>
      </c>
      <c r="E56" s="15" t="s">
        <v>27</v>
      </c>
      <c r="F56" s="15" t="s">
        <v>27</v>
      </c>
      <c r="G56" s="15">
        <v>69.442690999999996</v>
      </c>
      <c r="H56" s="15">
        <v>123.52421200000002</v>
      </c>
      <c r="I56" s="15">
        <v>45.105324000000003</v>
      </c>
      <c r="J56" s="3">
        <v>70.333686548802561</v>
      </c>
      <c r="K56" s="19"/>
      <c r="L56" s="15" t="s">
        <v>27</v>
      </c>
      <c r="M56" s="15" t="s">
        <v>27</v>
      </c>
      <c r="N56" s="15">
        <v>22.724982000000001</v>
      </c>
      <c r="O56" s="15">
        <v>22.052781</v>
      </c>
      <c r="P56" s="15">
        <v>16.151915000000002</v>
      </c>
      <c r="Q56" s="3">
        <v>12.294555718635419</v>
      </c>
      <c r="R56" s="19"/>
      <c r="S56" s="15" t="s">
        <v>27</v>
      </c>
      <c r="T56" s="15" t="s">
        <v>27</v>
      </c>
      <c r="U56" s="15">
        <v>17.34</v>
      </c>
      <c r="V56" s="15">
        <v>54.582999999999998</v>
      </c>
      <c r="W56" s="15">
        <v>68.14200000000001</v>
      </c>
      <c r="X56" s="15">
        <v>363.46800000000002</v>
      </c>
      <c r="Y56" s="15" t="s">
        <v>27</v>
      </c>
      <c r="Z56" s="15" t="s">
        <v>27</v>
      </c>
      <c r="AA56" s="15">
        <v>2.1320000000000001</v>
      </c>
      <c r="AB56" s="15">
        <v>4.3479999999999999</v>
      </c>
      <c r="AC56" s="15">
        <v>5.2919999999999998</v>
      </c>
      <c r="AD56" s="15">
        <v>24.45</v>
      </c>
      <c r="AE56" s="22">
        <f t="shared" si="3"/>
        <v>539.75500000000011</v>
      </c>
    </row>
    <row r="57" spans="1:31" ht="15" customHeight="1">
      <c r="A57" s="4">
        <v>50</v>
      </c>
      <c r="B57" s="10" t="s">
        <v>76</v>
      </c>
      <c r="C57" s="32" t="s">
        <v>151</v>
      </c>
      <c r="D57" s="22">
        <f t="shared" si="2"/>
        <v>1060.3124991983223</v>
      </c>
      <c r="E57" s="15">
        <v>675.0888910000001</v>
      </c>
      <c r="F57" s="15" t="s">
        <v>27</v>
      </c>
      <c r="G57" s="15" t="s">
        <v>27</v>
      </c>
      <c r="H57" s="15">
        <v>248.53100699999999</v>
      </c>
      <c r="I57" s="15">
        <v>47.183247000000001</v>
      </c>
      <c r="J57" s="3">
        <v>89.509354198321944</v>
      </c>
      <c r="K57" s="19"/>
      <c r="L57" s="15" t="s">
        <v>27</v>
      </c>
      <c r="M57" s="15" t="s">
        <v>27</v>
      </c>
      <c r="N57" s="15" t="s">
        <v>27</v>
      </c>
      <c r="O57" s="15" t="s">
        <v>27</v>
      </c>
      <c r="P57" s="15" t="s">
        <v>27</v>
      </c>
      <c r="Q57" s="3" t="s">
        <v>27</v>
      </c>
      <c r="R57" s="19"/>
      <c r="S57" s="15">
        <v>20.666</v>
      </c>
      <c r="T57" s="15" t="s">
        <v>27</v>
      </c>
      <c r="U57" s="15" t="s">
        <v>27</v>
      </c>
      <c r="V57" s="15">
        <v>113.999</v>
      </c>
      <c r="W57" s="15">
        <v>97.270999999999987</v>
      </c>
      <c r="X57" s="15">
        <v>561.726</v>
      </c>
      <c r="Y57" s="15" t="s">
        <v>27</v>
      </c>
      <c r="Z57" s="15" t="s">
        <v>27</v>
      </c>
      <c r="AA57" s="15" t="s">
        <v>27</v>
      </c>
      <c r="AB57" s="15" t="s">
        <v>27</v>
      </c>
      <c r="AC57" s="15" t="s">
        <v>27</v>
      </c>
      <c r="AD57" s="15" t="s">
        <v>27</v>
      </c>
      <c r="AE57" s="22">
        <f t="shared" si="3"/>
        <v>793.66200000000003</v>
      </c>
    </row>
    <row r="58" spans="1:31" ht="15" customHeight="1">
      <c r="A58" s="4">
        <v>51</v>
      </c>
      <c r="B58" s="10" t="s">
        <v>77</v>
      </c>
      <c r="C58" s="32" t="s">
        <v>153</v>
      </c>
      <c r="D58" s="22">
        <f t="shared" si="2"/>
        <v>1603.3273124880027</v>
      </c>
      <c r="E58" s="15" t="s">
        <v>27</v>
      </c>
      <c r="F58" s="15">
        <v>320.80216899999999</v>
      </c>
      <c r="G58" s="15">
        <v>119.01827299999999</v>
      </c>
      <c r="H58" s="15">
        <v>78.230659999999986</v>
      </c>
      <c r="I58" s="15">
        <v>67.604255000000009</v>
      </c>
      <c r="J58" s="3">
        <v>93.883476751531859</v>
      </c>
      <c r="K58" s="19"/>
      <c r="L58" s="15" t="s">
        <v>27</v>
      </c>
      <c r="M58" s="15">
        <v>158.04871900000001</v>
      </c>
      <c r="N58" s="15">
        <v>393.74007499999999</v>
      </c>
      <c r="O58" s="15">
        <v>217.62477200000001</v>
      </c>
      <c r="P58" s="15">
        <v>95.662012000000033</v>
      </c>
      <c r="Q58" s="3">
        <v>58.712900736470942</v>
      </c>
      <c r="R58" s="19"/>
      <c r="S58" s="15" t="s">
        <v>27</v>
      </c>
      <c r="T58" s="15">
        <v>33.314999999999998</v>
      </c>
      <c r="U58" s="15">
        <v>24.148000000000003</v>
      </c>
      <c r="V58" s="15">
        <v>30.523999999999997</v>
      </c>
      <c r="W58" s="15">
        <v>107.18199999999999</v>
      </c>
      <c r="X58" s="15">
        <v>500.02100000000002</v>
      </c>
      <c r="Y58" s="15" t="s">
        <v>27</v>
      </c>
      <c r="Z58" s="15">
        <v>6.3730000000000002</v>
      </c>
      <c r="AA58" s="15">
        <v>18.135999999999999</v>
      </c>
      <c r="AB58" s="15">
        <v>26.586000000000006</v>
      </c>
      <c r="AC58" s="15">
        <v>27.105</v>
      </c>
      <c r="AD58" s="15">
        <v>106.631</v>
      </c>
      <c r="AE58" s="22">
        <f t="shared" si="3"/>
        <v>880.02100000000007</v>
      </c>
    </row>
    <row r="59" spans="1:31" ht="15" customHeight="1">
      <c r="A59" s="4">
        <v>52</v>
      </c>
      <c r="B59" s="10" t="s">
        <v>78</v>
      </c>
      <c r="C59" s="32" t="s">
        <v>151</v>
      </c>
      <c r="D59" s="22">
        <f t="shared" si="2"/>
        <v>690.54599786516769</v>
      </c>
      <c r="E59" s="15">
        <v>372.30077399999999</v>
      </c>
      <c r="F59" s="15" t="s">
        <v>27</v>
      </c>
      <c r="G59" s="15">
        <v>100.95903099999998</v>
      </c>
      <c r="H59" s="15">
        <v>105.07510800000001</v>
      </c>
      <c r="I59" s="15">
        <v>64.017719</v>
      </c>
      <c r="J59" s="3">
        <v>48.193365865167586</v>
      </c>
      <c r="K59" s="19"/>
      <c r="L59" s="15" t="s">
        <v>27</v>
      </c>
      <c r="M59" s="15" t="s">
        <v>27</v>
      </c>
      <c r="N59" s="15" t="s">
        <v>27</v>
      </c>
      <c r="O59" s="15" t="s">
        <v>27</v>
      </c>
      <c r="P59" s="15" t="s">
        <v>27</v>
      </c>
      <c r="Q59" s="3" t="s">
        <v>27</v>
      </c>
      <c r="R59" s="19"/>
      <c r="S59" s="15">
        <v>13.358999999999998</v>
      </c>
      <c r="T59" s="15" t="s">
        <v>27</v>
      </c>
      <c r="U59" s="15">
        <v>29.736000000000001</v>
      </c>
      <c r="V59" s="15">
        <v>51.801000000000002</v>
      </c>
      <c r="W59" s="15">
        <v>106.761</v>
      </c>
      <c r="X59" s="15">
        <v>264.91700000000003</v>
      </c>
      <c r="Y59" s="15" t="s">
        <v>27</v>
      </c>
      <c r="Z59" s="15" t="s">
        <v>27</v>
      </c>
      <c r="AA59" s="15" t="s">
        <v>27</v>
      </c>
      <c r="AB59" s="15" t="s">
        <v>27</v>
      </c>
      <c r="AC59" s="15" t="s">
        <v>27</v>
      </c>
      <c r="AD59" s="15" t="s">
        <v>27</v>
      </c>
      <c r="AE59" s="22">
        <f t="shared" si="3"/>
        <v>466.57400000000001</v>
      </c>
    </row>
    <row r="60" spans="1:31" ht="15" customHeight="1">
      <c r="A60" s="4">
        <v>53</v>
      </c>
      <c r="B60" s="10" t="s">
        <v>79</v>
      </c>
      <c r="C60" s="32" t="s">
        <v>151</v>
      </c>
      <c r="D60" s="22">
        <f t="shared" si="2"/>
        <v>197.48443707547216</v>
      </c>
      <c r="E60" s="15" t="s">
        <v>27</v>
      </c>
      <c r="F60" s="15">
        <v>88.174021999999994</v>
      </c>
      <c r="G60" s="15">
        <v>10.702182000000001</v>
      </c>
      <c r="H60" s="15">
        <v>56.346265999999993</v>
      </c>
      <c r="I60" s="15">
        <v>13.568165</v>
      </c>
      <c r="J60" s="3">
        <v>28.693802075472185</v>
      </c>
      <c r="K60" s="19"/>
      <c r="L60" s="15" t="s">
        <v>27</v>
      </c>
      <c r="M60" s="15" t="s">
        <v>27</v>
      </c>
      <c r="N60" s="15" t="s">
        <v>27</v>
      </c>
      <c r="O60" s="15" t="s">
        <v>27</v>
      </c>
      <c r="P60" s="15" t="s">
        <v>27</v>
      </c>
      <c r="Q60" s="3" t="s">
        <v>27</v>
      </c>
      <c r="R60" s="19"/>
      <c r="S60" s="15" t="s">
        <v>27</v>
      </c>
      <c r="T60" s="15">
        <v>19.391000000000002</v>
      </c>
      <c r="U60" s="15">
        <v>18.377000000000002</v>
      </c>
      <c r="V60" s="15">
        <v>47.042000000000002</v>
      </c>
      <c r="W60" s="15">
        <v>54.973999999999997</v>
      </c>
      <c r="X60" s="15">
        <v>274.654</v>
      </c>
      <c r="Y60" s="15" t="s">
        <v>27</v>
      </c>
      <c r="Z60" s="15" t="s">
        <v>27</v>
      </c>
      <c r="AA60" s="15" t="s">
        <v>27</v>
      </c>
      <c r="AB60" s="15" t="s">
        <v>27</v>
      </c>
      <c r="AC60" s="15" t="s">
        <v>27</v>
      </c>
      <c r="AD60" s="15" t="s">
        <v>27</v>
      </c>
      <c r="AE60" s="22">
        <f t="shared" si="3"/>
        <v>414.43799999999999</v>
      </c>
    </row>
    <row r="61" spans="1:31" ht="15" customHeight="1">
      <c r="A61" s="4">
        <v>54</v>
      </c>
      <c r="B61" s="10" t="s">
        <v>80</v>
      </c>
      <c r="C61" s="32" t="s">
        <v>152</v>
      </c>
      <c r="D61" s="22">
        <f t="shared" si="2"/>
        <v>1747.3388938534576</v>
      </c>
      <c r="E61" s="15" t="s">
        <v>27</v>
      </c>
      <c r="F61" s="15">
        <v>563.66782999999998</v>
      </c>
      <c r="G61" s="15">
        <v>78.629038999999992</v>
      </c>
      <c r="H61" s="15">
        <v>305.94914199999994</v>
      </c>
      <c r="I61" s="15">
        <v>121.12883099999999</v>
      </c>
      <c r="J61" s="3">
        <v>158.54078233970193</v>
      </c>
      <c r="K61" s="19"/>
      <c r="L61" s="15" t="s">
        <v>27</v>
      </c>
      <c r="M61" s="15">
        <v>124.27634199999999</v>
      </c>
      <c r="N61" s="15">
        <v>54.136115999999994</v>
      </c>
      <c r="O61" s="15">
        <v>188.97614900000002</v>
      </c>
      <c r="P61" s="15">
        <v>76.579225000000008</v>
      </c>
      <c r="Q61" s="3">
        <v>75.455437513755726</v>
      </c>
      <c r="R61" s="19"/>
      <c r="S61" s="15" t="s">
        <v>27</v>
      </c>
      <c r="T61" s="15">
        <v>42.097999999999999</v>
      </c>
      <c r="U61" s="15">
        <v>13.294</v>
      </c>
      <c r="V61" s="15">
        <v>95.064999999999998</v>
      </c>
      <c r="W61" s="15">
        <v>118.00199999999998</v>
      </c>
      <c r="X61" s="15">
        <v>622.86099999999999</v>
      </c>
      <c r="Y61" s="15" t="s">
        <v>27</v>
      </c>
      <c r="Z61" s="15">
        <v>6.47</v>
      </c>
      <c r="AA61" s="15">
        <v>4.17</v>
      </c>
      <c r="AB61" s="15">
        <v>16.303000000000001</v>
      </c>
      <c r="AC61" s="15">
        <v>18.667999999999999</v>
      </c>
      <c r="AD61" s="15">
        <v>124.74600000000001</v>
      </c>
      <c r="AE61" s="22">
        <f t="shared" si="3"/>
        <v>1061.6769999999999</v>
      </c>
    </row>
    <row r="62" spans="1:31" ht="15" customHeight="1">
      <c r="A62" s="4">
        <v>55</v>
      </c>
      <c r="B62" s="10" t="s">
        <v>81</v>
      </c>
      <c r="C62" s="32" t="s">
        <v>151</v>
      </c>
      <c r="D62" s="22">
        <f t="shared" si="2"/>
        <v>313.76498983713714</v>
      </c>
      <c r="E62" s="15" t="s">
        <v>27</v>
      </c>
      <c r="F62" s="15" t="s">
        <v>27</v>
      </c>
      <c r="G62" s="15">
        <v>160.73418099999998</v>
      </c>
      <c r="H62" s="15">
        <v>33.478687000000001</v>
      </c>
      <c r="I62" s="15">
        <v>37.001443999999999</v>
      </c>
      <c r="J62" s="3">
        <v>82.55067783713713</v>
      </c>
      <c r="K62" s="19"/>
      <c r="L62" s="15" t="s">
        <v>27</v>
      </c>
      <c r="M62" s="15" t="s">
        <v>27</v>
      </c>
      <c r="N62" s="15" t="s">
        <v>27</v>
      </c>
      <c r="O62" s="15" t="s">
        <v>27</v>
      </c>
      <c r="P62" s="15" t="s">
        <v>27</v>
      </c>
      <c r="Q62" s="3" t="s">
        <v>27</v>
      </c>
      <c r="R62" s="19"/>
      <c r="S62" s="15" t="s">
        <v>27</v>
      </c>
      <c r="T62" s="15" t="s">
        <v>27</v>
      </c>
      <c r="U62" s="15">
        <v>50.504000000000005</v>
      </c>
      <c r="V62" s="15">
        <v>40.6</v>
      </c>
      <c r="W62" s="15">
        <v>84.043000000000006</v>
      </c>
      <c r="X62" s="15">
        <v>550.39300000000003</v>
      </c>
      <c r="Y62" s="15" t="s">
        <v>27</v>
      </c>
      <c r="Z62" s="15" t="s">
        <v>27</v>
      </c>
      <c r="AA62" s="15" t="s">
        <v>27</v>
      </c>
      <c r="AB62" s="15" t="s">
        <v>27</v>
      </c>
      <c r="AC62" s="15" t="s">
        <v>27</v>
      </c>
      <c r="AD62" s="15" t="s">
        <v>27</v>
      </c>
      <c r="AE62" s="22">
        <f t="shared" si="3"/>
        <v>725.54000000000008</v>
      </c>
    </row>
    <row r="63" spans="1:31" ht="15" customHeight="1">
      <c r="A63" s="4">
        <v>56</v>
      </c>
      <c r="B63" s="10" t="s">
        <v>82</v>
      </c>
      <c r="C63" s="32" t="s">
        <v>153</v>
      </c>
      <c r="D63" s="22">
        <f t="shared" si="2"/>
        <v>19084.448564968217</v>
      </c>
      <c r="E63" s="15">
        <v>139.91239999999999</v>
      </c>
      <c r="F63" s="15">
        <v>114.629187</v>
      </c>
      <c r="G63" s="15">
        <v>103.73472500000001</v>
      </c>
      <c r="H63" s="15">
        <v>2.7071999999999998</v>
      </c>
      <c r="I63" s="15">
        <v>30.705646000000005</v>
      </c>
      <c r="J63" s="3">
        <v>33.891704672695163</v>
      </c>
      <c r="K63" s="19"/>
      <c r="L63" s="15">
        <v>7816.0597490000009</v>
      </c>
      <c r="M63" s="15">
        <v>469.20390000000003</v>
      </c>
      <c r="N63" s="15">
        <v>3714.2620800000009</v>
      </c>
      <c r="O63" s="15">
        <v>3207.8687400000017</v>
      </c>
      <c r="P63" s="15">
        <v>1632.4630339999999</v>
      </c>
      <c r="Q63" s="3">
        <v>1819.0101992955194</v>
      </c>
      <c r="R63" s="19"/>
      <c r="S63" s="15">
        <v>3.2090000000000001</v>
      </c>
      <c r="T63" s="15">
        <v>4.8919999999999995</v>
      </c>
      <c r="U63" s="15">
        <v>7.6080000000000005</v>
      </c>
      <c r="V63" s="15">
        <v>0.42299999999999999</v>
      </c>
      <c r="W63" s="15">
        <v>22.433999999999997</v>
      </c>
      <c r="X63" s="15">
        <v>111.24299999999999</v>
      </c>
      <c r="Y63" s="15">
        <v>93.622000000000028</v>
      </c>
      <c r="Z63" s="15">
        <v>13.651</v>
      </c>
      <c r="AA63" s="15">
        <v>158.70699999999997</v>
      </c>
      <c r="AB63" s="15">
        <v>239.84300000000002</v>
      </c>
      <c r="AC63" s="15">
        <v>264.68900000000019</v>
      </c>
      <c r="AD63" s="15">
        <v>2330.895</v>
      </c>
      <c r="AE63" s="22">
        <f t="shared" si="3"/>
        <v>3251.2160000000003</v>
      </c>
    </row>
    <row r="64" spans="1:31" ht="15" customHeight="1">
      <c r="A64" s="4">
        <v>57</v>
      </c>
      <c r="B64" s="10" t="s">
        <v>83</v>
      </c>
      <c r="C64" s="32" t="s">
        <v>161</v>
      </c>
      <c r="D64" s="22">
        <f t="shared" si="2"/>
        <v>939.37608402917328</v>
      </c>
      <c r="E64" s="15" t="s">
        <v>27</v>
      </c>
      <c r="F64" s="15">
        <v>221.06774999999999</v>
      </c>
      <c r="G64" s="15">
        <v>95.308890000000019</v>
      </c>
      <c r="H64" s="15">
        <v>61.865149000000009</v>
      </c>
      <c r="I64" s="15">
        <v>69.191451999999984</v>
      </c>
      <c r="J64" s="3">
        <v>60.063000732646024</v>
      </c>
      <c r="K64" s="19"/>
      <c r="L64" s="15" t="s">
        <v>27</v>
      </c>
      <c r="M64" s="15" t="s">
        <v>27</v>
      </c>
      <c r="N64" s="15">
        <v>223.14997599999995</v>
      </c>
      <c r="O64" s="15">
        <v>128.732247</v>
      </c>
      <c r="P64" s="15">
        <v>44.308934000000001</v>
      </c>
      <c r="Q64" s="3">
        <v>35.688685296527282</v>
      </c>
      <c r="R64" s="19"/>
      <c r="S64" s="15" t="s">
        <v>27</v>
      </c>
      <c r="T64" s="15">
        <v>9.0069999999999997</v>
      </c>
      <c r="U64" s="15">
        <v>10.97</v>
      </c>
      <c r="V64" s="15">
        <v>20.795999999999999</v>
      </c>
      <c r="W64" s="15">
        <v>57.892000000000003</v>
      </c>
      <c r="X64" s="15">
        <v>214.572</v>
      </c>
      <c r="Y64" s="15" t="s">
        <v>27</v>
      </c>
      <c r="Z64" s="15" t="s">
        <v>27</v>
      </c>
      <c r="AA64" s="15">
        <v>7.5410000000000004</v>
      </c>
      <c r="AB64" s="15">
        <v>11.031000000000001</v>
      </c>
      <c r="AC64" s="15">
        <v>14.526</v>
      </c>
      <c r="AD64" s="15">
        <v>71</v>
      </c>
      <c r="AE64" s="22">
        <f t="shared" si="3"/>
        <v>417.33499999999998</v>
      </c>
    </row>
    <row r="65" spans="1:31" ht="15" customHeight="1">
      <c r="A65" s="4">
        <v>58</v>
      </c>
      <c r="B65" s="10" t="s">
        <v>84</v>
      </c>
      <c r="C65" s="32" t="s">
        <v>151</v>
      </c>
      <c r="D65" s="22">
        <f t="shared" si="2"/>
        <v>668.8522034927438</v>
      </c>
      <c r="E65" s="15" t="s">
        <v>27</v>
      </c>
      <c r="F65" s="15">
        <v>235.599728</v>
      </c>
      <c r="G65" s="15">
        <v>19.914180000000002</v>
      </c>
      <c r="H65" s="15">
        <v>236.78887800000004</v>
      </c>
      <c r="I65" s="15">
        <v>88.298334000000011</v>
      </c>
      <c r="J65" s="3">
        <v>88.251083492743746</v>
      </c>
      <c r="K65" s="19"/>
      <c r="L65" s="15" t="s">
        <v>27</v>
      </c>
      <c r="M65" s="15" t="s">
        <v>27</v>
      </c>
      <c r="N65" s="15" t="s">
        <v>27</v>
      </c>
      <c r="O65" s="15" t="s">
        <v>27</v>
      </c>
      <c r="P65" s="15" t="s">
        <v>27</v>
      </c>
      <c r="Q65" s="3" t="s">
        <v>27</v>
      </c>
      <c r="R65" s="19"/>
      <c r="S65" s="15" t="s">
        <v>27</v>
      </c>
      <c r="T65" s="15">
        <v>24.847000000000001</v>
      </c>
      <c r="U65" s="15">
        <v>4.6420000000000003</v>
      </c>
      <c r="V65" s="15">
        <v>56.663000000000004</v>
      </c>
      <c r="W65" s="15">
        <v>88.402999999999992</v>
      </c>
      <c r="X65" s="15">
        <v>352.68600000000004</v>
      </c>
      <c r="Y65" s="15" t="s">
        <v>27</v>
      </c>
      <c r="Z65" s="15" t="s">
        <v>27</v>
      </c>
      <c r="AA65" s="15" t="s">
        <v>27</v>
      </c>
      <c r="AB65" s="15" t="s">
        <v>27</v>
      </c>
      <c r="AC65" s="15" t="s">
        <v>27</v>
      </c>
      <c r="AD65" s="15" t="s">
        <v>27</v>
      </c>
      <c r="AE65" s="22">
        <f t="shared" si="3"/>
        <v>527.24099999999999</v>
      </c>
    </row>
    <row r="66" spans="1:31" ht="15" customHeight="1">
      <c r="A66" s="4">
        <v>59</v>
      </c>
      <c r="B66" s="10" t="s">
        <v>85</v>
      </c>
      <c r="C66" s="32" t="s">
        <v>153</v>
      </c>
      <c r="D66" s="22">
        <f t="shared" si="2"/>
        <v>3919.0899895233811</v>
      </c>
      <c r="E66" s="15">
        <v>141.96720000000002</v>
      </c>
      <c r="F66" s="15" t="s">
        <v>27</v>
      </c>
      <c r="G66" s="15" t="s">
        <v>27</v>
      </c>
      <c r="H66" s="15">
        <v>111.784522</v>
      </c>
      <c r="I66" s="15">
        <v>16.827815999999999</v>
      </c>
      <c r="J66" s="3">
        <v>17.768203297786869</v>
      </c>
      <c r="K66" s="19"/>
      <c r="L66" s="15">
        <v>1987.2722960000001</v>
      </c>
      <c r="M66" s="15" t="s">
        <v>27</v>
      </c>
      <c r="N66" s="15">
        <v>141.27605499999999</v>
      </c>
      <c r="O66" s="15">
        <v>803.58969899999988</v>
      </c>
      <c r="P66" s="15">
        <v>350.39706000000007</v>
      </c>
      <c r="Q66" s="3">
        <v>348.20713822559441</v>
      </c>
      <c r="R66" s="19"/>
      <c r="S66" s="15">
        <v>3.1760000000000002</v>
      </c>
      <c r="T66" s="15" t="s">
        <v>27</v>
      </c>
      <c r="U66" s="15" t="s">
        <v>27</v>
      </c>
      <c r="V66" s="15">
        <v>37.072999999999993</v>
      </c>
      <c r="W66" s="15">
        <v>28.52</v>
      </c>
      <c r="X66" s="15">
        <v>98.661000000000001</v>
      </c>
      <c r="Y66" s="15">
        <v>16.248000000000001</v>
      </c>
      <c r="Z66" s="15" t="s">
        <v>27</v>
      </c>
      <c r="AA66" s="15">
        <v>12.365</v>
      </c>
      <c r="AB66" s="15">
        <v>68.128</v>
      </c>
      <c r="AC66" s="15">
        <v>66.114999999999995</v>
      </c>
      <c r="AD66" s="15">
        <v>490.53100000000001</v>
      </c>
      <c r="AE66" s="22">
        <f t="shared" si="3"/>
        <v>820.81700000000001</v>
      </c>
    </row>
    <row r="67" spans="1:31" ht="15" customHeight="1">
      <c r="A67" s="4">
        <v>60</v>
      </c>
      <c r="B67" s="10" t="s">
        <v>86</v>
      </c>
      <c r="C67" s="32" t="s">
        <v>151</v>
      </c>
      <c r="D67" s="22">
        <f t="shared" si="2"/>
        <v>504.96743134286254</v>
      </c>
      <c r="E67" s="15" t="s">
        <v>27</v>
      </c>
      <c r="F67" s="15">
        <v>183.55902500000002</v>
      </c>
      <c r="G67" s="15" t="s">
        <v>27</v>
      </c>
      <c r="H67" s="15">
        <v>171.77187199999997</v>
      </c>
      <c r="I67" s="15">
        <v>91.847719999999995</v>
      </c>
      <c r="J67" s="3">
        <v>57.788814342862551</v>
      </c>
      <c r="K67" s="19"/>
      <c r="L67" s="15" t="s">
        <v>27</v>
      </c>
      <c r="M67" s="15" t="s">
        <v>27</v>
      </c>
      <c r="N67" s="15" t="s">
        <v>27</v>
      </c>
      <c r="O67" s="15" t="s">
        <v>27</v>
      </c>
      <c r="P67" s="15" t="s">
        <v>27</v>
      </c>
      <c r="Q67" s="3" t="s">
        <v>27</v>
      </c>
      <c r="R67" s="19"/>
      <c r="S67" s="15" t="s">
        <v>27</v>
      </c>
      <c r="T67" s="15">
        <v>29.472999999999999</v>
      </c>
      <c r="U67" s="15" t="s">
        <v>27</v>
      </c>
      <c r="V67" s="15">
        <v>67.792999999999992</v>
      </c>
      <c r="W67" s="15">
        <v>100.636</v>
      </c>
      <c r="X67" s="15">
        <v>244.33500000000001</v>
      </c>
      <c r="Y67" s="15" t="s">
        <v>27</v>
      </c>
      <c r="Z67" s="15" t="s">
        <v>27</v>
      </c>
      <c r="AA67" s="15" t="s">
        <v>27</v>
      </c>
      <c r="AB67" s="15" t="s">
        <v>27</v>
      </c>
      <c r="AC67" s="15" t="s">
        <v>27</v>
      </c>
      <c r="AD67" s="15" t="s">
        <v>27</v>
      </c>
      <c r="AE67" s="22">
        <f t="shared" si="3"/>
        <v>442.23699999999997</v>
      </c>
    </row>
    <row r="68" spans="1:31" ht="15" customHeight="1">
      <c r="A68" s="4">
        <v>61</v>
      </c>
      <c r="B68" s="10" t="s">
        <v>87</v>
      </c>
      <c r="C68" s="32" t="s">
        <v>152</v>
      </c>
      <c r="D68" s="22">
        <f t="shared" si="2"/>
        <v>891.14804006338022</v>
      </c>
      <c r="E68" s="15" t="s">
        <v>27</v>
      </c>
      <c r="F68" s="15">
        <v>454.12132800000001</v>
      </c>
      <c r="G68" s="15" t="s">
        <v>27</v>
      </c>
      <c r="H68" s="15">
        <v>135.284614</v>
      </c>
      <c r="I68" s="15">
        <v>104.307631</v>
      </c>
      <c r="J68" s="3">
        <v>126.05023642020983</v>
      </c>
      <c r="K68" s="19"/>
      <c r="L68" s="15" t="s">
        <v>27</v>
      </c>
      <c r="M68" s="15" t="s">
        <v>27</v>
      </c>
      <c r="N68" s="15">
        <v>26.231531999999998</v>
      </c>
      <c r="O68" s="15">
        <v>25.499314000000002</v>
      </c>
      <c r="P68" s="15">
        <v>11.269693999999999</v>
      </c>
      <c r="Q68" s="3">
        <v>8.3836906431704481</v>
      </c>
      <c r="R68" s="19"/>
      <c r="S68" s="15" t="s">
        <v>27</v>
      </c>
      <c r="T68" s="15">
        <v>29.234000000000002</v>
      </c>
      <c r="U68" s="15" t="s">
        <v>27</v>
      </c>
      <c r="V68" s="15">
        <v>63.973999999999997</v>
      </c>
      <c r="W68" s="15">
        <v>91.325000000000003</v>
      </c>
      <c r="X68" s="15">
        <v>463.25799999999998</v>
      </c>
      <c r="Y68" s="15" t="s">
        <v>27</v>
      </c>
      <c r="Z68" s="15" t="s">
        <v>27</v>
      </c>
      <c r="AA68" s="15">
        <v>1.0209999999999999</v>
      </c>
      <c r="AB68" s="15">
        <v>2.9950000000000001</v>
      </c>
      <c r="AC68" s="15">
        <v>6.16</v>
      </c>
      <c r="AD68" s="15">
        <v>22.954999999999998</v>
      </c>
      <c r="AE68" s="22">
        <f t="shared" si="3"/>
        <v>680.92199999999991</v>
      </c>
    </row>
    <row r="69" spans="1:31" ht="15" customHeight="1">
      <c r="A69" s="4">
        <v>62</v>
      </c>
      <c r="B69" s="10" t="s">
        <v>88</v>
      </c>
      <c r="C69" s="32" t="s">
        <v>151</v>
      </c>
      <c r="D69" s="22">
        <f t="shared" si="2"/>
        <v>503.38155644940025</v>
      </c>
      <c r="E69" s="15">
        <v>135.62961999999999</v>
      </c>
      <c r="F69" s="15" t="s">
        <v>27</v>
      </c>
      <c r="G69" s="15">
        <v>145.22326899999999</v>
      </c>
      <c r="H69" s="15">
        <v>111.07816899999999</v>
      </c>
      <c r="I69" s="15">
        <v>49.756004999999995</v>
      </c>
      <c r="J69" s="3">
        <v>61.694493449400206</v>
      </c>
      <c r="K69" s="19"/>
      <c r="L69" s="15" t="s">
        <v>27</v>
      </c>
      <c r="M69" s="15" t="s">
        <v>27</v>
      </c>
      <c r="N69" s="15" t="s">
        <v>27</v>
      </c>
      <c r="O69" s="15" t="s">
        <v>27</v>
      </c>
      <c r="P69" s="15" t="s">
        <v>27</v>
      </c>
      <c r="Q69" s="3" t="s">
        <v>27</v>
      </c>
      <c r="R69" s="19"/>
      <c r="S69" s="15">
        <v>4.0389999999999997</v>
      </c>
      <c r="T69" s="15" t="s">
        <v>27</v>
      </c>
      <c r="U69" s="15">
        <v>27.327999999999999</v>
      </c>
      <c r="V69" s="15">
        <v>46.137</v>
      </c>
      <c r="W69" s="15">
        <v>76.887</v>
      </c>
      <c r="X69" s="15">
        <v>323.35899999999998</v>
      </c>
      <c r="Y69" s="15" t="s">
        <v>27</v>
      </c>
      <c r="Z69" s="15" t="s">
        <v>27</v>
      </c>
      <c r="AA69" s="15" t="s">
        <v>27</v>
      </c>
      <c r="AB69" s="15" t="s">
        <v>27</v>
      </c>
      <c r="AC69" s="15" t="s">
        <v>27</v>
      </c>
      <c r="AD69" s="15" t="s">
        <v>27</v>
      </c>
      <c r="AE69" s="22">
        <f t="shared" si="3"/>
        <v>477.75</v>
      </c>
    </row>
    <row r="70" spans="1:31" ht="15" customHeight="1">
      <c r="A70" s="4">
        <v>63</v>
      </c>
      <c r="B70" s="10" t="s">
        <v>89</v>
      </c>
      <c r="C70" s="32" t="s">
        <v>152</v>
      </c>
      <c r="D70" s="22">
        <f t="shared" si="2"/>
        <v>1996.6397693943113</v>
      </c>
      <c r="E70" s="15">
        <v>680.36462400000005</v>
      </c>
      <c r="F70" s="15">
        <v>130.23220900000001</v>
      </c>
      <c r="G70" s="15">
        <v>64.084711999999996</v>
      </c>
      <c r="H70" s="15">
        <v>383.94837999999999</v>
      </c>
      <c r="I70" s="15">
        <v>77.098331999999999</v>
      </c>
      <c r="J70" s="3">
        <v>171.41023814023097</v>
      </c>
      <c r="K70" s="19"/>
      <c r="L70" s="15">
        <v>127.78139999999999</v>
      </c>
      <c r="M70" s="15" t="s">
        <v>27</v>
      </c>
      <c r="N70" s="15">
        <v>198.18143700000002</v>
      </c>
      <c r="O70" s="15">
        <v>113.395944</v>
      </c>
      <c r="P70" s="15">
        <v>18.688033999999998</v>
      </c>
      <c r="Q70" s="3">
        <v>31.454459254080234</v>
      </c>
      <c r="R70" s="19"/>
      <c r="S70" s="15">
        <v>19.265999999999998</v>
      </c>
      <c r="T70" s="15">
        <v>16.487000000000002</v>
      </c>
      <c r="U70" s="15">
        <v>11.855</v>
      </c>
      <c r="V70" s="15">
        <v>101.82600000000001</v>
      </c>
      <c r="W70" s="15">
        <v>93.043999999999997</v>
      </c>
      <c r="X70" s="15">
        <v>769.82899999999995</v>
      </c>
      <c r="Y70" s="15">
        <v>3.5579999999999998</v>
      </c>
      <c r="Z70" s="15" t="s">
        <v>27</v>
      </c>
      <c r="AA70" s="15">
        <v>11.064</v>
      </c>
      <c r="AB70" s="15">
        <v>10.812000000000001</v>
      </c>
      <c r="AC70" s="15">
        <v>7.9480000000000004</v>
      </c>
      <c r="AD70" s="15">
        <v>73.626999999999995</v>
      </c>
      <c r="AE70" s="22">
        <f t="shared" si="3"/>
        <v>1119.316</v>
      </c>
    </row>
    <row r="71" spans="1:31" ht="15" customHeight="1">
      <c r="A71" s="4">
        <v>64</v>
      </c>
      <c r="B71" s="10" t="s">
        <v>90</v>
      </c>
      <c r="C71" s="32" t="s">
        <v>151</v>
      </c>
      <c r="D71" s="22">
        <f t="shared" si="2"/>
        <v>604.87789749629894</v>
      </c>
      <c r="E71" s="15" t="s">
        <v>27</v>
      </c>
      <c r="F71" s="15">
        <v>311.86513199999996</v>
      </c>
      <c r="G71" s="15" t="s">
        <v>27</v>
      </c>
      <c r="H71" s="15">
        <v>133.26900400000002</v>
      </c>
      <c r="I71" s="15">
        <v>60.410203000000003</v>
      </c>
      <c r="J71" s="3">
        <v>99.333558496298878</v>
      </c>
      <c r="K71" s="19"/>
      <c r="L71" s="15" t="s">
        <v>27</v>
      </c>
      <c r="M71" s="15" t="s">
        <v>27</v>
      </c>
      <c r="N71" s="15" t="s">
        <v>27</v>
      </c>
      <c r="O71" s="15" t="s">
        <v>27</v>
      </c>
      <c r="P71" s="15" t="s">
        <v>27</v>
      </c>
      <c r="Q71" s="3" t="s">
        <v>27</v>
      </c>
      <c r="R71" s="19"/>
      <c r="S71" s="15" t="s">
        <v>27</v>
      </c>
      <c r="T71" s="15">
        <v>34.152000000000001</v>
      </c>
      <c r="U71" s="15" t="s">
        <v>27</v>
      </c>
      <c r="V71" s="15">
        <v>96.075999999999993</v>
      </c>
      <c r="W71" s="15">
        <v>64.600999999999999</v>
      </c>
      <c r="X71" s="15">
        <v>413.65899999999999</v>
      </c>
      <c r="Y71" s="15" t="s">
        <v>27</v>
      </c>
      <c r="Z71" s="15" t="s">
        <v>27</v>
      </c>
      <c r="AA71" s="15" t="s">
        <v>27</v>
      </c>
      <c r="AB71" s="15" t="s">
        <v>27</v>
      </c>
      <c r="AC71" s="15" t="s">
        <v>27</v>
      </c>
      <c r="AD71" s="15" t="s">
        <v>27</v>
      </c>
      <c r="AE71" s="22">
        <f t="shared" si="3"/>
        <v>608.48800000000006</v>
      </c>
    </row>
    <row r="72" spans="1:31" ht="15" customHeight="1">
      <c r="A72" s="4">
        <v>65</v>
      </c>
      <c r="B72" s="10" t="s">
        <v>91</v>
      </c>
      <c r="C72" s="32" t="s">
        <v>151</v>
      </c>
      <c r="D72" s="22">
        <f t="shared" ref="D72:D103" si="4">SUM(E72:J72)+SUM(L72:Q72)</f>
        <v>197.35535747028982</v>
      </c>
      <c r="E72" s="15" t="s">
        <v>27</v>
      </c>
      <c r="F72" s="15" t="s">
        <v>27</v>
      </c>
      <c r="G72" s="15">
        <v>58.376956999999997</v>
      </c>
      <c r="H72" s="15">
        <v>55.918327000000005</v>
      </c>
      <c r="I72" s="15">
        <v>27.156912000000002</v>
      </c>
      <c r="J72" s="3">
        <v>55.90316147028981</v>
      </c>
      <c r="K72" s="19"/>
      <c r="L72" s="15" t="s">
        <v>27</v>
      </c>
      <c r="M72" s="15" t="s">
        <v>27</v>
      </c>
      <c r="N72" s="15" t="s">
        <v>27</v>
      </c>
      <c r="O72" s="15" t="s">
        <v>27</v>
      </c>
      <c r="P72" s="15" t="s">
        <v>27</v>
      </c>
      <c r="Q72" s="3" t="s">
        <v>27</v>
      </c>
      <c r="R72" s="19"/>
      <c r="S72" s="15" t="s">
        <v>27</v>
      </c>
      <c r="T72" s="15" t="s">
        <v>27</v>
      </c>
      <c r="U72" s="15">
        <v>14.845000000000001</v>
      </c>
      <c r="V72" s="15">
        <v>39.338000000000001</v>
      </c>
      <c r="W72" s="15">
        <v>55.334000000000003</v>
      </c>
      <c r="X72" s="15">
        <v>348.27</v>
      </c>
      <c r="Y72" s="15" t="s">
        <v>27</v>
      </c>
      <c r="Z72" s="15" t="s">
        <v>27</v>
      </c>
      <c r="AA72" s="15" t="s">
        <v>27</v>
      </c>
      <c r="AB72" s="15" t="s">
        <v>27</v>
      </c>
      <c r="AC72" s="15" t="s">
        <v>27</v>
      </c>
      <c r="AD72" s="15" t="s">
        <v>27</v>
      </c>
      <c r="AE72" s="22">
        <f t="shared" ref="AE72:AE103" si="5">SUM(S72:AD72)</f>
        <v>457.78699999999998</v>
      </c>
    </row>
    <row r="73" spans="1:31" ht="15" customHeight="1">
      <c r="A73" s="4">
        <v>66</v>
      </c>
      <c r="B73" s="10" t="s">
        <v>92</v>
      </c>
      <c r="C73" s="32" t="s">
        <v>151</v>
      </c>
      <c r="D73" s="22">
        <f t="shared" si="4"/>
        <v>404.21851628668145</v>
      </c>
      <c r="E73" s="15" t="s">
        <v>27</v>
      </c>
      <c r="F73" s="15">
        <v>76.469728000000003</v>
      </c>
      <c r="G73" s="15">
        <v>91.308651000000012</v>
      </c>
      <c r="H73" s="15">
        <v>84.705294999999992</v>
      </c>
      <c r="I73" s="15">
        <v>64.066941999999997</v>
      </c>
      <c r="J73" s="3">
        <v>87.667900286681444</v>
      </c>
      <c r="K73" s="19"/>
      <c r="L73" s="15" t="s">
        <v>27</v>
      </c>
      <c r="M73" s="15" t="s">
        <v>27</v>
      </c>
      <c r="N73" s="15" t="s">
        <v>27</v>
      </c>
      <c r="O73" s="15" t="s">
        <v>27</v>
      </c>
      <c r="P73" s="15" t="s">
        <v>27</v>
      </c>
      <c r="Q73" s="3" t="s">
        <v>27</v>
      </c>
      <c r="R73" s="19"/>
      <c r="S73" s="15" t="s">
        <v>27</v>
      </c>
      <c r="T73" s="15">
        <v>15.097000000000001</v>
      </c>
      <c r="U73" s="15">
        <v>26.137</v>
      </c>
      <c r="V73" s="15">
        <v>43.134999999999998</v>
      </c>
      <c r="W73" s="15">
        <v>72.034999999999997</v>
      </c>
      <c r="X73" s="15">
        <v>376.7</v>
      </c>
      <c r="Y73" s="15" t="s">
        <v>27</v>
      </c>
      <c r="Z73" s="15" t="s">
        <v>27</v>
      </c>
      <c r="AA73" s="15" t="s">
        <v>27</v>
      </c>
      <c r="AB73" s="15" t="s">
        <v>27</v>
      </c>
      <c r="AC73" s="15" t="s">
        <v>27</v>
      </c>
      <c r="AD73" s="15" t="s">
        <v>27</v>
      </c>
      <c r="AE73" s="22">
        <f t="shared" si="5"/>
        <v>533.10400000000004</v>
      </c>
    </row>
    <row r="74" spans="1:31" ht="15" customHeight="1">
      <c r="A74" s="4">
        <v>67</v>
      </c>
      <c r="B74" s="10" t="s">
        <v>93</v>
      </c>
      <c r="C74" s="32" t="s">
        <v>151</v>
      </c>
      <c r="D74" s="22">
        <f t="shared" si="4"/>
        <v>711.21038094391417</v>
      </c>
      <c r="E74" s="15" t="s">
        <v>27</v>
      </c>
      <c r="F74" s="15">
        <v>278.67399799999998</v>
      </c>
      <c r="G74" s="15" t="s">
        <v>27</v>
      </c>
      <c r="H74" s="15">
        <v>219.08324400000001</v>
      </c>
      <c r="I74" s="15">
        <v>88.600099</v>
      </c>
      <c r="J74" s="3">
        <v>124.85303994391415</v>
      </c>
      <c r="K74" s="19"/>
      <c r="L74" s="15" t="s">
        <v>27</v>
      </c>
      <c r="M74" s="15" t="s">
        <v>27</v>
      </c>
      <c r="N74" s="15" t="s">
        <v>27</v>
      </c>
      <c r="O74" s="15" t="s">
        <v>27</v>
      </c>
      <c r="P74" s="15" t="s">
        <v>27</v>
      </c>
      <c r="Q74" s="3" t="s">
        <v>27</v>
      </c>
      <c r="R74" s="19"/>
      <c r="S74" s="15" t="s">
        <v>27</v>
      </c>
      <c r="T74" s="15">
        <v>47.148999999999994</v>
      </c>
      <c r="U74" s="15" t="s">
        <v>27</v>
      </c>
      <c r="V74" s="15">
        <v>96.072000000000003</v>
      </c>
      <c r="W74" s="15">
        <v>72.759</v>
      </c>
      <c r="X74" s="15">
        <v>440.85500000000002</v>
      </c>
      <c r="Y74" s="15" t="s">
        <v>27</v>
      </c>
      <c r="Z74" s="15" t="s">
        <v>27</v>
      </c>
      <c r="AA74" s="15" t="s">
        <v>27</v>
      </c>
      <c r="AB74" s="15" t="s">
        <v>27</v>
      </c>
      <c r="AC74" s="15" t="s">
        <v>27</v>
      </c>
      <c r="AD74" s="15" t="s">
        <v>27</v>
      </c>
      <c r="AE74" s="22">
        <f t="shared" si="5"/>
        <v>656.83500000000004</v>
      </c>
    </row>
    <row r="75" spans="1:31" ht="15" customHeight="1">
      <c r="A75" s="4">
        <v>68</v>
      </c>
      <c r="B75" s="10" t="s">
        <v>94</v>
      </c>
      <c r="C75" s="32" t="s">
        <v>151</v>
      </c>
      <c r="D75" s="22">
        <f t="shared" si="4"/>
        <v>435.91954962764555</v>
      </c>
      <c r="E75" s="15" t="s">
        <v>27</v>
      </c>
      <c r="F75" s="15">
        <v>232.16761299999999</v>
      </c>
      <c r="G75" s="15" t="s">
        <v>27</v>
      </c>
      <c r="H75" s="15">
        <v>89.075926999999993</v>
      </c>
      <c r="I75" s="15">
        <v>40.989972999999992</v>
      </c>
      <c r="J75" s="3">
        <v>73.686036627645535</v>
      </c>
      <c r="K75" s="19"/>
      <c r="L75" s="15" t="s">
        <v>27</v>
      </c>
      <c r="M75" s="15" t="s">
        <v>27</v>
      </c>
      <c r="N75" s="15" t="s">
        <v>27</v>
      </c>
      <c r="O75" s="15" t="s">
        <v>27</v>
      </c>
      <c r="P75" s="15" t="s">
        <v>27</v>
      </c>
      <c r="Q75" s="3" t="s">
        <v>27</v>
      </c>
      <c r="R75" s="19"/>
      <c r="S75" s="15" t="s">
        <v>27</v>
      </c>
      <c r="T75" s="15">
        <v>52.725999999999999</v>
      </c>
      <c r="U75" s="15" t="s">
        <v>27</v>
      </c>
      <c r="V75" s="15">
        <v>67.245999999999995</v>
      </c>
      <c r="W75" s="15">
        <v>83.260999999999996</v>
      </c>
      <c r="X75" s="15">
        <v>458.166</v>
      </c>
      <c r="Y75" s="15" t="s">
        <v>27</v>
      </c>
      <c r="Z75" s="15" t="s">
        <v>27</v>
      </c>
      <c r="AA75" s="15" t="s">
        <v>27</v>
      </c>
      <c r="AB75" s="15" t="s">
        <v>27</v>
      </c>
      <c r="AC75" s="15" t="s">
        <v>27</v>
      </c>
      <c r="AD75" s="15" t="s">
        <v>27</v>
      </c>
      <c r="AE75" s="22">
        <f t="shared" si="5"/>
        <v>661.399</v>
      </c>
    </row>
    <row r="76" spans="1:31" ht="15" customHeight="1">
      <c r="A76" s="4">
        <v>69</v>
      </c>
      <c r="B76" s="10" t="s">
        <v>95</v>
      </c>
      <c r="C76" s="32" t="s">
        <v>151</v>
      </c>
      <c r="D76" s="22">
        <f t="shared" si="4"/>
        <v>710.69165874865269</v>
      </c>
      <c r="E76" s="15" t="s">
        <v>27</v>
      </c>
      <c r="F76" s="15">
        <v>390.58464699999996</v>
      </c>
      <c r="G76" s="15">
        <v>52.028613</v>
      </c>
      <c r="H76" s="15">
        <v>85.567937999999998</v>
      </c>
      <c r="I76" s="15">
        <v>75.163020000000003</v>
      </c>
      <c r="J76" s="3">
        <v>107.34744074865272</v>
      </c>
      <c r="K76" s="19"/>
      <c r="L76" s="15" t="s">
        <v>27</v>
      </c>
      <c r="M76" s="15" t="s">
        <v>27</v>
      </c>
      <c r="N76" s="15" t="s">
        <v>27</v>
      </c>
      <c r="O76" s="15" t="s">
        <v>27</v>
      </c>
      <c r="P76" s="15" t="s">
        <v>27</v>
      </c>
      <c r="Q76" s="3" t="s">
        <v>27</v>
      </c>
      <c r="R76" s="19"/>
      <c r="S76" s="15" t="s">
        <v>27</v>
      </c>
      <c r="T76" s="15">
        <v>38.295999999999999</v>
      </c>
      <c r="U76" s="15">
        <v>13.362</v>
      </c>
      <c r="V76" s="15">
        <v>57.52</v>
      </c>
      <c r="W76" s="15">
        <v>87.783000000000015</v>
      </c>
      <c r="X76" s="15">
        <v>472.339</v>
      </c>
      <c r="Y76" s="15" t="s">
        <v>27</v>
      </c>
      <c r="Z76" s="15" t="s">
        <v>27</v>
      </c>
      <c r="AA76" s="15" t="s">
        <v>27</v>
      </c>
      <c r="AB76" s="15" t="s">
        <v>27</v>
      </c>
      <c r="AC76" s="15" t="s">
        <v>27</v>
      </c>
      <c r="AD76" s="15" t="s">
        <v>27</v>
      </c>
      <c r="AE76" s="22">
        <f t="shared" si="5"/>
        <v>669.3</v>
      </c>
    </row>
    <row r="77" spans="1:31" ht="15" customHeight="1">
      <c r="A77" s="4">
        <v>70</v>
      </c>
      <c r="B77" s="10" t="s">
        <v>96</v>
      </c>
      <c r="C77" s="32" t="s">
        <v>151</v>
      </c>
      <c r="D77" s="22">
        <f t="shared" si="4"/>
        <v>389.45217656885507</v>
      </c>
      <c r="E77" s="15">
        <v>111.58834</v>
      </c>
      <c r="F77" s="15" t="s">
        <v>27</v>
      </c>
      <c r="G77" s="15">
        <v>142.44669199999998</v>
      </c>
      <c r="H77" s="15">
        <v>47.945164000000005</v>
      </c>
      <c r="I77" s="15">
        <v>36.600217999999998</v>
      </c>
      <c r="J77" s="3">
        <v>50.871762568855104</v>
      </c>
      <c r="K77" s="19"/>
      <c r="L77" s="15" t="s">
        <v>27</v>
      </c>
      <c r="M77" s="15" t="s">
        <v>27</v>
      </c>
      <c r="N77" s="15" t="s">
        <v>27</v>
      </c>
      <c r="O77" s="15" t="s">
        <v>27</v>
      </c>
      <c r="P77" s="15" t="s">
        <v>27</v>
      </c>
      <c r="Q77" s="3" t="s">
        <v>27</v>
      </c>
      <c r="R77" s="19"/>
      <c r="S77" s="15">
        <v>4.5279999999999996</v>
      </c>
      <c r="T77" s="15" t="s">
        <v>27</v>
      </c>
      <c r="U77" s="15">
        <v>31.912999999999997</v>
      </c>
      <c r="V77" s="15">
        <v>34.475999999999999</v>
      </c>
      <c r="W77" s="15">
        <v>87.897999999999996</v>
      </c>
      <c r="X77" s="15">
        <v>351.202</v>
      </c>
      <c r="Y77" s="15" t="s">
        <v>27</v>
      </c>
      <c r="Z77" s="15" t="s">
        <v>27</v>
      </c>
      <c r="AA77" s="15" t="s">
        <v>27</v>
      </c>
      <c r="AB77" s="15" t="s">
        <v>27</v>
      </c>
      <c r="AC77" s="15" t="s">
        <v>27</v>
      </c>
      <c r="AD77" s="15" t="s">
        <v>27</v>
      </c>
      <c r="AE77" s="22">
        <f t="shared" si="5"/>
        <v>510.017</v>
      </c>
    </row>
    <row r="78" spans="1:31" ht="15" customHeight="1">
      <c r="A78" s="4">
        <v>71</v>
      </c>
      <c r="B78" s="10" t="s">
        <v>97</v>
      </c>
      <c r="C78" s="32" t="s">
        <v>152</v>
      </c>
      <c r="D78" s="22">
        <f t="shared" si="4"/>
        <v>860.09843530683156</v>
      </c>
      <c r="E78" s="15" t="s">
        <v>27</v>
      </c>
      <c r="F78" s="15">
        <v>213.853421</v>
      </c>
      <c r="G78" s="15">
        <v>180.75246099999998</v>
      </c>
      <c r="H78" s="15">
        <v>67.233086999999998</v>
      </c>
      <c r="I78" s="15">
        <v>79.727603000000002</v>
      </c>
      <c r="J78" s="3">
        <v>117.5416633536463</v>
      </c>
      <c r="K78" s="19"/>
      <c r="L78" s="15" t="s">
        <v>27</v>
      </c>
      <c r="M78" s="15" t="s">
        <v>27</v>
      </c>
      <c r="N78" s="15">
        <v>100.85977800000001</v>
      </c>
      <c r="O78" s="15">
        <v>67.430603000000005</v>
      </c>
      <c r="P78" s="15">
        <v>14.581469999999999</v>
      </c>
      <c r="Q78" s="3">
        <v>18.11834895318535</v>
      </c>
      <c r="R78" s="19"/>
      <c r="S78" s="15" t="s">
        <v>27</v>
      </c>
      <c r="T78" s="15">
        <v>25.231000000000002</v>
      </c>
      <c r="U78" s="15">
        <v>37.954999999999998</v>
      </c>
      <c r="V78" s="15">
        <v>54.828000000000003</v>
      </c>
      <c r="W78" s="15">
        <v>141.48500000000001</v>
      </c>
      <c r="X78" s="15">
        <v>671.70299999999997</v>
      </c>
      <c r="Y78" s="15" t="s">
        <v>27</v>
      </c>
      <c r="Z78" s="15" t="s">
        <v>27</v>
      </c>
      <c r="AA78" s="15">
        <v>10.172000000000001</v>
      </c>
      <c r="AB78" s="15">
        <v>9.7080000000000002</v>
      </c>
      <c r="AC78" s="15">
        <v>7.31</v>
      </c>
      <c r="AD78" s="15">
        <v>47</v>
      </c>
      <c r="AE78" s="22">
        <f t="shared" si="5"/>
        <v>1005.3919999999999</v>
      </c>
    </row>
    <row r="79" spans="1:31" ht="15" customHeight="1">
      <c r="A79" s="4">
        <v>72</v>
      </c>
      <c r="B79" s="10" t="s">
        <v>98</v>
      </c>
      <c r="C79" s="32" t="s">
        <v>151</v>
      </c>
      <c r="D79" s="22">
        <f t="shared" si="4"/>
        <v>676.17253243275445</v>
      </c>
      <c r="E79" s="15">
        <v>378.14234400000004</v>
      </c>
      <c r="F79" s="15">
        <v>46.003709999999998</v>
      </c>
      <c r="G79" s="15">
        <v>88.294538000000003</v>
      </c>
      <c r="H79" s="15">
        <v>66.410502000000008</v>
      </c>
      <c r="I79" s="15">
        <v>32.752986</v>
      </c>
      <c r="J79" s="3">
        <v>64.568452432754412</v>
      </c>
      <c r="K79" s="19"/>
      <c r="L79" s="15" t="s">
        <v>27</v>
      </c>
      <c r="M79" s="15" t="s">
        <v>27</v>
      </c>
      <c r="N79" s="15" t="s">
        <v>27</v>
      </c>
      <c r="O79" s="15" t="s">
        <v>27</v>
      </c>
      <c r="P79" s="15" t="s">
        <v>27</v>
      </c>
      <c r="Q79" s="3" t="s">
        <v>27</v>
      </c>
      <c r="R79" s="19"/>
      <c r="S79" s="15">
        <v>20.962</v>
      </c>
      <c r="T79" s="15">
        <v>5.61</v>
      </c>
      <c r="U79" s="15">
        <v>16.18</v>
      </c>
      <c r="V79" s="15">
        <v>41.786000000000001</v>
      </c>
      <c r="W79" s="15">
        <v>57.702000000000012</v>
      </c>
      <c r="X79" s="15">
        <v>367.30799999999999</v>
      </c>
      <c r="Y79" s="15" t="s">
        <v>27</v>
      </c>
      <c r="Z79" s="15" t="s">
        <v>27</v>
      </c>
      <c r="AA79" s="15" t="s">
        <v>27</v>
      </c>
      <c r="AB79" s="15" t="s">
        <v>27</v>
      </c>
      <c r="AC79" s="15" t="s">
        <v>27</v>
      </c>
      <c r="AD79" s="15" t="s">
        <v>27</v>
      </c>
      <c r="AE79" s="22">
        <f t="shared" si="5"/>
        <v>509.548</v>
      </c>
    </row>
    <row r="80" spans="1:31" ht="15" customHeight="1">
      <c r="A80" s="4">
        <v>73</v>
      </c>
      <c r="B80" s="10" t="s">
        <v>99</v>
      </c>
      <c r="C80" s="32" t="s">
        <v>152</v>
      </c>
      <c r="D80" s="22">
        <f t="shared" si="4"/>
        <v>2133.9408321276551</v>
      </c>
      <c r="E80" s="15">
        <v>192.86059999999998</v>
      </c>
      <c r="F80" s="15">
        <v>163.25188499999999</v>
      </c>
      <c r="G80" s="15" t="s">
        <v>27</v>
      </c>
      <c r="H80" s="15">
        <v>154.38471099999998</v>
      </c>
      <c r="I80" s="15">
        <v>64.453021000000007</v>
      </c>
      <c r="J80" s="3">
        <v>55.802086564675896</v>
      </c>
      <c r="K80" s="19"/>
      <c r="L80" s="15">
        <v>369.302887</v>
      </c>
      <c r="M80" s="15" t="s">
        <v>27</v>
      </c>
      <c r="N80" s="15">
        <v>453.13342899999992</v>
      </c>
      <c r="O80" s="15">
        <v>354.15178000000009</v>
      </c>
      <c r="P80" s="15">
        <v>122.30312000000001</v>
      </c>
      <c r="Q80" s="3">
        <v>204.29731256297922</v>
      </c>
      <c r="R80" s="19"/>
      <c r="S80" s="15">
        <v>6.92</v>
      </c>
      <c r="T80" s="15">
        <v>16.053999999999998</v>
      </c>
      <c r="U80" s="15" t="s">
        <v>27</v>
      </c>
      <c r="V80" s="15">
        <v>58.109000000000002</v>
      </c>
      <c r="W80" s="15">
        <v>69.510999999999996</v>
      </c>
      <c r="X80" s="15">
        <v>233.613</v>
      </c>
      <c r="Y80" s="15">
        <v>10.4</v>
      </c>
      <c r="Z80" s="15" t="s">
        <v>27</v>
      </c>
      <c r="AA80" s="15">
        <v>27.93</v>
      </c>
      <c r="AB80" s="15">
        <v>48.643000000000001</v>
      </c>
      <c r="AC80" s="15">
        <v>29.065999999999999</v>
      </c>
      <c r="AD80" s="15">
        <v>332.43100000000004</v>
      </c>
      <c r="AE80" s="22">
        <f t="shared" si="5"/>
        <v>832.67699999999991</v>
      </c>
    </row>
    <row r="81" spans="1:31" ht="15" customHeight="1">
      <c r="A81" s="4">
        <v>74</v>
      </c>
      <c r="B81" s="10" t="s">
        <v>100</v>
      </c>
      <c r="C81" s="32" t="s">
        <v>151</v>
      </c>
      <c r="D81" s="22">
        <f t="shared" si="4"/>
        <v>472.28391494529654</v>
      </c>
      <c r="E81" s="15" t="s">
        <v>27</v>
      </c>
      <c r="F81" s="15">
        <v>172.99512099999998</v>
      </c>
      <c r="G81" s="15">
        <v>14.138311999999999</v>
      </c>
      <c r="H81" s="15">
        <v>56.243827000000003</v>
      </c>
      <c r="I81" s="15">
        <v>85.680909999999997</v>
      </c>
      <c r="J81" s="3">
        <v>143.22574494529658</v>
      </c>
      <c r="K81" s="19"/>
      <c r="L81" s="15" t="s">
        <v>27</v>
      </c>
      <c r="M81" s="15" t="s">
        <v>27</v>
      </c>
      <c r="N81" s="15" t="s">
        <v>27</v>
      </c>
      <c r="O81" s="15" t="s">
        <v>27</v>
      </c>
      <c r="P81" s="15" t="s">
        <v>27</v>
      </c>
      <c r="Q81" s="3" t="s">
        <v>27</v>
      </c>
      <c r="R81" s="19"/>
      <c r="S81" s="15" t="s">
        <v>27</v>
      </c>
      <c r="T81" s="15">
        <v>22.252000000000002</v>
      </c>
      <c r="U81" s="15">
        <v>11.92</v>
      </c>
      <c r="V81" s="15">
        <v>35.537999999999997</v>
      </c>
      <c r="W81" s="15">
        <v>95.98</v>
      </c>
      <c r="X81" s="15">
        <v>614</v>
      </c>
      <c r="Y81" s="15" t="s">
        <v>27</v>
      </c>
      <c r="Z81" s="15" t="s">
        <v>27</v>
      </c>
      <c r="AA81" s="15" t="s">
        <v>27</v>
      </c>
      <c r="AB81" s="15" t="s">
        <v>27</v>
      </c>
      <c r="AC81" s="15" t="s">
        <v>27</v>
      </c>
      <c r="AD81" s="15" t="s">
        <v>27</v>
      </c>
      <c r="AE81" s="22">
        <f t="shared" si="5"/>
        <v>779.69</v>
      </c>
    </row>
    <row r="82" spans="1:31" ht="15" customHeight="1">
      <c r="A82" s="4">
        <v>75</v>
      </c>
      <c r="B82" s="10" t="s">
        <v>101</v>
      </c>
      <c r="C82" s="32" t="s">
        <v>151</v>
      </c>
      <c r="D82" s="22">
        <f t="shared" si="4"/>
        <v>307.58634120025067</v>
      </c>
      <c r="E82" s="15" t="s">
        <v>27</v>
      </c>
      <c r="F82" s="15" t="s">
        <v>27</v>
      </c>
      <c r="G82" s="15">
        <v>68.360799999999998</v>
      </c>
      <c r="H82" s="15">
        <v>152.15015600000001</v>
      </c>
      <c r="I82" s="15">
        <v>35.566382999999995</v>
      </c>
      <c r="J82" s="3">
        <v>51.509002200250649</v>
      </c>
      <c r="K82" s="19"/>
      <c r="L82" s="15" t="s">
        <v>27</v>
      </c>
      <c r="M82" s="15" t="s">
        <v>27</v>
      </c>
      <c r="N82" s="15" t="s">
        <v>27</v>
      </c>
      <c r="O82" s="15" t="s">
        <v>27</v>
      </c>
      <c r="P82" s="15" t="s">
        <v>27</v>
      </c>
      <c r="Q82" s="3" t="s">
        <v>27</v>
      </c>
      <c r="R82" s="19"/>
      <c r="S82" s="15" t="s">
        <v>27</v>
      </c>
      <c r="T82" s="15" t="s">
        <v>27</v>
      </c>
      <c r="U82" s="15">
        <v>11.573</v>
      </c>
      <c r="V82" s="15">
        <v>68.343000000000004</v>
      </c>
      <c r="W82" s="15">
        <v>68.981999999999999</v>
      </c>
      <c r="X82" s="15">
        <v>311.15899999999999</v>
      </c>
      <c r="Y82" s="15" t="s">
        <v>27</v>
      </c>
      <c r="Z82" s="15" t="s">
        <v>27</v>
      </c>
      <c r="AA82" s="15" t="s">
        <v>27</v>
      </c>
      <c r="AB82" s="15" t="s">
        <v>27</v>
      </c>
      <c r="AC82" s="15" t="s">
        <v>27</v>
      </c>
      <c r="AD82" s="15" t="s">
        <v>27</v>
      </c>
      <c r="AE82" s="22">
        <f t="shared" si="5"/>
        <v>460.05700000000002</v>
      </c>
    </row>
    <row r="83" spans="1:31" ht="15" customHeight="1">
      <c r="A83" s="4">
        <v>76</v>
      </c>
      <c r="B83" s="10" t="s">
        <v>102</v>
      </c>
      <c r="C83" s="32" t="s">
        <v>152</v>
      </c>
      <c r="D83" s="22">
        <f t="shared" si="4"/>
        <v>2422.949076534077</v>
      </c>
      <c r="E83" s="15">
        <v>611.71057000000008</v>
      </c>
      <c r="F83" s="15">
        <v>98.142454000000001</v>
      </c>
      <c r="G83" s="15">
        <v>116.68699599999998</v>
      </c>
      <c r="H83" s="15">
        <v>233.95064199999999</v>
      </c>
      <c r="I83" s="15">
        <v>123.50719700000001</v>
      </c>
      <c r="J83" s="3">
        <v>137.84030426638898</v>
      </c>
      <c r="K83" s="19"/>
      <c r="L83" s="15">
        <v>483.89725500000003</v>
      </c>
      <c r="M83" s="15" t="s">
        <v>27</v>
      </c>
      <c r="N83" s="15">
        <v>230.98615600000002</v>
      </c>
      <c r="O83" s="15">
        <v>197.43053300000003</v>
      </c>
      <c r="P83" s="15">
        <v>92.587755000000001</v>
      </c>
      <c r="Q83" s="3">
        <v>96.209214267688139</v>
      </c>
      <c r="R83" s="19"/>
      <c r="S83" s="15">
        <v>13.183</v>
      </c>
      <c r="T83" s="15">
        <v>10.481</v>
      </c>
      <c r="U83" s="15">
        <v>25.628</v>
      </c>
      <c r="V83" s="15">
        <v>50.105999999999995</v>
      </c>
      <c r="W83" s="15">
        <v>105.24199999999999</v>
      </c>
      <c r="X83" s="15">
        <v>498.07799999999997</v>
      </c>
      <c r="Y83" s="15">
        <v>10.952</v>
      </c>
      <c r="Z83" s="15" t="s">
        <v>27</v>
      </c>
      <c r="AA83" s="15">
        <v>13.852</v>
      </c>
      <c r="AB83" s="15">
        <v>23.492000000000001</v>
      </c>
      <c r="AC83" s="15">
        <v>16.063999999999997</v>
      </c>
      <c r="AD83" s="15">
        <v>128.61099999999999</v>
      </c>
      <c r="AE83" s="22">
        <f t="shared" si="5"/>
        <v>895.68899999999985</v>
      </c>
    </row>
    <row r="84" spans="1:31" ht="15" customHeight="1">
      <c r="A84" s="4">
        <v>77</v>
      </c>
      <c r="B84" s="10" t="s">
        <v>103</v>
      </c>
      <c r="C84" s="32" t="s">
        <v>151</v>
      </c>
      <c r="D84" s="22">
        <f t="shared" si="4"/>
        <v>421.91813822235542</v>
      </c>
      <c r="E84" s="15" t="s">
        <v>27</v>
      </c>
      <c r="F84" s="15">
        <v>166.01736499999998</v>
      </c>
      <c r="G84" s="15">
        <v>51.112107999999999</v>
      </c>
      <c r="H84" s="15">
        <v>97.745532000000011</v>
      </c>
      <c r="I84" s="15">
        <v>41.451846999999994</v>
      </c>
      <c r="J84" s="3">
        <v>65.591286222355421</v>
      </c>
      <c r="K84" s="19"/>
      <c r="L84" s="15" t="s">
        <v>27</v>
      </c>
      <c r="M84" s="15" t="s">
        <v>27</v>
      </c>
      <c r="N84" s="15" t="s">
        <v>27</v>
      </c>
      <c r="O84" s="15" t="s">
        <v>27</v>
      </c>
      <c r="P84" s="15" t="s">
        <v>27</v>
      </c>
      <c r="Q84" s="3" t="s">
        <v>27</v>
      </c>
      <c r="R84" s="19"/>
      <c r="S84" s="15" t="s">
        <v>27</v>
      </c>
      <c r="T84" s="15">
        <v>25.449000000000002</v>
      </c>
      <c r="U84" s="15">
        <v>12.545999999999999</v>
      </c>
      <c r="V84" s="15">
        <v>64.783000000000001</v>
      </c>
      <c r="W84" s="15">
        <v>79.067999999999998</v>
      </c>
      <c r="X84" s="15">
        <v>392.12299999999999</v>
      </c>
      <c r="Y84" s="15" t="s">
        <v>27</v>
      </c>
      <c r="Z84" s="15" t="s">
        <v>27</v>
      </c>
      <c r="AA84" s="15" t="s">
        <v>27</v>
      </c>
      <c r="AB84" s="15" t="s">
        <v>27</v>
      </c>
      <c r="AC84" s="15" t="s">
        <v>27</v>
      </c>
      <c r="AD84" s="15" t="s">
        <v>27</v>
      </c>
      <c r="AE84" s="22">
        <f t="shared" si="5"/>
        <v>573.96900000000005</v>
      </c>
    </row>
    <row r="85" spans="1:31" ht="15" customHeight="1">
      <c r="A85" s="4">
        <v>78</v>
      </c>
      <c r="B85" s="10" t="s">
        <v>104</v>
      </c>
      <c r="C85" s="32" t="s">
        <v>152</v>
      </c>
      <c r="D85" s="22">
        <f t="shared" si="4"/>
        <v>430.56580347040006</v>
      </c>
      <c r="E85" s="15" t="s">
        <v>27</v>
      </c>
      <c r="F85" s="15">
        <v>73.083230000000015</v>
      </c>
      <c r="G85" s="15" t="s">
        <v>27</v>
      </c>
      <c r="H85" s="15">
        <v>107.51158700000001</v>
      </c>
      <c r="I85" s="15">
        <v>67.068998000000008</v>
      </c>
      <c r="J85" s="3">
        <v>65.242915180835325</v>
      </c>
      <c r="K85" s="19"/>
      <c r="L85" s="15" t="s">
        <v>27</v>
      </c>
      <c r="M85" s="15" t="s">
        <v>27</v>
      </c>
      <c r="N85" s="15">
        <v>48.884275000000002</v>
      </c>
      <c r="O85" s="15">
        <v>41.572842000000001</v>
      </c>
      <c r="P85" s="15">
        <v>13.802156999999999</v>
      </c>
      <c r="Q85" s="3">
        <v>13.399799289564646</v>
      </c>
      <c r="R85" s="19"/>
      <c r="S85" s="15" t="s">
        <v>27</v>
      </c>
      <c r="T85" s="15">
        <v>11.774000000000001</v>
      </c>
      <c r="U85" s="15" t="s">
        <v>27</v>
      </c>
      <c r="V85" s="15">
        <v>67.443000000000012</v>
      </c>
      <c r="W85" s="15">
        <v>85.984000000000009</v>
      </c>
      <c r="X85" s="15">
        <v>304.29399999999998</v>
      </c>
      <c r="Y85" s="15" t="s">
        <v>27</v>
      </c>
      <c r="Z85" s="15" t="s">
        <v>27</v>
      </c>
      <c r="AA85" s="15">
        <v>3.7379999999999995</v>
      </c>
      <c r="AB85" s="15">
        <v>8.1170000000000009</v>
      </c>
      <c r="AC85" s="15">
        <v>6.9130000000000003</v>
      </c>
      <c r="AD85" s="15">
        <v>34.74</v>
      </c>
      <c r="AE85" s="22">
        <f t="shared" si="5"/>
        <v>523.00300000000004</v>
      </c>
    </row>
    <row r="86" spans="1:31" ht="15" customHeight="1">
      <c r="A86" s="4">
        <v>79</v>
      </c>
      <c r="B86" s="10" t="s">
        <v>105</v>
      </c>
      <c r="C86" s="32" t="s">
        <v>151</v>
      </c>
      <c r="D86" s="22">
        <f t="shared" si="4"/>
        <v>1259.6741142986964</v>
      </c>
      <c r="E86" s="15">
        <v>317.26509199999998</v>
      </c>
      <c r="F86" s="15">
        <v>482.66661199999999</v>
      </c>
      <c r="G86" s="15">
        <v>104.87147999999999</v>
      </c>
      <c r="H86" s="15">
        <v>161.363981</v>
      </c>
      <c r="I86" s="15">
        <v>43.896070000000002</v>
      </c>
      <c r="J86" s="3">
        <v>149.61087929869637</v>
      </c>
      <c r="K86" s="19"/>
      <c r="L86" s="15" t="s">
        <v>27</v>
      </c>
      <c r="M86" s="15" t="s">
        <v>27</v>
      </c>
      <c r="N86" s="15" t="s">
        <v>27</v>
      </c>
      <c r="O86" s="15" t="s">
        <v>27</v>
      </c>
      <c r="P86" s="15" t="s">
        <v>27</v>
      </c>
      <c r="Q86" s="3" t="s">
        <v>27</v>
      </c>
      <c r="R86" s="19"/>
      <c r="S86" s="15">
        <v>12.032</v>
      </c>
      <c r="T86" s="15">
        <v>68.555999999999997</v>
      </c>
      <c r="U86" s="15">
        <v>25.321999999999999</v>
      </c>
      <c r="V86" s="15">
        <v>47.736000000000004</v>
      </c>
      <c r="W86" s="15">
        <v>49.406999999999996</v>
      </c>
      <c r="X86" s="15">
        <v>643.28200000000004</v>
      </c>
      <c r="Y86" s="15" t="s">
        <v>27</v>
      </c>
      <c r="Z86" s="15" t="s">
        <v>27</v>
      </c>
      <c r="AA86" s="15" t="s">
        <v>27</v>
      </c>
      <c r="AB86" s="15" t="s">
        <v>27</v>
      </c>
      <c r="AC86" s="15" t="s">
        <v>27</v>
      </c>
      <c r="AD86" s="15" t="s">
        <v>27</v>
      </c>
      <c r="AE86" s="22">
        <f t="shared" si="5"/>
        <v>846.33500000000004</v>
      </c>
    </row>
    <row r="87" spans="1:31" ht="15" customHeight="1">
      <c r="A87" s="4">
        <v>80</v>
      </c>
      <c r="B87" s="10" t="s">
        <v>106</v>
      </c>
      <c r="C87" s="32" t="s">
        <v>151</v>
      </c>
      <c r="D87" s="22">
        <f t="shared" si="4"/>
        <v>340.82817199045945</v>
      </c>
      <c r="E87" s="15" t="s">
        <v>27</v>
      </c>
      <c r="F87" s="15">
        <v>116.768888</v>
      </c>
      <c r="G87" s="15">
        <v>53.974370999999998</v>
      </c>
      <c r="H87" s="15">
        <v>63.560279999999999</v>
      </c>
      <c r="I87" s="15">
        <v>64.438240000000008</v>
      </c>
      <c r="J87" s="3">
        <v>42.086392990459451</v>
      </c>
      <c r="K87" s="19"/>
      <c r="L87" s="15" t="s">
        <v>27</v>
      </c>
      <c r="M87" s="15" t="s">
        <v>27</v>
      </c>
      <c r="N87" s="15" t="s">
        <v>27</v>
      </c>
      <c r="O87" s="15" t="s">
        <v>27</v>
      </c>
      <c r="P87" s="15" t="s">
        <v>27</v>
      </c>
      <c r="Q87" s="3" t="s">
        <v>27</v>
      </c>
      <c r="R87" s="19"/>
      <c r="S87" s="15" t="s">
        <v>27</v>
      </c>
      <c r="T87" s="15">
        <v>16.322000000000003</v>
      </c>
      <c r="U87" s="15">
        <v>9.7089999999999996</v>
      </c>
      <c r="V87" s="15">
        <v>40.227999999999994</v>
      </c>
      <c r="W87" s="15">
        <v>52.87</v>
      </c>
      <c r="X87" s="15">
        <v>148.524</v>
      </c>
      <c r="Y87" s="15" t="s">
        <v>27</v>
      </c>
      <c r="Z87" s="15" t="s">
        <v>27</v>
      </c>
      <c r="AA87" s="15" t="s">
        <v>27</v>
      </c>
      <c r="AB87" s="15" t="s">
        <v>27</v>
      </c>
      <c r="AC87" s="15" t="s">
        <v>27</v>
      </c>
      <c r="AD87" s="15" t="s">
        <v>27</v>
      </c>
      <c r="AE87" s="22">
        <f t="shared" si="5"/>
        <v>267.65300000000002</v>
      </c>
    </row>
    <row r="88" spans="1:31" ht="15" customHeight="1">
      <c r="A88" s="4">
        <v>81</v>
      </c>
      <c r="B88" s="10" t="s">
        <v>107</v>
      </c>
      <c r="C88" s="32" t="s">
        <v>152</v>
      </c>
      <c r="D88" s="22">
        <f t="shared" si="4"/>
        <v>678.81078928755176</v>
      </c>
      <c r="E88" s="15" t="s">
        <v>27</v>
      </c>
      <c r="F88" s="15">
        <v>185.00743600000001</v>
      </c>
      <c r="G88" s="15">
        <v>49.266619999999996</v>
      </c>
      <c r="H88" s="15">
        <v>51.381261000000009</v>
      </c>
      <c r="I88" s="15">
        <v>29.591745</v>
      </c>
      <c r="J88" s="3">
        <v>37.96833410288049</v>
      </c>
      <c r="K88" s="19"/>
      <c r="L88" s="15" t="s">
        <v>27</v>
      </c>
      <c r="M88" s="15" t="s">
        <v>27</v>
      </c>
      <c r="N88" s="15">
        <v>219.16964099999998</v>
      </c>
      <c r="O88" s="15">
        <v>50.166668000000001</v>
      </c>
      <c r="P88" s="15">
        <v>34.282677000000007</v>
      </c>
      <c r="Q88" s="3">
        <v>21.976407184671331</v>
      </c>
      <c r="R88" s="19"/>
      <c r="S88" s="15" t="s">
        <v>27</v>
      </c>
      <c r="T88" s="15">
        <v>26.448999999999998</v>
      </c>
      <c r="U88" s="15">
        <v>8.452</v>
      </c>
      <c r="V88" s="15">
        <v>42.070999999999991</v>
      </c>
      <c r="W88" s="15">
        <v>52.532000000000004</v>
      </c>
      <c r="X88" s="15">
        <v>217.02100000000002</v>
      </c>
      <c r="Y88" s="15" t="s">
        <v>27</v>
      </c>
      <c r="Z88" s="15" t="s">
        <v>27</v>
      </c>
      <c r="AA88" s="15">
        <v>14.478999999999999</v>
      </c>
      <c r="AB88" s="15">
        <v>11.894</v>
      </c>
      <c r="AC88" s="15">
        <v>15.785</v>
      </c>
      <c r="AD88" s="15">
        <v>54.057000000000002</v>
      </c>
      <c r="AE88" s="22">
        <f t="shared" si="5"/>
        <v>442.74</v>
      </c>
    </row>
    <row r="89" spans="1:31" ht="15" customHeight="1">
      <c r="A89" s="4">
        <v>82</v>
      </c>
      <c r="B89" s="10" t="s">
        <v>108</v>
      </c>
      <c r="C89" s="32" t="s">
        <v>152</v>
      </c>
      <c r="D89" s="22">
        <f t="shared" si="4"/>
        <v>663.41338536293495</v>
      </c>
      <c r="E89" s="15" t="s">
        <v>27</v>
      </c>
      <c r="F89" s="15">
        <v>140.30977899999999</v>
      </c>
      <c r="G89" s="15">
        <v>78.660941999999991</v>
      </c>
      <c r="H89" s="15">
        <v>220.79465399999998</v>
      </c>
      <c r="I89" s="15">
        <v>78.034886000000029</v>
      </c>
      <c r="J89" s="3">
        <v>75.670306587560361</v>
      </c>
      <c r="K89" s="19"/>
      <c r="L89" s="15" t="s">
        <v>27</v>
      </c>
      <c r="M89" s="15" t="s">
        <v>27</v>
      </c>
      <c r="N89" s="15">
        <v>41.703165999999996</v>
      </c>
      <c r="O89" s="15">
        <v>4.4751900000000004</v>
      </c>
      <c r="P89" s="15">
        <v>14.681918</v>
      </c>
      <c r="Q89" s="3">
        <v>9.0825437753745728</v>
      </c>
      <c r="R89" s="19"/>
      <c r="S89" s="15" t="s">
        <v>27</v>
      </c>
      <c r="T89" s="15">
        <v>15.988000000000001</v>
      </c>
      <c r="U89" s="15">
        <v>11.56</v>
      </c>
      <c r="V89" s="15">
        <v>68.566999999999993</v>
      </c>
      <c r="W89" s="15">
        <v>85.93</v>
      </c>
      <c r="X89" s="15">
        <v>320.94</v>
      </c>
      <c r="Y89" s="15" t="s">
        <v>27</v>
      </c>
      <c r="Z89" s="15" t="s">
        <v>27</v>
      </c>
      <c r="AA89" s="15">
        <v>3.4830000000000001</v>
      </c>
      <c r="AB89" s="15">
        <v>2.0310000000000001</v>
      </c>
      <c r="AC89" s="15">
        <v>2.5</v>
      </c>
      <c r="AD89" s="15">
        <v>12</v>
      </c>
      <c r="AE89" s="22">
        <f t="shared" si="5"/>
        <v>522.99900000000002</v>
      </c>
    </row>
    <row r="90" spans="1:31" ht="15" customHeight="1">
      <c r="A90" s="4">
        <v>83</v>
      </c>
      <c r="B90" s="10" t="s">
        <v>109</v>
      </c>
      <c r="C90" s="32" t="s">
        <v>151</v>
      </c>
      <c r="D90" s="22">
        <f t="shared" si="4"/>
        <v>143.46666543065666</v>
      </c>
      <c r="E90" s="15" t="s">
        <v>27</v>
      </c>
      <c r="F90" s="15" t="s">
        <v>27</v>
      </c>
      <c r="G90" s="15">
        <v>63.337274000000008</v>
      </c>
      <c r="H90" s="15">
        <v>33.760736999999999</v>
      </c>
      <c r="I90" s="15">
        <v>16.063849999999999</v>
      </c>
      <c r="J90" s="3">
        <v>30.304804430656638</v>
      </c>
      <c r="K90" s="19"/>
      <c r="L90" s="15" t="s">
        <v>27</v>
      </c>
      <c r="M90" s="15" t="s">
        <v>27</v>
      </c>
      <c r="N90" s="15" t="s">
        <v>27</v>
      </c>
      <c r="O90" s="15" t="s">
        <v>27</v>
      </c>
      <c r="P90" s="15" t="s">
        <v>27</v>
      </c>
      <c r="Q90" s="3" t="s">
        <v>27</v>
      </c>
      <c r="R90" s="19"/>
      <c r="S90" s="15" t="s">
        <v>27</v>
      </c>
      <c r="T90" s="15" t="s">
        <v>27</v>
      </c>
      <c r="U90" s="15">
        <v>19.75</v>
      </c>
      <c r="V90" s="15">
        <v>44.790999999999997</v>
      </c>
      <c r="W90" s="15">
        <v>39.061999999999998</v>
      </c>
      <c r="X90" s="15">
        <v>210.84899999999999</v>
      </c>
      <c r="Y90" s="15" t="s">
        <v>27</v>
      </c>
      <c r="Z90" s="15" t="s">
        <v>27</v>
      </c>
      <c r="AA90" s="15" t="s">
        <v>27</v>
      </c>
      <c r="AB90" s="15" t="s">
        <v>27</v>
      </c>
      <c r="AC90" s="15" t="s">
        <v>27</v>
      </c>
      <c r="AD90" s="15" t="s">
        <v>27</v>
      </c>
      <c r="AE90" s="22">
        <f t="shared" si="5"/>
        <v>314.452</v>
      </c>
    </row>
    <row r="91" spans="1:31" ht="15" customHeight="1">
      <c r="A91" s="4">
        <v>84</v>
      </c>
      <c r="B91" s="10" t="s">
        <v>110</v>
      </c>
      <c r="C91" s="32" t="s">
        <v>152</v>
      </c>
      <c r="D91" s="22">
        <f t="shared" si="4"/>
        <v>618.65140420435227</v>
      </c>
      <c r="E91" s="15" t="s">
        <v>27</v>
      </c>
      <c r="F91" s="15">
        <v>275.53985999999998</v>
      </c>
      <c r="G91" s="15">
        <v>33.917610000000003</v>
      </c>
      <c r="H91" s="15">
        <v>77.120691999999991</v>
      </c>
      <c r="I91" s="15">
        <v>29.947783000000001</v>
      </c>
      <c r="J91" s="3">
        <v>44.013156370369614</v>
      </c>
      <c r="K91" s="19"/>
      <c r="L91" s="15" t="s">
        <v>27</v>
      </c>
      <c r="M91" s="15" t="s">
        <v>27</v>
      </c>
      <c r="N91" s="15">
        <v>76.394040000000004</v>
      </c>
      <c r="O91" s="15">
        <v>24.189101000000001</v>
      </c>
      <c r="P91" s="15">
        <v>33.479874000000002</v>
      </c>
      <c r="Q91" s="3">
        <v>24.049287833982582</v>
      </c>
      <c r="R91" s="19"/>
      <c r="S91" s="15" t="s">
        <v>27</v>
      </c>
      <c r="T91" s="15">
        <v>22.499000000000002</v>
      </c>
      <c r="U91" s="15">
        <v>11.925000000000001</v>
      </c>
      <c r="V91" s="15">
        <v>43.157000000000004</v>
      </c>
      <c r="W91" s="15">
        <v>63.078000000000003</v>
      </c>
      <c r="X91" s="15">
        <v>279.93700000000001</v>
      </c>
      <c r="Y91" s="15" t="s">
        <v>27</v>
      </c>
      <c r="Z91" s="15" t="s">
        <v>27</v>
      </c>
      <c r="AA91" s="15">
        <v>4.5330000000000004</v>
      </c>
      <c r="AB91" s="15">
        <v>5.266</v>
      </c>
      <c r="AC91" s="15">
        <v>7.4</v>
      </c>
      <c r="AD91" s="15">
        <v>37.399000000000001</v>
      </c>
      <c r="AE91" s="22">
        <f t="shared" si="5"/>
        <v>475.19400000000002</v>
      </c>
    </row>
    <row r="92" spans="1:31" ht="15" customHeight="1">
      <c r="A92" s="4">
        <v>85</v>
      </c>
      <c r="B92" s="10" t="s">
        <v>111</v>
      </c>
      <c r="C92" s="32" t="s">
        <v>151</v>
      </c>
      <c r="D92" s="22">
        <f t="shared" si="4"/>
        <v>340.81617533939175</v>
      </c>
      <c r="E92" s="15" t="s">
        <v>27</v>
      </c>
      <c r="F92" s="15">
        <v>62.499170000000007</v>
      </c>
      <c r="G92" s="15">
        <v>38.797060000000002</v>
      </c>
      <c r="H92" s="15">
        <v>117.69783100000004</v>
      </c>
      <c r="I92" s="15">
        <v>42.768087000000001</v>
      </c>
      <c r="J92" s="3">
        <v>79.054027339391709</v>
      </c>
      <c r="K92" s="19"/>
      <c r="L92" s="15" t="s">
        <v>27</v>
      </c>
      <c r="M92" s="15" t="s">
        <v>27</v>
      </c>
      <c r="N92" s="15" t="s">
        <v>27</v>
      </c>
      <c r="O92" s="15" t="s">
        <v>27</v>
      </c>
      <c r="P92" s="15" t="s">
        <v>27</v>
      </c>
      <c r="Q92" s="3" t="s">
        <v>27</v>
      </c>
      <c r="R92" s="19"/>
      <c r="S92" s="15" t="s">
        <v>27</v>
      </c>
      <c r="T92" s="15">
        <v>13.802</v>
      </c>
      <c r="U92" s="15">
        <v>11.718999999999998</v>
      </c>
      <c r="V92" s="15">
        <v>51.722999999999999</v>
      </c>
      <c r="W92" s="15">
        <v>77.23</v>
      </c>
      <c r="X92" s="15">
        <v>456.70499999999998</v>
      </c>
      <c r="Y92" s="15" t="s">
        <v>27</v>
      </c>
      <c r="Z92" s="15" t="s">
        <v>27</v>
      </c>
      <c r="AA92" s="15" t="s">
        <v>27</v>
      </c>
      <c r="AB92" s="15" t="s">
        <v>27</v>
      </c>
      <c r="AC92" s="15" t="s">
        <v>27</v>
      </c>
      <c r="AD92" s="15" t="s">
        <v>27</v>
      </c>
      <c r="AE92" s="22">
        <f t="shared" si="5"/>
        <v>611.17899999999997</v>
      </c>
    </row>
    <row r="93" spans="1:31" ht="15" customHeight="1">
      <c r="A93" s="4">
        <v>86</v>
      </c>
      <c r="B93" s="10" t="s">
        <v>112</v>
      </c>
      <c r="C93" s="32" t="s">
        <v>151</v>
      </c>
      <c r="D93" s="22">
        <f t="shared" si="4"/>
        <v>276.82325445927631</v>
      </c>
      <c r="E93" s="15" t="s">
        <v>27</v>
      </c>
      <c r="F93" s="15" t="s">
        <v>27</v>
      </c>
      <c r="G93" s="15" t="s">
        <v>27</v>
      </c>
      <c r="H93" s="15">
        <v>143.87084899999999</v>
      </c>
      <c r="I93" s="15">
        <v>53.135513999999993</v>
      </c>
      <c r="J93" s="3">
        <v>79.816891459276349</v>
      </c>
      <c r="K93" s="19"/>
      <c r="L93" s="15" t="s">
        <v>27</v>
      </c>
      <c r="M93" s="15" t="s">
        <v>27</v>
      </c>
      <c r="N93" s="15" t="s">
        <v>27</v>
      </c>
      <c r="O93" s="15" t="s">
        <v>27</v>
      </c>
      <c r="P93" s="15" t="s">
        <v>27</v>
      </c>
      <c r="Q93" s="3" t="s">
        <v>27</v>
      </c>
      <c r="R93" s="19"/>
      <c r="S93" s="15" t="s">
        <v>27</v>
      </c>
      <c r="T93" s="15" t="s">
        <v>27</v>
      </c>
      <c r="U93" s="15" t="s">
        <v>27</v>
      </c>
      <c r="V93" s="15">
        <v>74.888999999999996</v>
      </c>
      <c r="W93" s="15">
        <v>93.832999999999998</v>
      </c>
      <c r="X93" s="15">
        <v>454.72500000000002</v>
      </c>
      <c r="Y93" s="15" t="s">
        <v>27</v>
      </c>
      <c r="Z93" s="15" t="s">
        <v>27</v>
      </c>
      <c r="AA93" s="15" t="s">
        <v>27</v>
      </c>
      <c r="AB93" s="15" t="s">
        <v>27</v>
      </c>
      <c r="AC93" s="15" t="s">
        <v>27</v>
      </c>
      <c r="AD93" s="15" t="s">
        <v>27</v>
      </c>
      <c r="AE93" s="22">
        <f t="shared" si="5"/>
        <v>623.447</v>
      </c>
    </row>
    <row r="94" spans="1:31" ht="15" customHeight="1">
      <c r="A94" s="4">
        <v>87</v>
      </c>
      <c r="B94" s="10" t="s">
        <v>113</v>
      </c>
      <c r="C94" s="32" t="s">
        <v>152</v>
      </c>
      <c r="D94" s="22">
        <f t="shared" si="4"/>
        <v>713.10141807440664</v>
      </c>
      <c r="E94" s="15">
        <v>228.34717800000001</v>
      </c>
      <c r="F94" s="15" t="s">
        <v>27</v>
      </c>
      <c r="G94" s="15">
        <v>143.87232</v>
      </c>
      <c r="H94" s="15">
        <v>84.566274999999976</v>
      </c>
      <c r="I94" s="15">
        <v>35.511184999999998</v>
      </c>
      <c r="J94" s="3">
        <v>37.176328099954453</v>
      </c>
      <c r="K94" s="19"/>
      <c r="L94" s="15" t="s">
        <v>27</v>
      </c>
      <c r="M94" s="15" t="s">
        <v>27</v>
      </c>
      <c r="N94" s="15">
        <v>59.894417000000004</v>
      </c>
      <c r="O94" s="15">
        <v>92.53639699999998</v>
      </c>
      <c r="P94" s="15">
        <v>14.123991999999998</v>
      </c>
      <c r="Q94" s="3">
        <v>17.073325974452125</v>
      </c>
      <c r="R94" s="19"/>
      <c r="S94" s="15">
        <v>11.387</v>
      </c>
      <c r="T94" s="15" t="s">
        <v>27</v>
      </c>
      <c r="U94" s="15">
        <v>24.905000000000001</v>
      </c>
      <c r="V94" s="15">
        <v>30.372</v>
      </c>
      <c r="W94" s="15">
        <v>43.58</v>
      </c>
      <c r="X94" s="15">
        <v>168.72200000000001</v>
      </c>
      <c r="Y94" s="15" t="s">
        <v>27</v>
      </c>
      <c r="Z94" s="15" t="s">
        <v>27</v>
      </c>
      <c r="AA94" s="15">
        <v>3.641</v>
      </c>
      <c r="AB94" s="15">
        <v>14.603000000000003</v>
      </c>
      <c r="AC94" s="15">
        <v>8.1750000000000007</v>
      </c>
      <c r="AD94" s="15">
        <v>48.45</v>
      </c>
      <c r="AE94" s="22">
        <f t="shared" si="5"/>
        <v>353.83500000000004</v>
      </c>
    </row>
    <row r="95" spans="1:31" ht="15" customHeight="1">
      <c r="A95" s="4">
        <v>88</v>
      </c>
      <c r="B95" s="10" t="s">
        <v>114</v>
      </c>
      <c r="C95" s="32" t="s">
        <v>151</v>
      </c>
      <c r="D95" s="22">
        <f t="shared" si="4"/>
        <v>358.76344928396497</v>
      </c>
      <c r="E95" s="15" t="s">
        <v>27</v>
      </c>
      <c r="F95" s="15">
        <v>31.067249999999998</v>
      </c>
      <c r="G95" s="15">
        <v>122.302916</v>
      </c>
      <c r="H95" s="15">
        <v>107.65966</v>
      </c>
      <c r="I95" s="15">
        <v>30.447536999999997</v>
      </c>
      <c r="J95" s="3">
        <v>67.286086283964991</v>
      </c>
      <c r="K95" s="19"/>
      <c r="L95" s="15" t="s">
        <v>27</v>
      </c>
      <c r="M95" s="15" t="s">
        <v>27</v>
      </c>
      <c r="N95" s="15" t="s">
        <v>27</v>
      </c>
      <c r="O95" s="15" t="s">
        <v>27</v>
      </c>
      <c r="P95" s="15" t="s">
        <v>27</v>
      </c>
      <c r="Q95" s="3" t="s">
        <v>27</v>
      </c>
      <c r="R95" s="19"/>
      <c r="S95" s="15" t="s">
        <v>27</v>
      </c>
      <c r="T95" s="15">
        <v>5.4029999999999996</v>
      </c>
      <c r="U95" s="15">
        <v>44.078000000000003</v>
      </c>
      <c r="V95" s="15">
        <v>56.292000000000002</v>
      </c>
      <c r="W95" s="15">
        <v>79.290999999999997</v>
      </c>
      <c r="X95" s="15">
        <v>488.63400000000001</v>
      </c>
      <c r="Y95" s="15" t="s">
        <v>27</v>
      </c>
      <c r="Z95" s="15" t="s">
        <v>27</v>
      </c>
      <c r="AA95" s="15" t="s">
        <v>27</v>
      </c>
      <c r="AB95" s="15" t="s">
        <v>27</v>
      </c>
      <c r="AC95" s="15" t="s">
        <v>27</v>
      </c>
      <c r="AD95" s="15" t="s">
        <v>27</v>
      </c>
      <c r="AE95" s="22">
        <f t="shared" si="5"/>
        <v>673.69799999999998</v>
      </c>
    </row>
    <row r="96" spans="1:31" ht="15" customHeight="1">
      <c r="A96" s="4">
        <v>89</v>
      </c>
      <c r="B96" s="10" t="s">
        <v>115</v>
      </c>
      <c r="C96" s="32" t="s">
        <v>151</v>
      </c>
      <c r="D96" s="22">
        <f t="shared" si="4"/>
        <v>1038.4835136384061</v>
      </c>
      <c r="E96" s="15" t="s">
        <v>27</v>
      </c>
      <c r="F96" s="15">
        <v>229.207551</v>
      </c>
      <c r="G96" s="15">
        <v>135.85401199999998</v>
      </c>
      <c r="H96" s="15">
        <v>353.55603100000008</v>
      </c>
      <c r="I96" s="15">
        <v>161.651096</v>
      </c>
      <c r="J96" s="3">
        <v>158.21482363840602</v>
      </c>
      <c r="K96" s="19"/>
      <c r="L96" s="15" t="s">
        <v>27</v>
      </c>
      <c r="M96" s="15" t="s">
        <v>27</v>
      </c>
      <c r="N96" s="15" t="s">
        <v>27</v>
      </c>
      <c r="O96" s="15" t="s">
        <v>27</v>
      </c>
      <c r="P96" s="15" t="s">
        <v>27</v>
      </c>
      <c r="Q96" s="3" t="s">
        <v>27</v>
      </c>
      <c r="R96" s="19"/>
      <c r="S96" s="15" t="s">
        <v>27</v>
      </c>
      <c r="T96" s="15">
        <v>22.251000000000001</v>
      </c>
      <c r="U96" s="15">
        <v>27.779000000000003</v>
      </c>
      <c r="V96" s="15">
        <v>88.769000000000005</v>
      </c>
      <c r="W96" s="15">
        <v>122.723</v>
      </c>
      <c r="X96" s="15">
        <v>531.90599999999995</v>
      </c>
      <c r="Y96" s="15" t="s">
        <v>27</v>
      </c>
      <c r="Z96" s="15" t="s">
        <v>27</v>
      </c>
      <c r="AA96" s="15" t="s">
        <v>27</v>
      </c>
      <c r="AB96" s="15" t="s">
        <v>27</v>
      </c>
      <c r="AC96" s="15" t="s">
        <v>27</v>
      </c>
      <c r="AD96" s="15" t="s">
        <v>27</v>
      </c>
      <c r="AE96" s="22">
        <f t="shared" si="5"/>
        <v>793.42799999999988</v>
      </c>
    </row>
    <row r="97" spans="1:31" ht="15" customHeight="1">
      <c r="A97" s="4">
        <v>90</v>
      </c>
      <c r="B97" s="10" t="s">
        <v>116</v>
      </c>
      <c r="C97" s="32" t="s">
        <v>152</v>
      </c>
      <c r="D97" s="22">
        <f t="shared" si="4"/>
        <v>1192.4569700966749</v>
      </c>
      <c r="E97" s="15" t="s">
        <v>27</v>
      </c>
      <c r="F97" s="15">
        <v>223.34982300000001</v>
      </c>
      <c r="G97" s="15">
        <v>187.24008900000001</v>
      </c>
      <c r="H97" s="15">
        <v>250.08542800000001</v>
      </c>
      <c r="I97" s="15">
        <v>74.952965000000006</v>
      </c>
      <c r="J97" s="3">
        <v>74.79475461781135</v>
      </c>
      <c r="K97" s="19"/>
      <c r="L97" s="15" t="s">
        <v>27</v>
      </c>
      <c r="M97" s="15">
        <v>60.666186000000003</v>
      </c>
      <c r="N97" s="15">
        <v>103.608411</v>
      </c>
      <c r="O97" s="15">
        <v>168.10350099999999</v>
      </c>
      <c r="P97" s="15">
        <v>15.1982</v>
      </c>
      <c r="Q97" s="3">
        <v>34.457612478863531</v>
      </c>
      <c r="R97" s="19"/>
      <c r="S97" s="15" t="s">
        <v>27</v>
      </c>
      <c r="T97" s="15">
        <v>23.996000000000002</v>
      </c>
      <c r="U97" s="15">
        <v>27.953000000000003</v>
      </c>
      <c r="V97" s="15">
        <v>89.081000000000017</v>
      </c>
      <c r="W97" s="15">
        <v>105.37199999999999</v>
      </c>
      <c r="X97" s="15">
        <v>369.529</v>
      </c>
      <c r="Y97" s="15" t="s">
        <v>27</v>
      </c>
      <c r="Z97" s="15">
        <v>6.4340000000000002</v>
      </c>
      <c r="AA97" s="15">
        <v>7.6760000000000002</v>
      </c>
      <c r="AB97" s="15">
        <v>14.893000000000001</v>
      </c>
      <c r="AC97" s="15">
        <v>6.5670000000000002</v>
      </c>
      <c r="AD97" s="15">
        <v>81.459000000000003</v>
      </c>
      <c r="AE97" s="22">
        <f t="shared" si="5"/>
        <v>732.96</v>
      </c>
    </row>
    <row r="98" spans="1:31" ht="15" customHeight="1">
      <c r="A98" s="4">
        <v>91</v>
      </c>
      <c r="B98" s="10" t="s">
        <v>117</v>
      </c>
      <c r="C98" s="32" t="s">
        <v>151</v>
      </c>
      <c r="D98" s="22">
        <f t="shared" si="4"/>
        <v>171.51297614105161</v>
      </c>
      <c r="E98" s="15" t="s">
        <v>27</v>
      </c>
      <c r="F98" s="15">
        <v>52.818589000000003</v>
      </c>
      <c r="G98" s="15" t="s">
        <v>27</v>
      </c>
      <c r="H98" s="15">
        <v>67.272120999999999</v>
      </c>
      <c r="I98" s="15">
        <v>21.280422999999999</v>
      </c>
      <c r="J98" s="3">
        <v>30.141843141051631</v>
      </c>
      <c r="K98" s="19"/>
      <c r="L98" s="15" t="s">
        <v>27</v>
      </c>
      <c r="M98" s="15" t="s">
        <v>27</v>
      </c>
      <c r="N98" s="15" t="s">
        <v>27</v>
      </c>
      <c r="O98" s="15" t="s">
        <v>27</v>
      </c>
      <c r="P98" s="15" t="s">
        <v>27</v>
      </c>
      <c r="Q98" s="3" t="s">
        <v>27</v>
      </c>
      <c r="R98" s="19"/>
      <c r="S98" s="15" t="s">
        <v>27</v>
      </c>
      <c r="T98" s="15">
        <v>12.211</v>
      </c>
      <c r="U98" s="15" t="s">
        <v>27</v>
      </c>
      <c r="V98" s="15">
        <v>28.498999999999999</v>
      </c>
      <c r="W98" s="15">
        <v>53.16</v>
      </c>
      <c r="X98" s="15">
        <v>213.27500000000001</v>
      </c>
      <c r="Y98" s="15" t="s">
        <v>27</v>
      </c>
      <c r="Z98" s="15" t="s">
        <v>27</v>
      </c>
      <c r="AA98" s="15" t="s">
        <v>27</v>
      </c>
      <c r="AB98" s="15" t="s">
        <v>27</v>
      </c>
      <c r="AC98" s="15" t="s">
        <v>27</v>
      </c>
      <c r="AD98" s="15" t="s">
        <v>27</v>
      </c>
      <c r="AE98" s="22">
        <f t="shared" si="5"/>
        <v>307.14499999999998</v>
      </c>
    </row>
    <row r="99" spans="1:31" ht="15" customHeight="1">
      <c r="A99" s="4">
        <v>92</v>
      </c>
      <c r="B99" s="10" t="s">
        <v>118</v>
      </c>
      <c r="C99" s="32" t="s">
        <v>151</v>
      </c>
      <c r="D99" s="22">
        <f t="shared" si="4"/>
        <v>930.78216401234658</v>
      </c>
      <c r="E99" s="15" t="s">
        <v>27</v>
      </c>
      <c r="F99" s="15">
        <v>339.08958400000006</v>
      </c>
      <c r="G99" s="15" t="s">
        <v>27</v>
      </c>
      <c r="H99" s="15">
        <v>390.21602900000005</v>
      </c>
      <c r="I99" s="15">
        <v>74.673709999999986</v>
      </c>
      <c r="J99" s="3">
        <v>126.80284101234639</v>
      </c>
      <c r="K99" s="19"/>
      <c r="L99" s="15" t="s">
        <v>27</v>
      </c>
      <c r="M99" s="15" t="s">
        <v>27</v>
      </c>
      <c r="N99" s="15" t="s">
        <v>27</v>
      </c>
      <c r="O99" s="15" t="s">
        <v>27</v>
      </c>
      <c r="P99" s="15" t="s">
        <v>27</v>
      </c>
      <c r="Q99" s="3" t="s">
        <v>27</v>
      </c>
      <c r="R99" s="19"/>
      <c r="S99" s="15" t="s">
        <v>27</v>
      </c>
      <c r="T99" s="15">
        <v>46.097000000000001</v>
      </c>
      <c r="U99" s="15" t="s">
        <v>27</v>
      </c>
      <c r="V99" s="15">
        <v>119.66400000000002</v>
      </c>
      <c r="W99" s="15">
        <v>117.95199999999998</v>
      </c>
      <c r="X99" s="15">
        <v>673.78600000000006</v>
      </c>
      <c r="Y99" s="15" t="s">
        <v>27</v>
      </c>
      <c r="Z99" s="15" t="s">
        <v>27</v>
      </c>
      <c r="AA99" s="15" t="s">
        <v>27</v>
      </c>
      <c r="AB99" s="15" t="s">
        <v>27</v>
      </c>
      <c r="AC99" s="15" t="s">
        <v>27</v>
      </c>
      <c r="AD99" s="15" t="s">
        <v>27</v>
      </c>
      <c r="AE99" s="22">
        <f t="shared" si="5"/>
        <v>957.49900000000002</v>
      </c>
    </row>
    <row r="100" spans="1:31" ht="15" customHeight="1">
      <c r="A100" s="4">
        <v>93</v>
      </c>
      <c r="B100" s="10" t="s">
        <v>119</v>
      </c>
      <c r="C100" s="32" t="s">
        <v>153</v>
      </c>
      <c r="D100" s="22">
        <f t="shared" si="4"/>
        <v>1278.0946851806789</v>
      </c>
      <c r="E100" s="15">
        <v>616.47497299999998</v>
      </c>
      <c r="F100" s="15" t="s">
        <v>27</v>
      </c>
      <c r="G100" s="15">
        <v>209.85824599999998</v>
      </c>
      <c r="H100" s="15">
        <v>118.81124199999999</v>
      </c>
      <c r="I100" s="15">
        <v>107.28933000000002</v>
      </c>
      <c r="J100" s="3">
        <v>85.037305707685405</v>
      </c>
      <c r="K100" s="19"/>
      <c r="L100" s="15" t="s">
        <v>27</v>
      </c>
      <c r="M100" s="15" t="s">
        <v>27</v>
      </c>
      <c r="N100" s="15" t="s">
        <v>27</v>
      </c>
      <c r="O100" s="15">
        <v>90.212513000000001</v>
      </c>
      <c r="P100" s="15">
        <v>24.638531999999998</v>
      </c>
      <c r="Q100" s="3">
        <v>25.772543472993554</v>
      </c>
      <c r="R100" s="19"/>
      <c r="S100" s="15">
        <v>13.411999999999999</v>
      </c>
      <c r="T100" s="15" t="s">
        <v>27</v>
      </c>
      <c r="U100" s="15">
        <v>25</v>
      </c>
      <c r="V100" s="15">
        <v>37.905000000000001</v>
      </c>
      <c r="W100" s="15">
        <v>70.812999999999988</v>
      </c>
      <c r="X100" s="15">
        <v>261.94799999999998</v>
      </c>
      <c r="Y100" s="15" t="s">
        <v>27</v>
      </c>
      <c r="Z100" s="15" t="s">
        <v>27</v>
      </c>
      <c r="AA100" s="15" t="s">
        <v>27</v>
      </c>
      <c r="AB100" s="15">
        <v>8.8149999999999995</v>
      </c>
      <c r="AC100" s="15">
        <v>7.7829999999999995</v>
      </c>
      <c r="AD100" s="15">
        <v>50.097000000000001</v>
      </c>
      <c r="AE100" s="22">
        <f t="shared" si="5"/>
        <v>475.77299999999997</v>
      </c>
    </row>
    <row r="101" spans="1:31" ht="15" customHeight="1">
      <c r="A101" s="4">
        <v>94</v>
      </c>
      <c r="B101" s="10" t="s">
        <v>120</v>
      </c>
      <c r="C101" s="32" t="s">
        <v>151</v>
      </c>
      <c r="D101" s="22">
        <f t="shared" si="4"/>
        <v>231.73239307694325</v>
      </c>
      <c r="E101" s="15" t="s">
        <v>27</v>
      </c>
      <c r="F101" s="15" t="s">
        <v>27</v>
      </c>
      <c r="G101" s="15">
        <v>74.806252000000001</v>
      </c>
      <c r="H101" s="15">
        <v>82.717317000000008</v>
      </c>
      <c r="I101" s="15">
        <v>28.293976000000001</v>
      </c>
      <c r="J101" s="3">
        <v>45.914848076943244</v>
      </c>
      <c r="K101" s="19"/>
      <c r="L101" s="15" t="s">
        <v>27</v>
      </c>
      <c r="M101" s="15" t="s">
        <v>27</v>
      </c>
      <c r="N101" s="15" t="s">
        <v>27</v>
      </c>
      <c r="O101" s="15" t="s">
        <v>27</v>
      </c>
      <c r="P101" s="15" t="s">
        <v>27</v>
      </c>
      <c r="Q101" s="3" t="s">
        <v>27</v>
      </c>
      <c r="R101" s="19"/>
      <c r="S101" s="15" t="s">
        <v>27</v>
      </c>
      <c r="T101" s="15" t="s">
        <v>27</v>
      </c>
      <c r="U101" s="15">
        <v>27.111000000000001</v>
      </c>
      <c r="V101" s="15">
        <v>89.203000000000003</v>
      </c>
      <c r="W101" s="15">
        <v>65.738</v>
      </c>
      <c r="X101" s="15">
        <v>310.49400000000003</v>
      </c>
      <c r="Y101" s="15" t="s">
        <v>27</v>
      </c>
      <c r="Z101" s="15" t="s">
        <v>27</v>
      </c>
      <c r="AA101" s="15" t="s">
        <v>27</v>
      </c>
      <c r="AB101" s="15" t="s">
        <v>27</v>
      </c>
      <c r="AC101" s="15" t="s">
        <v>27</v>
      </c>
      <c r="AD101" s="15" t="s">
        <v>27</v>
      </c>
      <c r="AE101" s="22">
        <f t="shared" si="5"/>
        <v>492.54600000000005</v>
      </c>
    </row>
    <row r="102" spans="1:31" ht="15" customHeight="1">
      <c r="A102" s="4">
        <v>95</v>
      </c>
      <c r="B102" s="10" t="s">
        <v>121</v>
      </c>
      <c r="C102" s="32" t="s">
        <v>151</v>
      </c>
      <c r="D102" s="22">
        <f t="shared" si="4"/>
        <v>124.67528282426645</v>
      </c>
      <c r="E102" s="15" t="s">
        <v>27</v>
      </c>
      <c r="F102" s="15" t="s">
        <v>27</v>
      </c>
      <c r="G102" s="15">
        <v>18.363050999999999</v>
      </c>
      <c r="H102" s="15">
        <v>60.41665299999999</v>
      </c>
      <c r="I102" s="15">
        <v>14.51585</v>
      </c>
      <c r="J102" s="3">
        <v>31.379728824266472</v>
      </c>
      <c r="K102" s="19"/>
      <c r="L102" s="15" t="s">
        <v>27</v>
      </c>
      <c r="M102" s="15" t="s">
        <v>27</v>
      </c>
      <c r="N102" s="15" t="s">
        <v>27</v>
      </c>
      <c r="O102" s="15" t="s">
        <v>27</v>
      </c>
      <c r="P102" s="15" t="s">
        <v>27</v>
      </c>
      <c r="Q102" s="3" t="s">
        <v>27</v>
      </c>
      <c r="R102" s="19"/>
      <c r="S102" s="15" t="s">
        <v>27</v>
      </c>
      <c r="T102" s="15" t="s">
        <v>27</v>
      </c>
      <c r="U102" s="15">
        <v>14.286</v>
      </c>
      <c r="V102" s="15">
        <v>41.036000000000001</v>
      </c>
      <c r="W102" s="15">
        <v>46.022000000000006</v>
      </c>
      <c r="X102" s="15">
        <v>257.69</v>
      </c>
      <c r="Y102" s="15" t="s">
        <v>27</v>
      </c>
      <c r="Z102" s="15" t="s">
        <v>27</v>
      </c>
      <c r="AA102" s="15" t="s">
        <v>27</v>
      </c>
      <c r="AB102" s="15" t="s">
        <v>27</v>
      </c>
      <c r="AC102" s="15" t="s">
        <v>27</v>
      </c>
      <c r="AD102" s="15" t="s">
        <v>27</v>
      </c>
      <c r="AE102" s="22">
        <f t="shared" si="5"/>
        <v>359.03399999999999</v>
      </c>
    </row>
    <row r="103" spans="1:31" ht="15" customHeight="1">
      <c r="A103" s="4">
        <v>96</v>
      </c>
      <c r="B103" s="10" t="s">
        <v>122</v>
      </c>
      <c r="C103" s="32" t="s">
        <v>151</v>
      </c>
      <c r="D103" s="22">
        <f t="shared" si="4"/>
        <v>338.49345021384187</v>
      </c>
      <c r="E103" s="15" t="s">
        <v>27</v>
      </c>
      <c r="F103" s="15">
        <v>33.106570000000005</v>
      </c>
      <c r="G103" s="15">
        <v>118.27623199999999</v>
      </c>
      <c r="H103" s="15">
        <v>46.845374999999997</v>
      </c>
      <c r="I103" s="15">
        <v>65.49512</v>
      </c>
      <c r="J103" s="3">
        <v>74.770153213841866</v>
      </c>
      <c r="K103" s="19"/>
      <c r="L103" s="15" t="s">
        <v>27</v>
      </c>
      <c r="M103" s="15" t="s">
        <v>27</v>
      </c>
      <c r="N103" s="15" t="s">
        <v>27</v>
      </c>
      <c r="O103" s="15" t="s">
        <v>27</v>
      </c>
      <c r="P103" s="15" t="s">
        <v>27</v>
      </c>
      <c r="Q103" s="3" t="s">
        <v>27</v>
      </c>
      <c r="R103" s="19"/>
      <c r="S103" s="15" t="s">
        <v>27</v>
      </c>
      <c r="T103" s="15">
        <v>4.3390000000000004</v>
      </c>
      <c r="U103" s="15">
        <v>19.422000000000001</v>
      </c>
      <c r="V103" s="15">
        <v>43.807000000000009</v>
      </c>
      <c r="W103" s="15">
        <v>78.75</v>
      </c>
      <c r="X103" s="15">
        <v>335.03100000000001</v>
      </c>
      <c r="Y103" s="15" t="s">
        <v>27</v>
      </c>
      <c r="Z103" s="15" t="s">
        <v>27</v>
      </c>
      <c r="AA103" s="15" t="s">
        <v>27</v>
      </c>
      <c r="AB103" s="15" t="s">
        <v>27</v>
      </c>
      <c r="AC103" s="15" t="s">
        <v>27</v>
      </c>
      <c r="AD103" s="15" t="s">
        <v>27</v>
      </c>
      <c r="AE103" s="22">
        <f t="shared" si="5"/>
        <v>481.34900000000005</v>
      </c>
    </row>
    <row r="104" spans="1:31" ht="15" customHeight="1">
      <c r="A104" s="4">
        <v>97</v>
      </c>
      <c r="B104" s="10" t="s">
        <v>123</v>
      </c>
      <c r="C104" s="32" t="s">
        <v>152</v>
      </c>
      <c r="D104" s="22">
        <f t="shared" ref="D104:D127" si="6">SUM(E104:J104)+SUM(L104:Q104)</f>
        <v>958.95504744670336</v>
      </c>
      <c r="E104" s="15" t="s">
        <v>27</v>
      </c>
      <c r="F104" s="15">
        <v>322.166541</v>
      </c>
      <c r="G104" s="15" t="s">
        <v>27</v>
      </c>
      <c r="H104" s="15">
        <v>197.23474700000003</v>
      </c>
      <c r="I104" s="15">
        <v>99.182598999999996</v>
      </c>
      <c r="J104" s="3">
        <v>93.515675404273466</v>
      </c>
      <c r="K104" s="19"/>
      <c r="L104" s="15" t="s">
        <v>27</v>
      </c>
      <c r="M104" s="15" t="s">
        <v>27</v>
      </c>
      <c r="N104" s="15">
        <v>126.945391</v>
      </c>
      <c r="O104" s="15">
        <v>77.528751</v>
      </c>
      <c r="P104" s="15">
        <v>18.133754999999997</v>
      </c>
      <c r="Q104" s="3">
        <v>24.247588042429921</v>
      </c>
      <c r="R104" s="19"/>
      <c r="S104" s="15" t="s">
        <v>27</v>
      </c>
      <c r="T104" s="15">
        <v>33.738999999999997</v>
      </c>
      <c r="U104" s="15" t="s">
        <v>27</v>
      </c>
      <c r="V104" s="15">
        <v>82.308999999999997</v>
      </c>
      <c r="W104" s="15">
        <v>94.481999999999999</v>
      </c>
      <c r="X104" s="15">
        <v>362.29</v>
      </c>
      <c r="Y104" s="15" t="s">
        <v>27</v>
      </c>
      <c r="Z104" s="15" t="s">
        <v>27</v>
      </c>
      <c r="AA104" s="15">
        <v>7.4539999999999988</v>
      </c>
      <c r="AB104" s="15">
        <v>10.868999999999998</v>
      </c>
      <c r="AC104" s="15">
        <v>4.4749999999999996</v>
      </c>
      <c r="AD104" s="15">
        <v>40.395000000000003</v>
      </c>
      <c r="AE104" s="22">
        <f t="shared" ref="AE104:AE127" si="7">SUM(S104:AD104)</f>
        <v>636.01300000000003</v>
      </c>
    </row>
    <row r="105" spans="1:31" ht="15" customHeight="1">
      <c r="A105" s="4">
        <v>98</v>
      </c>
      <c r="B105" s="10" t="s">
        <v>124</v>
      </c>
      <c r="C105" s="32" t="s">
        <v>152</v>
      </c>
      <c r="D105" s="22">
        <f t="shared" si="6"/>
        <v>2177.2466134115375</v>
      </c>
      <c r="E105" s="15" t="s">
        <v>27</v>
      </c>
      <c r="F105" s="15">
        <v>809.71140000000003</v>
      </c>
      <c r="G105" s="15" t="s">
        <v>27</v>
      </c>
      <c r="H105" s="15">
        <v>411.35996299999999</v>
      </c>
      <c r="I105" s="15">
        <v>290.34151000000003</v>
      </c>
      <c r="J105" s="3">
        <v>291.25821748664833</v>
      </c>
      <c r="K105" s="19"/>
      <c r="L105" s="15" t="s">
        <v>27</v>
      </c>
      <c r="M105" s="15" t="s">
        <v>27</v>
      </c>
      <c r="N105" s="15">
        <v>257.09416299999998</v>
      </c>
      <c r="O105" s="15">
        <v>83.023325000000014</v>
      </c>
      <c r="P105" s="15">
        <v>15.177349999999999</v>
      </c>
      <c r="Q105" s="3">
        <v>19.280684924888916</v>
      </c>
      <c r="R105" s="19"/>
      <c r="S105" s="15" t="s">
        <v>27</v>
      </c>
      <c r="T105" s="15">
        <v>77.471999999999994</v>
      </c>
      <c r="U105" s="15" t="s">
        <v>27</v>
      </c>
      <c r="V105" s="15">
        <v>138.65700000000001</v>
      </c>
      <c r="W105" s="15">
        <v>178.15099999999998</v>
      </c>
      <c r="X105" s="15">
        <v>857.21900000000005</v>
      </c>
      <c r="Y105" s="15" t="s">
        <v>27</v>
      </c>
      <c r="Z105" s="15" t="s">
        <v>27</v>
      </c>
      <c r="AA105" s="15">
        <v>8.9809999999999999</v>
      </c>
      <c r="AB105" s="15">
        <v>10.818</v>
      </c>
      <c r="AC105" s="15">
        <v>5.9740000000000002</v>
      </c>
      <c r="AD105" s="15">
        <v>43</v>
      </c>
      <c r="AE105" s="22">
        <f t="shared" si="7"/>
        <v>1320.2719999999999</v>
      </c>
    </row>
    <row r="106" spans="1:31" ht="15" customHeight="1">
      <c r="A106" s="4">
        <v>99</v>
      </c>
      <c r="B106" s="10" t="s">
        <v>125</v>
      </c>
      <c r="C106" s="32" t="s">
        <v>151</v>
      </c>
      <c r="D106" s="22">
        <f t="shared" si="6"/>
        <v>497.46390922162351</v>
      </c>
      <c r="E106" s="15" t="s">
        <v>27</v>
      </c>
      <c r="F106" s="15">
        <v>253.61202299999999</v>
      </c>
      <c r="G106" s="15">
        <v>10.111590000000001</v>
      </c>
      <c r="H106" s="15">
        <v>149.82983200000001</v>
      </c>
      <c r="I106" s="15">
        <v>36.744509000000001</v>
      </c>
      <c r="J106" s="3">
        <v>47.165955221623491</v>
      </c>
      <c r="K106" s="19"/>
      <c r="L106" s="15" t="s">
        <v>27</v>
      </c>
      <c r="M106" s="15" t="s">
        <v>27</v>
      </c>
      <c r="N106" s="15" t="s">
        <v>27</v>
      </c>
      <c r="O106" s="15" t="s">
        <v>27</v>
      </c>
      <c r="P106" s="15" t="s">
        <v>27</v>
      </c>
      <c r="Q106" s="3" t="s">
        <v>27</v>
      </c>
      <c r="R106" s="19"/>
      <c r="S106" s="15" t="s">
        <v>27</v>
      </c>
      <c r="T106" s="15">
        <v>24.087</v>
      </c>
      <c r="U106" s="15">
        <v>3.504</v>
      </c>
      <c r="V106" s="15">
        <v>49.658000000000001</v>
      </c>
      <c r="W106" s="15">
        <v>57.825000000000003</v>
      </c>
      <c r="X106" s="15">
        <v>250.042</v>
      </c>
      <c r="Y106" s="15" t="s">
        <v>27</v>
      </c>
      <c r="Z106" s="15" t="s">
        <v>27</v>
      </c>
      <c r="AA106" s="15" t="s">
        <v>27</v>
      </c>
      <c r="AB106" s="15" t="s">
        <v>27</v>
      </c>
      <c r="AC106" s="15" t="s">
        <v>27</v>
      </c>
      <c r="AD106" s="15" t="s">
        <v>27</v>
      </c>
      <c r="AE106" s="22">
        <f t="shared" si="7"/>
        <v>385.11599999999999</v>
      </c>
    </row>
    <row r="107" spans="1:31" ht="15" customHeight="1">
      <c r="A107" s="4">
        <v>100</v>
      </c>
      <c r="B107" s="10" t="s">
        <v>126</v>
      </c>
      <c r="C107" s="32" t="s">
        <v>152</v>
      </c>
      <c r="D107" s="22">
        <f t="shared" si="6"/>
        <v>1723.3956480204188</v>
      </c>
      <c r="E107" s="15" t="s">
        <v>27</v>
      </c>
      <c r="F107" s="15">
        <v>516.46766400000001</v>
      </c>
      <c r="G107" s="15">
        <v>40.735298999999998</v>
      </c>
      <c r="H107" s="15">
        <v>221.80175700000001</v>
      </c>
      <c r="I107" s="15">
        <v>94.204900999999992</v>
      </c>
      <c r="J107" s="3">
        <v>235.71267999715414</v>
      </c>
      <c r="K107" s="19"/>
      <c r="L107" s="15" t="s">
        <v>27</v>
      </c>
      <c r="M107" s="15">
        <v>11.821963999999999</v>
      </c>
      <c r="N107" s="15">
        <v>301.48503299999999</v>
      </c>
      <c r="O107" s="15">
        <v>102.27704499999999</v>
      </c>
      <c r="P107" s="15">
        <v>66.131257000000019</v>
      </c>
      <c r="Q107" s="3">
        <v>132.75804802326479</v>
      </c>
      <c r="R107" s="19"/>
      <c r="S107" s="15" t="s">
        <v>27</v>
      </c>
      <c r="T107" s="15">
        <v>68.534000000000006</v>
      </c>
      <c r="U107" s="15">
        <v>4.1689999999999996</v>
      </c>
      <c r="V107" s="15">
        <v>96.194999999999993</v>
      </c>
      <c r="W107" s="15">
        <v>134.96600000000001</v>
      </c>
      <c r="X107" s="15">
        <v>1178.4000000000001</v>
      </c>
      <c r="Y107" s="15" t="s">
        <v>27</v>
      </c>
      <c r="Z107" s="15">
        <v>1.1719999999999999</v>
      </c>
      <c r="AA107" s="15">
        <v>13.856</v>
      </c>
      <c r="AB107" s="15">
        <v>15.385</v>
      </c>
      <c r="AC107" s="15">
        <v>9.6219999999999999</v>
      </c>
      <c r="AD107" s="15">
        <v>158.98699999999999</v>
      </c>
      <c r="AE107" s="22">
        <f t="shared" si="7"/>
        <v>1681.2860000000003</v>
      </c>
    </row>
    <row r="108" spans="1:31" ht="15" customHeight="1">
      <c r="A108" s="4">
        <v>101</v>
      </c>
      <c r="B108" s="10" t="s">
        <v>127</v>
      </c>
      <c r="C108" s="32" t="s">
        <v>151</v>
      </c>
      <c r="D108" s="22">
        <f t="shared" si="6"/>
        <v>44.126345966326426</v>
      </c>
      <c r="E108" s="15" t="s">
        <v>27</v>
      </c>
      <c r="F108" s="15">
        <v>4.1659899999999999</v>
      </c>
      <c r="G108" s="15" t="s">
        <v>27</v>
      </c>
      <c r="H108" s="15">
        <v>23.930790000000002</v>
      </c>
      <c r="I108" s="15">
        <v>7.3733600000000008</v>
      </c>
      <c r="J108" s="3">
        <v>8.6562059663264215</v>
      </c>
      <c r="K108" s="19"/>
      <c r="L108" s="15" t="s">
        <v>27</v>
      </c>
      <c r="M108" s="15" t="s">
        <v>27</v>
      </c>
      <c r="N108" s="15" t="s">
        <v>27</v>
      </c>
      <c r="O108" s="15" t="s">
        <v>27</v>
      </c>
      <c r="P108" s="15" t="s">
        <v>27</v>
      </c>
      <c r="Q108" s="3" t="s">
        <v>27</v>
      </c>
      <c r="R108" s="19"/>
      <c r="S108" s="15" t="s">
        <v>27</v>
      </c>
      <c r="T108" s="15">
        <v>1.357</v>
      </c>
      <c r="U108" s="15" t="s">
        <v>27</v>
      </c>
      <c r="V108" s="15">
        <v>32.218999999999994</v>
      </c>
      <c r="W108" s="15">
        <v>32.474000000000004</v>
      </c>
      <c r="X108" s="15">
        <v>87.29</v>
      </c>
      <c r="Y108" s="15" t="s">
        <v>27</v>
      </c>
      <c r="Z108" s="15" t="s">
        <v>27</v>
      </c>
      <c r="AA108" s="15" t="s">
        <v>27</v>
      </c>
      <c r="AB108" s="15" t="s">
        <v>27</v>
      </c>
      <c r="AC108" s="15" t="s">
        <v>27</v>
      </c>
      <c r="AD108" s="15" t="s">
        <v>27</v>
      </c>
      <c r="AE108" s="22">
        <f t="shared" si="7"/>
        <v>153.34</v>
      </c>
    </row>
    <row r="109" spans="1:31" ht="15" customHeight="1">
      <c r="A109" s="4">
        <v>102</v>
      </c>
      <c r="B109" s="10" t="s">
        <v>128</v>
      </c>
      <c r="C109" s="32" t="s">
        <v>151</v>
      </c>
      <c r="D109" s="22">
        <f t="shared" si="6"/>
        <v>1204.0771217292256</v>
      </c>
      <c r="E109" s="15">
        <v>804.63239999999996</v>
      </c>
      <c r="F109" s="15">
        <v>73.534503999999998</v>
      </c>
      <c r="G109" s="15">
        <v>93.311690999999996</v>
      </c>
      <c r="H109" s="15">
        <v>91.580724999999987</v>
      </c>
      <c r="I109" s="15">
        <v>49.322859999999999</v>
      </c>
      <c r="J109" s="3">
        <v>91.694941729225874</v>
      </c>
      <c r="K109" s="19"/>
      <c r="L109" s="15" t="s">
        <v>27</v>
      </c>
      <c r="M109" s="15" t="s">
        <v>27</v>
      </c>
      <c r="N109" s="15" t="s">
        <v>27</v>
      </c>
      <c r="O109" s="15" t="s">
        <v>27</v>
      </c>
      <c r="P109" s="15" t="s">
        <v>27</v>
      </c>
      <c r="Q109" s="3" t="s">
        <v>27</v>
      </c>
      <c r="R109" s="19"/>
      <c r="S109" s="15">
        <v>22.640999999999998</v>
      </c>
      <c r="T109" s="15">
        <v>10.064</v>
      </c>
      <c r="U109" s="15">
        <v>14.366</v>
      </c>
      <c r="V109" s="15">
        <v>51.229000000000006</v>
      </c>
      <c r="W109" s="15">
        <v>75.427999999999997</v>
      </c>
      <c r="X109" s="15">
        <v>477.483</v>
      </c>
      <c r="Y109" s="15" t="s">
        <v>27</v>
      </c>
      <c r="Z109" s="15" t="s">
        <v>27</v>
      </c>
      <c r="AA109" s="15" t="s">
        <v>27</v>
      </c>
      <c r="AB109" s="15" t="s">
        <v>27</v>
      </c>
      <c r="AC109" s="15" t="s">
        <v>27</v>
      </c>
      <c r="AD109" s="15" t="s">
        <v>27</v>
      </c>
      <c r="AE109" s="22">
        <f t="shared" si="7"/>
        <v>651.21100000000001</v>
      </c>
    </row>
    <row r="110" spans="1:31" ht="15" customHeight="1">
      <c r="A110" s="4">
        <v>103</v>
      </c>
      <c r="B110" s="10" t="s">
        <v>129</v>
      </c>
      <c r="C110" s="32" t="s">
        <v>152</v>
      </c>
      <c r="D110" s="22">
        <f t="shared" si="6"/>
        <v>830.46715316346945</v>
      </c>
      <c r="E110" s="15">
        <v>255.41945199999998</v>
      </c>
      <c r="F110" s="15" t="s">
        <v>27</v>
      </c>
      <c r="G110" s="15">
        <v>44.406137999999999</v>
      </c>
      <c r="H110" s="15">
        <v>200.07263900000001</v>
      </c>
      <c r="I110" s="15">
        <v>40.333086999999999</v>
      </c>
      <c r="J110" s="3">
        <v>71.306832839077686</v>
      </c>
      <c r="K110" s="19"/>
      <c r="L110" s="15">
        <v>23.554350000000003</v>
      </c>
      <c r="M110" s="15" t="s">
        <v>27</v>
      </c>
      <c r="N110" s="15">
        <v>107.204116</v>
      </c>
      <c r="O110" s="15">
        <v>31.538151000000003</v>
      </c>
      <c r="P110" s="15">
        <v>24.198812</v>
      </c>
      <c r="Q110" s="3">
        <v>32.43357532439186</v>
      </c>
      <c r="R110" s="19"/>
      <c r="S110" s="15">
        <v>18.18</v>
      </c>
      <c r="T110" s="15" t="s">
        <v>27</v>
      </c>
      <c r="U110" s="15">
        <v>5.2009999999999996</v>
      </c>
      <c r="V110" s="15">
        <v>71.51400000000001</v>
      </c>
      <c r="W110" s="15">
        <v>45.570999999999998</v>
      </c>
      <c r="X110" s="15">
        <v>307.33299999999997</v>
      </c>
      <c r="Y110" s="15">
        <v>1.53</v>
      </c>
      <c r="Z110" s="15" t="s">
        <v>27</v>
      </c>
      <c r="AA110" s="15">
        <v>5.3940000000000001</v>
      </c>
      <c r="AB110" s="15">
        <v>5.0859999999999994</v>
      </c>
      <c r="AC110" s="15">
        <v>5.8010000000000002</v>
      </c>
      <c r="AD110" s="15">
        <v>53.061999999999998</v>
      </c>
      <c r="AE110" s="22">
        <f t="shared" si="7"/>
        <v>518.67199999999991</v>
      </c>
    </row>
    <row r="111" spans="1:31" ht="15" customHeight="1">
      <c r="A111" s="4">
        <v>104</v>
      </c>
      <c r="B111" s="10" t="s">
        <v>130</v>
      </c>
      <c r="C111" s="32" t="s">
        <v>151</v>
      </c>
      <c r="D111" s="22">
        <f t="shared" si="6"/>
        <v>514.86199084629823</v>
      </c>
      <c r="E111" s="15" t="s">
        <v>27</v>
      </c>
      <c r="F111" s="15">
        <v>199.50959899999998</v>
      </c>
      <c r="G111" s="15" t="s">
        <v>27</v>
      </c>
      <c r="H111" s="15">
        <v>109.80366399999998</v>
      </c>
      <c r="I111" s="15">
        <v>77.735033999999999</v>
      </c>
      <c r="J111" s="3">
        <v>127.81369384629826</v>
      </c>
      <c r="K111" s="19"/>
      <c r="L111" s="15" t="s">
        <v>27</v>
      </c>
      <c r="M111" s="15" t="s">
        <v>27</v>
      </c>
      <c r="N111" s="15" t="s">
        <v>27</v>
      </c>
      <c r="O111" s="15" t="s">
        <v>27</v>
      </c>
      <c r="P111" s="15" t="s">
        <v>27</v>
      </c>
      <c r="Q111" s="3" t="s">
        <v>27</v>
      </c>
      <c r="R111" s="19"/>
      <c r="S111" s="15" t="s">
        <v>27</v>
      </c>
      <c r="T111" s="15">
        <v>41.256</v>
      </c>
      <c r="U111" s="15" t="s">
        <v>27</v>
      </c>
      <c r="V111" s="15">
        <v>44.998000000000005</v>
      </c>
      <c r="W111" s="15">
        <v>74.275000000000006</v>
      </c>
      <c r="X111" s="15">
        <v>496.1</v>
      </c>
      <c r="Y111" s="15" t="s">
        <v>27</v>
      </c>
      <c r="Z111" s="15" t="s">
        <v>27</v>
      </c>
      <c r="AA111" s="15" t="s">
        <v>27</v>
      </c>
      <c r="AB111" s="15" t="s">
        <v>27</v>
      </c>
      <c r="AC111" s="15" t="s">
        <v>27</v>
      </c>
      <c r="AD111" s="15" t="s">
        <v>27</v>
      </c>
      <c r="AE111" s="22">
        <f t="shared" si="7"/>
        <v>656.62900000000002</v>
      </c>
    </row>
    <row r="112" spans="1:31" ht="15" customHeight="1">
      <c r="A112" s="4">
        <v>105</v>
      </c>
      <c r="B112" s="10" t="s">
        <v>131</v>
      </c>
      <c r="C112" s="32" t="s">
        <v>152</v>
      </c>
      <c r="D112" s="22">
        <f t="shared" si="6"/>
        <v>1991.5319691041204</v>
      </c>
      <c r="E112" s="15">
        <v>1092.833106</v>
      </c>
      <c r="F112" s="15">
        <v>12.910911</v>
      </c>
      <c r="G112" s="15">
        <v>86.693070000000006</v>
      </c>
      <c r="H112" s="15">
        <v>150.49282699999998</v>
      </c>
      <c r="I112" s="15">
        <v>72.13727200000001</v>
      </c>
      <c r="J112" s="3">
        <v>68.468351116430085</v>
      </c>
      <c r="K112" s="19"/>
      <c r="L112" s="15">
        <v>176.11012400000001</v>
      </c>
      <c r="M112" s="15" t="s">
        <v>27</v>
      </c>
      <c r="N112" s="15">
        <v>143.40795600000001</v>
      </c>
      <c r="O112" s="15">
        <v>129.97792700000002</v>
      </c>
      <c r="P112" s="15">
        <v>22.149810000000002</v>
      </c>
      <c r="Q112" s="3">
        <v>36.35061498769025</v>
      </c>
      <c r="R112" s="19"/>
      <c r="S112" s="15">
        <v>22.707000000000001</v>
      </c>
      <c r="T112" s="15">
        <v>2.3010000000000002</v>
      </c>
      <c r="U112" s="15">
        <v>14.882</v>
      </c>
      <c r="V112" s="15">
        <v>55.648999999999987</v>
      </c>
      <c r="W112" s="15">
        <v>59.36</v>
      </c>
      <c r="X112" s="15">
        <v>242.06799999999998</v>
      </c>
      <c r="Y112" s="15">
        <v>3.6340000000000003</v>
      </c>
      <c r="Z112" s="15" t="s">
        <v>27</v>
      </c>
      <c r="AA112" s="15">
        <v>9.7889999999999997</v>
      </c>
      <c r="AB112" s="15">
        <v>12.419</v>
      </c>
      <c r="AC112" s="15">
        <v>7.051000000000001</v>
      </c>
      <c r="AD112" s="15">
        <v>71</v>
      </c>
      <c r="AE112" s="22">
        <f t="shared" si="7"/>
        <v>500.85999999999996</v>
      </c>
    </row>
    <row r="113" spans="1:31" ht="15" customHeight="1">
      <c r="A113" s="4">
        <v>106</v>
      </c>
      <c r="B113" s="10" t="s">
        <v>132</v>
      </c>
      <c r="C113" s="32" t="s">
        <v>152</v>
      </c>
      <c r="D113" s="22">
        <f t="shared" si="6"/>
        <v>1533.3230952632521</v>
      </c>
      <c r="E113" s="15">
        <v>856.29558899999995</v>
      </c>
      <c r="F113" s="15" t="s">
        <v>27</v>
      </c>
      <c r="G113" s="15">
        <v>159.72690899999998</v>
      </c>
      <c r="H113" s="15">
        <v>141.62462200000002</v>
      </c>
      <c r="I113" s="15">
        <v>81.71969399999999</v>
      </c>
      <c r="J113" s="3">
        <v>61.089671297247371</v>
      </c>
      <c r="K113" s="19"/>
      <c r="L113" s="15" t="s">
        <v>27</v>
      </c>
      <c r="M113" s="15" t="s">
        <v>27</v>
      </c>
      <c r="N113" s="15">
        <v>146.519814</v>
      </c>
      <c r="O113" s="15">
        <v>33.622843000000003</v>
      </c>
      <c r="P113" s="15">
        <v>25.471810000000005</v>
      </c>
      <c r="Q113" s="3">
        <v>27.252142966005071</v>
      </c>
      <c r="R113" s="19"/>
      <c r="S113" s="15">
        <v>22.329000000000001</v>
      </c>
      <c r="T113" s="15" t="s">
        <v>27</v>
      </c>
      <c r="U113" s="15">
        <v>27.552</v>
      </c>
      <c r="V113" s="15">
        <v>58.066999999999993</v>
      </c>
      <c r="W113" s="15">
        <v>111.85400000000001</v>
      </c>
      <c r="X113" s="15">
        <v>296.81799999999998</v>
      </c>
      <c r="Y113" s="15" t="s">
        <v>27</v>
      </c>
      <c r="Z113" s="15" t="s">
        <v>27</v>
      </c>
      <c r="AA113" s="15">
        <v>10.008000000000001</v>
      </c>
      <c r="AB113" s="15">
        <v>3.5519999999999996</v>
      </c>
      <c r="AC113" s="15">
        <v>9.1019999999999985</v>
      </c>
      <c r="AD113" s="15">
        <v>57.215000000000003</v>
      </c>
      <c r="AE113" s="22">
        <f t="shared" si="7"/>
        <v>596.49700000000007</v>
      </c>
    </row>
    <row r="114" spans="1:31" ht="15" customHeight="1">
      <c r="A114" s="4">
        <v>107</v>
      </c>
      <c r="B114" s="10" t="s">
        <v>133</v>
      </c>
      <c r="C114" s="32" t="s">
        <v>152</v>
      </c>
      <c r="D114" s="22">
        <f t="shared" si="6"/>
        <v>896.85329373137256</v>
      </c>
      <c r="E114" s="15">
        <v>495.96770799999996</v>
      </c>
      <c r="F114" s="15" t="s">
        <v>27</v>
      </c>
      <c r="G114" s="15">
        <v>39.831987999999996</v>
      </c>
      <c r="H114" s="15">
        <v>117.12158199999999</v>
      </c>
      <c r="I114" s="15">
        <v>39.348535000000005</v>
      </c>
      <c r="J114" s="3">
        <v>51.120730470666267</v>
      </c>
      <c r="K114" s="19"/>
      <c r="L114" s="15" t="s">
        <v>27</v>
      </c>
      <c r="M114" s="15" t="s">
        <v>27</v>
      </c>
      <c r="N114" s="15" t="s">
        <v>27</v>
      </c>
      <c r="O114" s="15">
        <v>76.536360999999999</v>
      </c>
      <c r="P114" s="15">
        <v>46.100139999999996</v>
      </c>
      <c r="Q114" s="3">
        <v>30.826249260706462</v>
      </c>
      <c r="R114" s="19"/>
      <c r="S114" s="15">
        <v>13.711</v>
      </c>
      <c r="T114" s="15" t="s">
        <v>27</v>
      </c>
      <c r="U114" s="15">
        <v>4.8319999999999999</v>
      </c>
      <c r="V114" s="15">
        <v>46.977999999999994</v>
      </c>
      <c r="W114" s="15">
        <v>68.267999999999986</v>
      </c>
      <c r="X114" s="15">
        <v>288.03899999999999</v>
      </c>
      <c r="Y114" s="15" t="s">
        <v>27</v>
      </c>
      <c r="Z114" s="15" t="s">
        <v>27</v>
      </c>
      <c r="AA114" s="15" t="s">
        <v>27</v>
      </c>
      <c r="AB114" s="15">
        <v>12.286</v>
      </c>
      <c r="AC114" s="15">
        <v>13.358000000000001</v>
      </c>
      <c r="AD114" s="15">
        <v>56.774000000000001</v>
      </c>
      <c r="AE114" s="22">
        <f t="shared" si="7"/>
        <v>504.24599999999998</v>
      </c>
    </row>
    <row r="115" spans="1:31" ht="15" customHeight="1">
      <c r="A115" s="4">
        <v>108</v>
      </c>
      <c r="B115" s="10" t="s">
        <v>134</v>
      </c>
      <c r="C115" s="32" t="s">
        <v>151</v>
      </c>
      <c r="D115" s="22">
        <f t="shared" si="6"/>
        <v>300.40973662115266</v>
      </c>
      <c r="E115" s="15" t="s">
        <v>27</v>
      </c>
      <c r="F115" s="15" t="s">
        <v>27</v>
      </c>
      <c r="G115" s="15">
        <v>106.983177</v>
      </c>
      <c r="H115" s="15">
        <v>106.917354</v>
      </c>
      <c r="I115" s="15">
        <v>36.712322999999998</v>
      </c>
      <c r="J115" s="3">
        <v>49.796882621152676</v>
      </c>
      <c r="K115" s="19"/>
      <c r="L115" s="15" t="s">
        <v>27</v>
      </c>
      <c r="M115" s="15" t="s">
        <v>27</v>
      </c>
      <c r="N115" s="15" t="s">
        <v>27</v>
      </c>
      <c r="O115" s="15" t="s">
        <v>27</v>
      </c>
      <c r="P115" s="15" t="s">
        <v>27</v>
      </c>
      <c r="Q115" s="3" t="s">
        <v>27</v>
      </c>
      <c r="R115" s="19"/>
      <c r="S115" s="15" t="s">
        <v>27</v>
      </c>
      <c r="T115" s="15" t="s">
        <v>27</v>
      </c>
      <c r="U115" s="15">
        <v>12.142999999999999</v>
      </c>
      <c r="V115" s="15">
        <v>43.238999999999997</v>
      </c>
      <c r="W115" s="15">
        <v>49.516000000000005</v>
      </c>
      <c r="X115" s="15">
        <v>239.73500000000001</v>
      </c>
      <c r="Y115" s="15" t="s">
        <v>27</v>
      </c>
      <c r="Z115" s="15" t="s">
        <v>27</v>
      </c>
      <c r="AA115" s="15" t="s">
        <v>27</v>
      </c>
      <c r="AB115" s="15" t="s">
        <v>27</v>
      </c>
      <c r="AC115" s="15" t="s">
        <v>27</v>
      </c>
      <c r="AD115" s="15" t="s">
        <v>27</v>
      </c>
      <c r="AE115" s="22">
        <f t="shared" si="7"/>
        <v>344.63300000000004</v>
      </c>
    </row>
    <row r="116" spans="1:31" ht="15" customHeight="1">
      <c r="A116" s="4">
        <v>109</v>
      </c>
      <c r="B116" s="10" t="s">
        <v>135</v>
      </c>
      <c r="C116" s="32" t="s">
        <v>152</v>
      </c>
      <c r="D116" s="22">
        <f t="shared" si="6"/>
        <v>587.40244504532473</v>
      </c>
      <c r="E116" s="15" t="s">
        <v>27</v>
      </c>
      <c r="F116" s="15">
        <v>110.223659</v>
      </c>
      <c r="G116" s="15" t="s">
        <v>27</v>
      </c>
      <c r="H116" s="15">
        <v>138.78971999999999</v>
      </c>
      <c r="I116" s="15">
        <v>49.844877999999994</v>
      </c>
      <c r="J116" s="3">
        <v>72.317194974204114</v>
      </c>
      <c r="K116" s="19"/>
      <c r="L116" s="15" t="s">
        <v>27</v>
      </c>
      <c r="M116" s="15" t="s">
        <v>27</v>
      </c>
      <c r="N116" s="15">
        <v>62.375825999999996</v>
      </c>
      <c r="O116" s="15">
        <v>82.875010000000003</v>
      </c>
      <c r="P116" s="15">
        <v>29.620477999999999</v>
      </c>
      <c r="Q116" s="3">
        <v>41.355679071120711</v>
      </c>
      <c r="R116" s="19"/>
      <c r="S116" s="15" t="s">
        <v>27</v>
      </c>
      <c r="T116" s="15">
        <v>14.859</v>
      </c>
      <c r="U116" s="15" t="s">
        <v>27</v>
      </c>
      <c r="V116" s="15">
        <v>51.483999999999995</v>
      </c>
      <c r="W116" s="15">
        <v>71.31</v>
      </c>
      <c r="X116" s="15">
        <v>361.21300000000002</v>
      </c>
      <c r="Y116" s="15" t="s">
        <v>27</v>
      </c>
      <c r="Z116" s="15" t="s">
        <v>27</v>
      </c>
      <c r="AA116" s="15">
        <v>4.0949999999999998</v>
      </c>
      <c r="AB116" s="15">
        <v>11.087999999999999</v>
      </c>
      <c r="AC116" s="15">
        <v>8.77</v>
      </c>
      <c r="AD116" s="15">
        <v>77.2</v>
      </c>
      <c r="AE116" s="22">
        <f t="shared" si="7"/>
        <v>600.01900000000001</v>
      </c>
    </row>
    <row r="117" spans="1:31" ht="15" customHeight="1">
      <c r="A117" s="4">
        <v>110</v>
      </c>
      <c r="B117" s="10" t="s">
        <v>136</v>
      </c>
      <c r="C117" s="32" t="s">
        <v>151</v>
      </c>
      <c r="D117" s="22">
        <f t="shared" si="6"/>
        <v>330.62850734679444</v>
      </c>
      <c r="E117" s="15" t="s">
        <v>27</v>
      </c>
      <c r="F117" s="15">
        <v>60.889684000000003</v>
      </c>
      <c r="G117" s="15">
        <v>54.386397999999993</v>
      </c>
      <c r="H117" s="15">
        <v>97.673738000000014</v>
      </c>
      <c r="I117" s="15">
        <v>46.297007000000001</v>
      </c>
      <c r="J117" s="3">
        <v>71.381680346794411</v>
      </c>
      <c r="K117" s="19"/>
      <c r="L117" s="15" t="s">
        <v>27</v>
      </c>
      <c r="M117" s="15" t="s">
        <v>27</v>
      </c>
      <c r="N117" s="15" t="s">
        <v>27</v>
      </c>
      <c r="O117" s="15" t="s">
        <v>27</v>
      </c>
      <c r="P117" s="15" t="s">
        <v>27</v>
      </c>
      <c r="Q117" s="3" t="s">
        <v>27</v>
      </c>
      <c r="R117" s="19"/>
      <c r="S117" s="15" t="s">
        <v>27</v>
      </c>
      <c r="T117" s="15">
        <v>14.422000000000001</v>
      </c>
      <c r="U117" s="15">
        <v>23.064000000000004</v>
      </c>
      <c r="V117" s="15">
        <v>52.502000000000002</v>
      </c>
      <c r="W117" s="15">
        <v>82.503000000000014</v>
      </c>
      <c r="X117" s="15">
        <v>408.98399999999998</v>
      </c>
      <c r="Y117" s="15" t="s">
        <v>27</v>
      </c>
      <c r="Z117" s="15" t="s">
        <v>27</v>
      </c>
      <c r="AA117" s="15" t="s">
        <v>27</v>
      </c>
      <c r="AB117" s="15" t="s">
        <v>27</v>
      </c>
      <c r="AC117" s="15" t="s">
        <v>27</v>
      </c>
      <c r="AD117" s="15" t="s">
        <v>27</v>
      </c>
      <c r="AE117" s="22">
        <f t="shared" si="7"/>
        <v>581.47500000000002</v>
      </c>
    </row>
    <row r="118" spans="1:31" ht="15" customHeight="1">
      <c r="A118" s="4">
        <v>111</v>
      </c>
      <c r="B118" s="10" t="s">
        <v>137</v>
      </c>
      <c r="C118" s="32" t="s">
        <v>151</v>
      </c>
      <c r="D118" s="22">
        <f t="shared" si="6"/>
        <v>536.7662697337696</v>
      </c>
      <c r="E118" s="15">
        <v>182.48190000000002</v>
      </c>
      <c r="F118" s="15">
        <v>129.996196</v>
      </c>
      <c r="G118" s="15" t="s">
        <v>27</v>
      </c>
      <c r="H118" s="15">
        <v>50.310333000000007</v>
      </c>
      <c r="I118" s="15">
        <v>68.098249999999993</v>
      </c>
      <c r="J118" s="3">
        <v>105.87959073376953</v>
      </c>
      <c r="K118" s="19"/>
      <c r="L118" s="15" t="s">
        <v>27</v>
      </c>
      <c r="M118" s="15" t="s">
        <v>27</v>
      </c>
      <c r="N118" s="15" t="s">
        <v>27</v>
      </c>
      <c r="O118" s="15" t="s">
        <v>27</v>
      </c>
      <c r="P118" s="15" t="s">
        <v>27</v>
      </c>
      <c r="Q118" s="3" t="s">
        <v>27</v>
      </c>
      <c r="R118" s="19"/>
      <c r="S118" s="15">
        <v>12.441000000000001</v>
      </c>
      <c r="T118" s="15">
        <v>28.114999999999998</v>
      </c>
      <c r="U118" s="15" t="s">
        <v>27</v>
      </c>
      <c r="V118" s="15">
        <v>46.992999999999995</v>
      </c>
      <c r="W118" s="15">
        <v>115.34700000000001</v>
      </c>
      <c r="X118" s="15">
        <v>587.702</v>
      </c>
      <c r="Y118" s="15" t="s">
        <v>27</v>
      </c>
      <c r="Z118" s="15" t="s">
        <v>27</v>
      </c>
      <c r="AA118" s="15" t="s">
        <v>27</v>
      </c>
      <c r="AB118" s="15" t="s">
        <v>27</v>
      </c>
      <c r="AC118" s="15" t="s">
        <v>27</v>
      </c>
      <c r="AD118" s="15" t="s">
        <v>27</v>
      </c>
      <c r="AE118" s="22">
        <f t="shared" si="7"/>
        <v>790.59799999999996</v>
      </c>
    </row>
    <row r="119" spans="1:31" ht="15" customHeight="1">
      <c r="A119" s="4">
        <v>112</v>
      </c>
      <c r="B119" s="10" t="s">
        <v>138</v>
      </c>
      <c r="C119" s="32" t="s">
        <v>151</v>
      </c>
      <c r="D119" s="22">
        <f t="shared" si="6"/>
        <v>209.7710287392031</v>
      </c>
      <c r="E119" s="15">
        <v>19.349599999999999</v>
      </c>
      <c r="F119" s="15" t="s">
        <v>27</v>
      </c>
      <c r="G119" s="15">
        <v>83.841730000000013</v>
      </c>
      <c r="H119" s="15">
        <v>54.475696999999997</v>
      </c>
      <c r="I119" s="15">
        <v>23.814481000000001</v>
      </c>
      <c r="J119" s="3">
        <v>28.289520739203077</v>
      </c>
      <c r="K119" s="19"/>
      <c r="L119" s="15" t="s">
        <v>27</v>
      </c>
      <c r="M119" s="15" t="s">
        <v>27</v>
      </c>
      <c r="N119" s="15" t="s">
        <v>27</v>
      </c>
      <c r="O119" s="15" t="s">
        <v>27</v>
      </c>
      <c r="P119" s="15" t="s">
        <v>27</v>
      </c>
      <c r="Q119" s="3" t="s">
        <v>27</v>
      </c>
      <c r="R119" s="19"/>
      <c r="S119" s="15">
        <v>0.72199999999999998</v>
      </c>
      <c r="T119" s="15" t="s">
        <v>27</v>
      </c>
      <c r="U119" s="15">
        <v>19.457999999999998</v>
      </c>
      <c r="V119" s="15">
        <v>17.692999999999998</v>
      </c>
      <c r="W119" s="15">
        <v>54.765000000000001</v>
      </c>
      <c r="X119" s="15">
        <v>190.08099999999999</v>
      </c>
      <c r="Y119" s="15" t="s">
        <v>27</v>
      </c>
      <c r="Z119" s="15" t="s">
        <v>27</v>
      </c>
      <c r="AA119" s="15" t="s">
        <v>27</v>
      </c>
      <c r="AB119" s="15" t="s">
        <v>27</v>
      </c>
      <c r="AC119" s="15" t="s">
        <v>27</v>
      </c>
      <c r="AD119" s="15" t="s">
        <v>27</v>
      </c>
      <c r="AE119" s="22">
        <f t="shared" si="7"/>
        <v>282.71899999999999</v>
      </c>
    </row>
    <row r="120" spans="1:31" ht="15" customHeight="1">
      <c r="A120" s="4">
        <v>113</v>
      </c>
      <c r="B120" s="10" t="s">
        <v>139</v>
      </c>
      <c r="C120" s="32" t="s">
        <v>151</v>
      </c>
      <c r="D120" s="22">
        <f t="shared" si="6"/>
        <v>428.87211728063699</v>
      </c>
      <c r="E120" s="15" t="s">
        <v>27</v>
      </c>
      <c r="F120" s="15">
        <v>111.84171000000001</v>
      </c>
      <c r="G120" s="15">
        <v>82.765022000000002</v>
      </c>
      <c r="H120" s="15">
        <v>81.637920000000008</v>
      </c>
      <c r="I120" s="15">
        <v>64.273558000000008</v>
      </c>
      <c r="J120" s="3">
        <v>88.353907280636903</v>
      </c>
      <c r="K120" s="19"/>
      <c r="L120" s="15" t="s">
        <v>27</v>
      </c>
      <c r="M120" s="15" t="s">
        <v>27</v>
      </c>
      <c r="N120" s="15" t="s">
        <v>27</v>
      </c>
      <c r="O120" s="15" t="s">
        <v>27</v>
      </c>
      <c r="P120" s="15" t="s">
        <v>27</v>
      </c>
      <c r="Q120" s="3" t="s">
        <v>27</v>
      </c>
      <c r="R120" s="19"/>
      <c r="S120" s="15" t="s">
        <v>27</v>
      </c>
      <c r="T120" s="15">
        <v>22.712</v>
      </c>
      <c r="U120" s="15">
        <v>17.875</v>
      </c>
      <c r="V120" s="15">
        <v>51.250999999999991</v>
      </c>
      <c r="W120" s="15">
        <v>91.01100000000001</v>
      </c>
      <c r="X120" s="15">
        <v>438.48599999999999</v>
      </c>
      <c r="Y120" s="15" t="s">
        <v>27</v>
      </c>
      <c r="Z120" s="15" t="s">
        <v>27</v>
      </c>
      <c r="AA120" s="15" t="s">
        <v>27</v>
      </c>
      <c r="AB120" s="15" t="s">
        <v>27</v>
      </c>
      <c r="AC120" s="15" t="s">
        <v>27</v>
      </c>
      <c r="AD120" s="15" t="s">
        <v>27</v>
      </c>
      <c r="AE120" s="22">
        <f t="shared" si="7"/>
        <v>621.33500000000004</v>
      </c>
    </row>
    <row r="121" spans="1:31" ht="15" customHeight="1">
      <c r="A121" s="4">
        <v>114</v>
      </c>
      <c r="B121" s="10" t="s">
        <v>140</v>
      </c>
      <c r="C121" s="32" t="s">
        <v>152</v>
      </c>
      <c r="D121" s="22">
        <f t="shared" si="6"/>
        <v>3352.5397108603829</v>
      </c>
      <c r="E121" s="15">
        <v>858.65780000000007</v>
      </c>
      <c r="F121" s="15">
        <v>256.77367700000002</v>
      </c>
      <c r="G121" s="15">
        <v>48.312187999999999</v>
      </c>
      <c r="H121" s="15">
        <v>294.51977300000004</v>
      </c>
      <c r="I121" s="15">
        <v>164.179878</v>
      </c>
      <c r="J121" s="3">
        <v>199.37892201625993</v>
      </c>
      <c r="K121" s="19"/>
      <c r="L121" s="15">
        <v>328.87989199999998</v>
      </c>
      <c r="M121" s="15">
        <v>65.225755000000007</v>
      </c>
      <c r="N121" s="15">
        <v>358.64022799999998</v>
      </c>
      <c r="O121" s="15">
        <v>390.39622900000006</v>
      </c>
      <c r="P121" s="15">
        <v>203.11807600000003</v>
      </c>
      <c r="Q121" s="3">
        <v>184.45729284412283</v>
      </c>
      <c r="R121" s="19"/>
      <c r="S121" s="15">
        <v>21.746000000000002</v>
      </c>
      <c r="T121" s="15">
        <v>27.792999999999999</v>
      </c>
      <c r="U121" s="15">
        <v>7.2670000000000003</v>
      </c>
      <c r="V121" s="15">
        <v>69.63</v>
      </c>
      <c r="W121" s="15">
        <v>140.30199999999999</v>
      </c>
      <c r="X121" s="15">
        <v>721.73800000000006</v>
      </c>
      <c r="Y121" s="15">
        <v>7.4329999999999998</v>
      </c>
      <c r="Z121" s="15">
        <v>5.8179999999999996</v>
      </c>
      <c r="AA121" s="15">
        <v>16.738</v>
      </c>
      <c r="AB121" s="15">
        <v>26.898000000000003</v>
      </c>
      <c r="AC121" s="15">
        <v>37.673000000000002</v>
      </c>
      <c r="AD121" s="15">
        <v>257.07799999999997</v>
      </c>
      <c r="AE121" s="22">
        <f t="shared" si="7"/>
        <v>1340.114</v>
      </c>
    </row>
    <row r="122" spans="1:31" ht="15" customHeight="1">
      <c r="A122" s="4">
        <v>115</v>
      </c>
      <c r="B122" s="10" t="s">
        <v>141</v>
      </c>
      <c r="C122" s="32" t="s">
        <v>151</v>
      </c>
      <c r="D122" s="22">
        <f t="shared" si="6"/>
        <v>348.93443768219208</v>
      </c>
      <c r="E122" s="15" t="s">
        <v>27</v>
      </c>
      <c r="F122" s="15">
        <v>125.67227</v>
      </c>
      <c r="G122" s="15">
        <v>94.035529999999994</v>
      </c>
      <c r="H122" s="15">
        <v>36.651125999999998</v>
      </c>
      <c r="I122" s="15">
        <v>45.309164000000003</v>
      </c>
      <c r="J122" s="3">
        <v>47.266347682192105</v>
      </c>
      <c r="K122" s="19"/>
      <c r="L122" s="15" t="s">
        <v>27</v>
      </c>
      <c r="M122" s="15" t="s">
        <v>27</v>
      </c>
      <c r="N122" s="15" t="s">
        <v>27</v>
      </c>
      <c r="O122" s="15" t="s">
        <v>27</v>
      </c>
      <c r="P122" s="15" t="s">
        <v>27</v>
      </c>
      <c r="Q122" s="3" t="s">
        <v>27</v>
      </c>
      <c r="R122" s="19"/>
      <c r="S122" s="15" t="s">
        <v>27</v>
      </c>
      <c r="T122" s="15">
        <v>24.829000000000001</v>
      </c>
      <c r="U122" s="15">
        <v>20.892000000000003</v>
      </c>
      <c r="V122" s="15">
        <v>38.615000000000002</v>
      </c>
      <c r="W122" s="15">
        <v>91.417000000000002</v>
      </c>
      <c r="X122" s="15">
        <v>292.66000000000003</v>
      </c>
      <c r="Y122" s="15" t="s">
        <v>27</v>
      </c>
      <c r="Z122" s="15" t="s">
        <v>27</v>
      </c>
      <c r="AA122" s="15" t="s">
        <v>27</v>
      </c>
      <c r="AB122" s="15" t="s">
        <v>27</v>
      </c>
      <c r="AC122" s="15" t="s">
        <v>27</v>
      </c>
      <c r="AD122" s="15" t="s">
        <v>27</v>
      </c>
      <c r="AE122" s="22">
        <f t="shared" si="7"/>
        <v>468.41300000000001</v>
      </c>
    </row>
    <row r="123" spans="1:31" ht="15" customHeight="1">
      <c r="A123" s="4">
        <v>116</v>
      </c>
      <c r="B123" s="10" t="s">
        <v>142</v>
      </c>
      <c r="C123" s="32" t="s">
        <v>152</v>
      </c>
      <c r="D123" s="22">
        <f t="shared" si="6"/>
        <v>474.61018242135219</v>
      </c>
      <c r="E123" s="15" t="s">
        <v>27</v>
      </c>
      <c r="F123" s="15" t="s">
        <v>27</v>
      </c>
      <c r="G123" s="15">
        <v>139.291314</v>
      </c>
      <c r="H123" s="15">
        <v>56.081527999999992</v>
      </c>
      <c r="I123" s="15">
        <v>55.586924000000003</v>
      </c>
      <c r="J123" s="3">
        <v>76.800839449473443</v>
      </c>
      <c r="K123" s="19"/>
      <c r="L123" s="15" t="s">
        <v>27</v>
      </c>
      <c r="M123" s="15" t="s">
        <v>27</v>
      </c>
      <c r="N123" s="15">
        <v>54.622578999999995</v>
      </c>
      <c r="O123" s="15">
        <v>71.905328999999995</v>
      </c>
      <c r="P123" s="15">
        <v>8.007670000000001</v>
      </c>
      <c r="Q123" s="3">
        <v>12.313998971878728</v>
      </c>
      <c r="R123" s="19"/>
      <c r="S123" s="15" t="s">
        <v>27</v>
      </c>
      <c r="T123" s="15" t="s">
        <v>27</v>
      </c>
      <c r="U123" s="15">
        <v>20.11</v>
      </c>
      <c r="V123" s="15">
        <v>53.963999999999999</v>
      </c>
      <c r="W123" s="15">
        <v>98.768000000000001</v>
      </c>
      <c r="X123" s="15">
        <v>439.22800000000001</v>
      </c>
      <c r="Y123" s="15" t="s">
        <v>27</v>
      </c>
      <c r="Z123" s="15" t="s">
        <v>27</v>
      </c>
      <c r="AA123" s="15">
        <v>5.125</v>
      </c>
      <c r="AB123" s="15">
        <v>6.2179999999999991</v>
      </c>
      <c r="AC123" s="15">
        <v>6.46</v>
      </c>
      <c r="AD123" s="15">
        <v>43</v>
      </c>
      <c r="AE123" s="22">
        <f t="shared" si="7"/>
        <v>672.87299999999993</v>
      </c>
    </row>
    <row r="124" spans="1:31" ht="15" customHeight="1">
      <c r="A124" s="4">
        <v>117</v>
      </c>
      <c r="B124" s="10" t="s">
        <v>143</v>
      </c>
      <c r="C124" s="32" t="s">
        <v>151</v>
      </c>
      <c r="D124" s="22">
        <f t="shared" si="6"/>
        <v>559.24372675803909</v>
      </c>
      <c r="E124" s="15" t="s">
        <v>27</v>
      </c>
      <c r="F124" s="15">
        <v>145.63937399999998</v>
      </c>
      <c r="G124" s="15">
        <v>142.09380400000001</v>
      </c>
      <c r="H124" s="15">
        <v>132.60160000000002</v>
      </c>
      <c r="I124" s="15">
        <v>60.485141999999989</v>
      </c>
      <c r="J124" s="3">
        <v>78.423806758039149</v>
      </c>
      <c r="K124" s="19"/>
      <c r="L124" s="15" t="s">
        <v>27</v>
      </c>
      <c r="M124" s="15" t="s">
        <v>27</v>
      </c>
      <c r="N124" s="15" t="s">
        <v>27</v>
      </c>
      <c r="O124" s="15" t="s">
        <v>27</v>
      </c>
      <c r="P124" s="15" t="s">
        <v>27</v>
      </c>
      <c r="Q124" s="3" t="s">
        <v>27</v>
      </c>
      <c r="R124" s="19"/>
      <c r="S124" s="15" t="s">
        <v>27</v>
      </c>
      <c r="T124" s="15">
        <v>10.302</v>
      </c>
      <c r="U124" s="15">
        <v>34.156999999999996</v>
      </c>
      <c r="V124" s="15">
        <v>60.505000000000003</v>
      </c>
      <c r="W124" s="15">
        <v>96.956999999999994</v>
      </c>
      <c r="X124" s="15">
        <v>420.56700000000001</v>
      </c>
      <c r="Y124" s="15" t="s">
        <v>27</v>
      </c>
      <c r="Z124" s="15" t="s">
        <v>27</v>
      </c>
      <c r="AA124" s="15" t="s">
        <v>27</v>
      </c>
      <c r="AB124" s="15" t="s">
        <v>27</v>
      </c>
      <c r="AC124" s="15" t="s">
        <v>27</v>
      </c>
      <c r="AD124" s="15" t="s">
        <v>27</v>
      </c>
      <c r="AE124" s="22">
        <f t="shared" si="7"/>
        <v>622.48800000000006</v>
      </c>
    </row>
    <row r="125" spans="1:31" ht="15" customHeight="1">
      <c r="A125" s="4">
        <v>118</v>
      </c>
      <c r="B125" s="10" t="s">
        <v>144</v>
      </c>
      <c r="C125" s="32" t="s">
        <v>152</v>
      </c>
      <c r="D125" s="22">
        <f t="shared" si="6"/>
        <v>1638.0096680617687</v>
      </c>
      <c r="E125" s="15">
        <v>667.94412999999997</v>
      </c>
      <c r="F125" s="15">
        <v>12.58933</v>
      </c>
      <c r="G125" s="15">
        <v>68.138964000000001</v>
      </c>
      <c r="H125" s="15">
        <v>218.053279</v>
      </c>
      <c r="I125" s="15">
        <v>88.262292000000016</v>
      </c>
      <c r="J125" s="3">
        <v>147.25840250152874</v>
      </c>
      <c r="K125" s="19"/>
      <c r="L125" s="15">
        <v>196.80393300000003</v>
      </c>
      <c r="M125" s="15" t="s">
        <v>27</v>
      </c>
      <c r="N125" s="15">
        <v>7.5496449999999999</v>
      </c>
      <c r="O125" s="15">
        <v>150.11914100000001</v>
      </c>
      <c r="P125" s="15">
        <v>40.128304000000007</v>
      </c>
      <c r="Q125" s="3">
        <v>41.162247560240004</v>
      </c>
      <c r="R125" s="19"/>
      <c r="S125" s="15">
        <v>22.004000000000001</v>
      </c>
      <c r="T125" s="15">
        <v>1.714</v>
      </c>
      <c r="U125" s="15">
        <v>15.425000000000001</v>
      </c>
      <c r="V125" s="15">
        <v>75.472000000000008</v>
      </c>
      <c r="W125" s="15">
        <v>84.826999999999998</v>
      </c>
      <c r="X125" s="15">
        <v>573.66</v>
      </c>
      <c r="Y125" s="15">
        <v>5.9390000000000001</v>
      </c>
      <c r="Z125" s="15" t="s">
        <v>27</v>
      </c>
      <c r="AA125" s="15">
        <v>0.47299999999999998</v>
      </c>
      <c r="AB125" s="15">
        <v>16.969000000000001</v>
      </c>
      <c r="AC125" s="15">
        <v>16.094999999999999</v>
      </c>
      <c r="AD125" s="15">
        <v>92.885999999999996</v>
      </c>
      <c r="AE125" s="22">
        <f t="shared" si="7"/>
        <v>905.46399999999994</v>
      </c>
    </row>
    <row r="126" spans="1:31" ht="15" customHeight="1">
      <c r="A126" s="4">
        <v>119</v>
      </c>
      <c r="B126" s="10" t="s">
        <v>145</v>
      </c>
      <c r="C126" s="32" t="s">
        <v>151</v>
      </c>
      <c r="D126" s="22">
        <f t="shared" si="6"/>
        <v>319.03651607849872</v>
      </c>
      <c r="E126" s="15" t="s">
        <v>27</v>
      </c>
      <c r="F126" s="15">
        <v>175.74142800000001</v>
      </c>
      <c r="G126" s="15">
        <v>34.271501999999998</v>
      </c>
      <c r="H126" s="15">
        <v>52.781845999999994</v>
      </c>
      <c r="I126" s="15">
        <v>17.086560000000002</v>
      </c>
      <c r="J126" s="3">
        <v>39.155180078498717</v>
      </c>
      <c r="K126" s="19"/>
      <c r="L126" s="15" t="s">
        <v>27</v>
      </c>
      <c r="M126" s="15" t="s">
        <v>27</v>
      </c>
      <c r="N126" s="15" t="s">
        <v>27</v>
      </c>
      <c r="O126" s="15" t="s">
        <v>27</v>
      </c>
      <c r="P126" s="15" t="s">
        <v>27</v>
      </c>
      <c r="Q126" s="3" t="s">
        <v>27</v>
      </c>
      <c r="R126" s="19"/>
      <c r="S126" s="15" t="s">
        <v>27</v>
      </c>
      <c r="T126" s="15">
        <v>32.656999999999996</v>
      </c>
      <c r="U126" s="15">
        <v>16.957000000000001</v>
      </c>
      <c r="V126" s="15">
        <v>50.731000000000002</v>
      </c>
      <c r="W126" s="15">
        <v>49.227000000000004</v>
      </c>
      <c r="X126" s="15">
        <v>302.87400000000002</v>
      </c>
      <c r="Y126" s="15" t="s">
        <v>27</v>
      </c>
      <c r="Z126" s="15" t="s">
        <v>27</v>
      </c>
      <c r="AA126" s="15" t="s">
        <v>27</v>
      </c>
      <c r="AB126" s="15" t="s">
        <v>27</v>
      </c>
      <c r="AC126" s="15" t="s">
        <v>27</v>
      </c>
      <c r="AD126" s="15" t="s">
        <v>27</v>
      </c>
      <c r="AE126" s="22">
        <f t="shared" si="7"/>
        <v>452.44600000000003</v>
      </c>
    </row>
    <row r="127" spans="1:31" ht="15" customHeight="1">
      <c r="A127" s="4">
        <v>120</v>
      </c>
      <c r="B127" s="10" t="s">
        <v>146</v>
      </c>
      <c r="C127" s="32" t="s">
        <v>152</v>
      </c>
      <c r="D127" s="22">
        <f t="shared" si="6"/>
        <v>1018.3330079060321</v>
      </c>
      <c r="E127" s="15">
        <v>220.05760000000001</v>
      </c>
      <c r="F127" s="15">
        <v>392.76622099999997</v>
      </c>
      <c r="G127" s="15" t="s">
        <v>27</v>
      </c>
      <c r="H127" s="15">
        <v>151.00311400000001</v>
      </c>
      <c r="I127" s="15">
        <v>43.270316000000001</v>
      </c>
      <c r="J127" s="3">
        <v>33.14697874738156</v>
      </c>
      <c r="K127" s="19"/>
      <c r="L127" s="15" t="s">
        <v>27</v>
      </c>
      <c r="M127" s="15" t="s">
        <v>27</v>
      </c>
      <c r="N127" s="15">
        <v>63.942466999999994</v>
      </c>
      <c r="O127" s="15">
        <v>59.920835000000004</v>
      </c>
      <c r="P127" s="15">
        <v>24.700924000000001</v>
      </c>
      <c r="Q127" s="3">
        <v>29.52455215865054</v>
      </c>
      <c r="R127" s="19"/>
      <c r="S127" s="15">
        <v>7.6749999999999998</v>
      </c>
      <c r="T127" s="15">
        <v>19.506</v>
      </c>
      <c r="U127" s="15" t="s">
        <v>27</v>
      </c>
      <c r="V127" s="15">
        <v>47.958000000000006</v>
      </c>
      <c r="W127" s="15">
        <v>52.301000000000002</v>
      </c>
      <c r="X127" s="15">
        <v>149.01300000000001</v>
      </c>
      <c r="Y127" s="15" t="s">
        <v>27</v>
      </c>
      <c r="Z127" s="15" t="s">
        <v>27</v>
      </c>
      <c r="AA127" s="15">
        <v>2.72</v>
      </c>
      <c r="AB127" s="15">
        <v>7.2390000000000008</v>
      </c>
      <c r="AC127" s="15">
        <v>5.0999999999999996</v>
      </c>
      <c r="AD127" s="15">
        <v>44</v>
      </c>
      <c r="AE127" s="22">
        <f t="shared" si="7"/>
        <v>335.51200000000006</v>
      </c>
    </row>
    <row r="128" spans="1:31" ht="15.75">
      <c r="A128" s="4"/>
      <c r="B128" s="10"/>
      <c r="C128" s="31"/>
      <c r="D128" s="22"/>
      <c r="E128" s="3"/>
      <c r="F128" s="3"/>
      <c r="G128" s="3"/>
      <c r="H128" s="3"/>
      <c r="I128" s="3"/>
      <c r="K128" s="20"/>
      <c r="L128" s="3"/>
      <c r="M128" s="3"/>
      <c r="N128" s="3"/>
      <c r="O128" s="3"/>
      <c r="P128" s="3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22"/>
    </row>
    <row r="129" spans="1:31" ht="15.75">
      <c r="A129" s="4"/>
      <c r="B129" s="4" t="s">
        <v>147</v>
      </c>
      <c r="C129" s="27"/>
      <c r="D129" s="22">
        <f t="shared" ref="D129:J129" si="8">SUM(D8:D127)</f>
        <v>128277.99182897509</v>
      </c>
      <c r="E129" s="3">
        <f t="shared" si="8"/>
        <v>16745.911252000002</v>
      </c>
      <c r="F129" s="3">
        <f t="shared" si="8"/>
        <v>17216.752540000001</v>
      </c>
      <c r="G129" s="3">
        <f t="shared" si="8"/>
        <v>7108.1444340000016</v>
      </c>
      <c r="H129" s="3">
        <f t="shared" si="8"/>
        <v>15813.420348</v>
      </c>
      <c r="I129" s="3">
        <f t="shared" si="8"/>
        <v>7093.6840009999996</v>
      </c>
      <c r="J129" s="3">
        <f t="shared" si="8"/>
        <v>9538.8646085507116</v>
      </c>
      <c r="K129" s="35"/>
      <c r="L129" s="3">
        <f t="shared" ref="L129:Q129" si="9">SUM(L8:L127)</f>
        <v>16163.955054</v>
      </c>
      <c r="M129" s="3">
        <f t="shared" si="9"/>
        <v>2297.3108160000002</v>
      </c>
      <c r="N129" s="3">
        <f t="shared" si="9"/>
        <v>13062.274253999998</v>
      </c>
      <c r="O129" s="3">
        <f t="shared" si="9"/>
        <v>12180.435188000003</v>
      </c>
      <c r="P129" s="3">
        <f t="shared" si="9"/>
        <v>5370.1126919999961</v>
      </c>
      <c r="Q129" s="3">
        <f t="shared" si="9"/>
        <v>5687.1266414243364</v>
      </c>
      <c r="R129" s="35"/>
      <c r="S129" s="3">
        <f t="shared" ref="S129:AE129" si="10">SUM(S8:S127)</f>
        <v>532.98799999999994</v>
      </c>
      <c r="T129" s="3">
        <f t="shared" si="10"/>
        <v>2045.2709999999997</v>
      </c>
      <c r="U129" s="3">
        <f t="shared" si="10"/>
        <v>1603.9700000000003</v>
      </c>
      <c r="V129" s="3">
        <f t="shared" si="10"/>
        <v>6993.5490000000027</v>
      </c>
      <c r="W129" s="3">
        <f t="shared" si="10"/>
        <v>9496.780999999999</v>
      </c>
      <c r="X129" s="3">
        <f t="shared" si="10"/>
        <v>46767.516000000025</v>
      </c>
      <c r="Y129" s="3">
        <f t="shared" si="10"/>
        <v>229.4</v>
      </c>
      <c r="Z129" s="3">
        <f t="shared" si="10"/>
        <v>89.640999999999991</v>
      </c>
      <c r="AA129" s="3">
        <f t="shared" si="10"/>
        <v>658.4369999999999</v>
      </c>
      <c r="AB129" s="3">
        <f t="shared" si="10"/>
        <v>1185.2909999999999</v>
      </c>
      <c r="AC129" s="3">
        <f t="shared" si="10"/>
        <v>1144.7429999999999</v>
      </c>
      <c r="AD129" s="3">
        <f t="shared" si="10"/>
        <v>8518.5380000000005</v>
      </c>
      <c r="AE129" s="22">
        <f t="shared" si="10"/>
        <v>79266.125000000015</v>
      </c>
    </row>
    <row r="130" spans="1:31" ht="15.75">
      <c r="A130" s="4"/>
      <c r="B130" s="4"/>
      <c r="C130" s="27"/>
      <c r="D130" s="22"/>
      <c r="E130" s="3"/>
      <c r="F130" s="3"/>
      <c r="G130" s="3"/>
      <c r="H130" s="3"/>
      <c r="I130" s="3"/>
      <c r="J130" s="3"/>
      <c r="K130" s="21"/>
      <c r="L130" s="3"/>
      <c r="M130" s="3"/>
      <c r="N130" s="3"/>
      <c r="O130" s="3"/>
      <c r="P130" s="3"/>
      <c r="Q130" s="3"/>
      <c r="R130" s="2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22"/>
    </row>
  </sheetData>
  <mergeCells count="4">
    <mergeCell ref="E5:J5"/>
    <mergeCell ref="L5:Q5"/>
    <mergeCell ref="S5:X5"/>
    <mergeCell ref="Y5:AD5"/>
  </mergeCells>
  <phoneticPr fontId="14" type="noConversion"/>
  <pageMargins left="0.5" right="0.5" top="0.6" bottom="0.25" header="0.22" footer="0"/>
  <pageSetup paperSize="5" pageOrder="overThenDown" orientation="landscape" verticalDpi="300" copies="2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965525-24D4-4178-9C64-1C7B7268A529}"/>
</file>

<file path=customXml/itemProps2.xml><?xml version="1.0" encoding="utf-8"?>
<ds:datastoreItem xmlns:ds="http://schemas.openxmlformats.org/officeDocument/2006/customXml" ds:itemID="{4514BA7C-8FA2-4F11-B9DA-530656479897}"/>
</file>

<file path=customXml/itemProps3.xml><?xml version="1.0" encoding="utf-8"?>
<ds:datastoreItem xmlns:ds="http://schemas.openxmlformats.org/officeDocument/2006/customXml" ds:itemID="{5DE6C716-D1F3-4335-8519-4FCC07F0D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</vt:lpstr>
      <vt:lpstr>'2000'!Print_Titles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2001-07-17T04:00:56Z</cp:lastPrinted>
  <dcterms:created xsi:type="dcterms:W3CDTF">2000-09-06T17:52:56Z</dcterms:created>
  <dcterms:modified xsi:type="dcterms:W3CDTF">2013-08-20T20:12:21Z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