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75" yWindow="240" windowWidth="19665" windowHeight="11205"/>
  </bookViews>
  <sheets>
    <sheet name="Curr" sheetId="6" r:id="rId1"/>
  </sheets>
  <definedNames>
    <definedName name="_xlnm._FilterDatabase" localSheetId="0" hidden="1">Curr!$A$1:$AF$130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AE129" i="6"/>
  <c r="Q8"/>
  <c r="Q9"/>
  <c r="R10"/>
  <c r="Q10"/>
  <c r="Q11"/>
  <c r="R12"/>
  <c r="Q12" s="1"/>
  <c r="Q13"/>
  <c r="R14"/>
  <c r="Q14" s="1"/>
  <c r="R15"/>
  <c r="Q15"/>
  <c r="R16"/>
  <c r="Q16" s="1"/>
  <c r="R17"/>
  <c r="Q17" s="1"/>
  <c r="R18"/>
  <c r="Q18" s="1"/>
  <c r="Q19"/>
  <c r="Q20"/>
  <c r="Q21"/>
  <c r="R22"/>
  <c r="Q22"/>
  <c r="Q23"/>
  <c r="R24"/>
  <c r="Q24" s="1"/>
  <c r="R25"/>
  <c r="Q25"/>
  <c r="R26"/>
  <c r="Q26" s="1"/>
  <c r="Q27"/>
  <c r="Q28"/>
  <c r="Q29"/>
  <c r="D29" s="1"/>
  <c r="Q30"/>
  <c r="R31"/>
  <c r="Q31"/>
  <c r="R32"/>
  <c r="Q32" s="1"/>
  <c r="Q33"/>
  <c r="Q34"/>
  <c r="Q35"/>
  <c r="Q36"/>
  <c r="R37"/>
  <c r="Q37"/>
  <c r="Q38"/>
  <c r="Q39"/>
  <c r="Q40"/>
  <c r="R41"/>
  <c r="Q41" s="1"/>
  <c r="Q42"/>
  <c r="Q43"/>
  <c r="R44"/>
  <c r="Q44" s="1"/>
  <c r="Q45"/>
  <c r="Q46"/>
  <c r="Q47"/>
  <c r="Q48"/>
  <c r="R49"/>
  <c r="Q49"/>
  <c r="R50"/>
  <c r="Q50" s="1"/>
  <c r="Q51"/>
  <c r="R52"/>
  <c r="Q52" s="1"/>
  <c r="Q53"/>
  <c r="D53" s="1"/>
  <c r="R54"/>
  <c r="Q54"/>
  <c r="Q55"/>
  <c r="R56"/>
  <c r="Q56" s="1"/>
  <c r="Q57"/>
  <c r="R58"/>
  <c r="Q58" s="1"/>
  <c r="Q59"/>
  <c r="Q60"/>
  <c r="R61"/>
  <c r="Q61" s="1"/>
  <c r="D61" s="1"/>
  <c r="Q62"/>
  <c r="R63"/>
  <c r="Q63" s="1"/>
  <c r="R64"/>
  <c r="Q64" s="1"/>
  <c r="Q65"/>
  <c r="R66"/>
  <c r="Q66" s="1"/>
  <c r="Q67"/>
  <c r="R68"/>
  <c r="Q68" s="1"/>
  <c r="Q69"/>
  <c r="D69" s="1"/>
  <c r="R70"/>
  <c r="Q70"/>
  <c r="Q71"/>
  <c r="Q72"/>
  <c r="Q73"/>
  <c r="Q74"/>
  <c r="Q75"/>
  <c r="Q76"/>
  <c r="Q77"/>
  <c r="R78"/>
  <c r="Q78"/>
  <c r="Q79"/>
  <c r="R80"/>
  <c r="Q80"/>
  <c r="Q81"/>
  <c r="Q82"/>
  <c r="R83"/>
  <c r="Q83"/>
  <c r="Q84"/>
  <c r="R85"/>
  <c r="Q85" s="1"/>
  <c r="D85" s="1"/>
  <c r="Q86"/>
  <c r="Q87"/>
  <c r="R88"/>
  <c r="Q88" s="1"/>
  <c r="Q89"/>
  <c r="Q90"/>
  <c r="R91"/>
  <c r="Q91" s="1"/>
  <c r="Q92"/>
  <c r="Q93"/>
  <c r="D93" s="1"/>
  <c r="R94"/>
  <c r="Q94" s="1"/>
  <c r="Q95"/>
  <c r="R96"/>
  <c r="Q96" s="1"/>
  <c r="R97"/>
  <c r="Q97"/>
  <c r="Q98"/>
  <c r="Q99"/>
  <c r="R100"/>
  <c r="Q100"/>
  <c r="Q101"/>
  <c r="Q102"/>
  <c r="Q103"/>
  <c r="Q104"/>
  <c r="R105"/>
  <c r="Q105" s="1"/>
  <c r="Q106"/>
  <c r="R107"/>
  <c r="Q107"/>
  <c r="Q108"/>
  <c r="Q109"/>
  <c r="R110"/>
  <c r="Q110" s="1"/>
  <c r="Q111"/>
  <c r="R112"/>
  <c r="Q112"/>
  <c r="R113"/>
  <c r="Q113" s="1"/>
  <c r="R114"/>
  <c r="Q114"/>
  <c r="Q115"/>
  <c r="R116"/>
  <c r="Q116" s="1"/>
  <c r="Q117"/>
  <c r="Q118"/>
  <c r="Q119"/>
  <c r="Q120"/>
  <c r="R121"/>
  <c r="Q121" s="1"/>
  <c r="Q122"/>
  <c r="R123"/>
  <c r="Q123"/>
  <c r="Q124"/>
  <c r="R125"/>
  <c r="Q125" s="1"/>
  <c r="D125" s="1"/>
  <c r="Q126"/>
  <c r="R127"/>
  <c r="Q127" s="1"/>
  <c r="AF8"/>
  <c r="AF9"/>
  <c r="AF129" s="1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D129"/>
  <c r="AD130" s="1"/>
  <c r="AC129"/>
  <c r="AC130" s="1"/>
  <c r="AB129"/>
  <c r="AB130" s="1"/>
  <c r="AA129"/>
  <c r="Z129"/>
  <c r="Z130" s="1"/>
  <c r="X129"/>
  <c r="X130" s="1"/>
  <c r="W129"/>
  <c r="V129"/>
  <c r="U129"/>
  <c r="U130" s="1"/>
  <c r="T129"/>
  <c r="T130" s="1"/>
  <c r="S129"/>
  <c r="S130" s="1"/>
  <c r="K8"/>
  <c r="J8"/>
  <c r="D8" s="1"/>
  <c r="K9"/>
  <c r="J9"/>
  <c r="D9" s="1"/>
  <c r="K10"/>
  <c r="J10" s="1"/>
  <c r="K11"/>
  <c r="J11" s="1"/>
  <c r="D11" s="1"/>
  <c r="K12"/>
  <c r="J12" s="1"/>
  <c r="D12" s="1"/>
  <c r="K13"/>
  <c r="J13"/>
  <c r="D13"/>
  <c r="K14"/>
  <c r="J14" s="1"/>
  <c r="D14" s="1"/>
  <c r="K15"/>
  <c r="J15" s="1"/>
  <c r="D15" s="1"/>
  <c r="K16"/>
  <c r="J16"/>
  <c r="D16" s="1"/>
  <c r="K17"/>
  <c r="J17"/>
  <c r="D17" s="1"/>
  <c r="K18"/>
  <c r="J18" s="1"/>
  <c r="K19"/>
  <c r="J19" s="1"/>
  <c r="D19" s="1"/>
  <c r="K20"/>
  <c r="J20" s="1"/>
  <c r="D20" s="1"/>
  <c r="K21"/>
  <c r="J21"/>
  <c r="D21"/>
  <c r="K22"/>
  <c r="J22" s="1"/>
  <c r="D22" s="1"/>
  <c r="K23"/>
  <c r="J23" s="1"/>
  <c r="D23" s="1"/>
  <c r="K24"/>
  <c r="J24"/>
  <c r="D24" s="1"/>
  <c r="K25"/>
  <c r="J25"/>
  <c r="D25" s="1"/>
  <c r="K26"/>
  <c r="J26" s="1"/>
  <c r="D26" s="1"/>
  <c r="K27"/>
  <c r="J27" s="1"/>
  <c r="D27" s="1"/>
  <c r="K28"/>
  <c r="J28" s="1"/>
  <c r="D28" s="1"/>
  <c r="K29"/>
  <c r="J29"/>
  <c r="K30"/>
  <c r="J30" s="1"/>
  <c r="D30" s="1"/>
  <c r="K31"/>
  <c r="J31" s="1"/>
  <c r="D31" s="1"/>
  <c r="K32"/>
  <c r="J32"/>
  <c r="D32" s="1"/>
  <c r="K33"/>
  <c r="J33"/>
  <c r="D33" s="1"/>
  <c r="K34"/>
  <c r="J34" s="1"/>
  <c r="D34" s="1"/>
  <c r="K35"/>
  <c r="J35" s="1"/>
  <c r="D35" s="1"/>
  <c r="K36"/>
  <c r="J36" s="1"/>
  <c r="D36" s="1"/>
  <c r="K37"/>
  <c r="J37"/>
  <c r="D37"/>
  <c r="K38"/>
  <c r="J38" s="1"/>
  <c r="D38" s="1"/>
  <c r="K39"/>
  <c r="J39" s="1"/>
  <c r="D39" s="1"/>
  <c r="K40"/>
  <c r="J40"/>
  <c r="D40" s="1"/>
  <c r="K41"/>
  <c r="J41"/>
  <c r="D41" s="1"/>
  <c r="K42"/>
  <c r="J42" s="1"/>
  <c r="D42" s="1"/>
  <c r="K43"/>
  <c r="J43" s="1"/>
  <c r="D43" s="1"/>
  <c r="K44"/>
  <c r="J44" s="1"/>
  <c r="D44" s="1"/>
  <c r="K45"/>
  <c r="J45"/>
  <c r="D45"/>
  <c r="K46"/>
  <c r="J46" s="1"/>
  <c r="D46" s="1"/>
  <c r="K47"/>
  <c r="J47" s="1"/>
  <c r="D47" s="1"/>
  <c r="K48"/>
  <c r="J48"/>
  <c r="D48" s="1"/>
  <c r="K49"/>
  <c r="J49"/>
  <c r="D49" s="1"/>
  <c r="K50"/>
  <c r="J50" s="1"/>
  <c r="K51"/>
  <c r="J51" s="1"/>
  <c r="D51" s="1"/>
  <c r="K52"/>
  <c r="J52" s="1"/>
  <c r="D52" s="1"/>
  <c r="K53"/>
  <c r="J53"/>
  <c r="K54"/>
  <c r="J54" s="1"/>
  <c r="D54" s="1"/>
  <c r="K55"/>
  <c r="J55" s="1"/>
  <c r="D55" s="1"/>
  <c r="K56"/>
  <c r="J56"/>
  <c r="D56" s="1"/>
  <c r="K57"/>
  <c r="J57"/>
  <c r="D57" s="1"/>
  <c r="K58"/>
  <c r="J58" s="1"/>
  <c r="D58" s="1"/>
  <c r="K59"/>
  <c r="J59" s="1"/>
  <c r="D59" s="1"/>
  <c r="K60"/>
  <c r="J60" s="1"/>
  <c r="D60" s="1"/>
  <c r="K61"/>
  <c r="J61"/>
  <c r="K62"/>
  <c r="J62" s="1"/>
  <c r="D62" s="1"/>
  <c r="K63"/>
  <c r="J63" s="1"/>
  <c r="K64"/>
  <c r="J64"/>
  <c r="D64" s="1"/>
  <c r="K65"/>
  <c r="J65"/>
  <c r="D65" s="1"/>
  <c r="K66"/>
  <c r="J66" s="1"/>
  <c r="D66" s="1"/>
  <c r="K67"/>
  <c r="J67" s="1"/>
  <c r="D67" s="1"/>
  <c r="K68"/>
  <c r="J68" s="1"/>
  <c r="D68" s="1"/>
  <c r="K69"/>
  <c r="J69"/>
  <c r="K70"/>
  <c r="J70" s="1"/>
  <c r="D70" s="1"/>
  <c r="K71"/>
  <c r="J71" s="1"/>
  <c r="D71" s="1"/>
  <c r="K72"/>
  <c r="J72"/>
  <c r="D72" s="1"/>
  <c r="K73"/>
  <c r="J73"/>
  <c r="D73" s="1"/>
  <c r="K74"/>
  <c r="J74" s="1"/>
  <c r="D74" s="1"/>
  <c r="K75"/>
  <c r="J75" s="1"/>
  <c r="D75" s="1"/>
  <c r="K76"/>
  <c r="J76" s="1"/>
  <c r="D76" s="1"/>
  <c r="K77"/>
  <c r="J77"/>
  <c r="D77"/>
  <c r="K78"/>
  <c r="J78" s="1"/>
  <c r="D78" s="1"/>
  <c r="K79"/>
  <c r="J79" s="1"/>
  <c r="D79" s="1"/>
  <c r="K80"/>
  <c r="J80"/>
  <c r="D80" s="1"/>
  <c r="K81"/>
  <c r="J81"/>
  <c r="D81" s="1"/>
  <c r="K82"/>
  <c r="J82" s="1"/>
  <c r="D82" s="1"/>
  <c r="K83"/>
  <c r="J83" s="1"/>
  <c r="D83" s="1"/>
  <c r="K84"/>
  <c r="J84" s="1"/>
  <c r="D84" s="1"/>
  <c r="K85"/>
  <c r="J85"/>
  <c r="K86"/>
  <c r="J86" s="1"/>
  <c r="D86" s="1"/>
  <c r="K87"/>
  <c r="J87" s="1"/>
  <c r="D87" s="1"/>
  <c r="K88"/>
  <c r="J88"/>
  <c r="D88" s="1"/>
  <c r="K89"/>
  <c r="J89"/>
  <c r="D89" s="1"/>
  <c r="K90"/>
  <c r="J90" s="1"/>
  <c r="D90" s="1"/>
  <c r="K91"/>
  <c r="J91" s="1"/>
  <c r="K92"/>
  <c r="J92" s="1"/>
  <c r="D92" s="1"/>
  <c r="K93"/>
  <c r="J93"/>
  <c r="K94"/>
  <c r="J94" s="1"/>
  <c r="D94" s="1"/>
  <c r="K95"/>
  <c r="J95" s="1"/>
  <c r="D95" s="1"/>
  <c r="K96"/>
  <c r="J96"/>
  <c r="D96" s="1"/>
  <c r="K97"/>
  <c r="J97"/>
  <c r="D97" s="1"/>
  <c r="K98"/>
  <c r="J98" s="1"/>
  <c r="D98" s="1"/>
  <c r="K99"/>
  <c r="J99" s="1"/>
  <c r="D99" s="1"/>
  <c r="K100"/>
  <c r="J100" s="1"/>
  <c r="D100" s="1"/>
  <c r="K101"/>
  <c r="J101"/>
  <c r="D101"/>
  <c r="K102"/>
  <c r="J102" s="1"/>
  <c r="D102" s="1"/>
  <c r="K103"/>
  <c r="J103" s="1"/>
  <c r="D103" s="1"/>
  <c r="K104"/>
  <c r="J104"/>
  <c r="D104" s="1"/>
  <c r="K105"/>
  <c r="J105"/>
  <c r="D105" s="1"/>
  <c r="K106"/>
  <c r="J106" s="1"/>
  <c r="D106" s="1"/>
  <c r="K107"/>
  <c r="J107" s="1"/>
  <c r="D107" s="1"/>
  <c r="K108"/>
  <c r="J108" s="1"/>
  <c r="D108" s="1"/>
  <c r="K109"/>
  <c r="J109"/>
  <c r="D109"/>
  <c r="K110"/>
  <c r="J110" s="1"/>
  <c r="D110" s="1"/>
  <c r="K111"/>
  <c r="J111" s="1"/>
  <c r="D111" s="1"/>
  <c r="K112"/>
  <c r="J112"/>
  <c r="D112" s="1"/>
  <c r="K113"/>
  <c r="J113"/>
  <c r="K114"/>
  <c r="J114" s="1"/>
  <c r="D114" s="1"/>
  <c r="K115"/>
  <c r="J115" s="1"/>
  <c r="D115" s="1"/>
  <c r="K116"/>
  <c r="J116" s="1"/>
  <c r="D116" s="1"/>
  <c r="K117"/>
  <c r="J117"/>
  <c r="D117"/>
  <c r="K118"/>
  <c r="J118" s="1"/>
  <c r="D118" s="1"/>
  <c r="K119"/>
  <c r="J119" s="1"/>
  <c r="D119" s="1"/>
  <c r="K120"/>
  <c r="J120"/>
  <c r="D120" s="1"/>
  <c r="K121"/>
  <c r="J121"/>
  <c r="D121" s="1"/>
  <c r="K122"/>
  <c r="J122" s="1"/>
  <c r="D122" s="1"/>
  <c r="K123"/>
  <c r="J123" s="1"/>
  <c r="D123" s="1"/>
  <c r="K124"/>
  <c r="J124" s="1"/>
  <c r="D124" s="1"/>
  <c r="K125"/>
  <c r="J125"/>
  <c r="K126"/>
  <c r="J126" s="1"/>
  <c r="D126" s="1"/>
  <c r="K127"/>
  <c r="J127" s="1"/>
  <c r="D127" s="1"/>
  <c r="P129"/>
  <c r="O129"/>
  <c r="N129"/>
  <c r="M129"/>
  <c r="L129"/>
  <c r="I129"/>
  <c r="H129"/>
  <c r="G129"/>
  <c r="F129"/>
  <c r="E129"/>
  <c r="R126"/>
  <c r="R124"/>
  <c r="R122"/>
  <c r="R120"/>
  <c r="R119"/>
  <c r="R118"/>
  <c r="R117"/>
  <c r="R115"/>
  <c r="R111"/>
  <c r="R109"/>
  <c r="R108"/>
  <c r="R106"/>
  <c r="R104"/>
  <c r="R103"/>
  <c r="R102"/>
  <c r="R101"/>
  <c r="R99"/>
  <c r="R98"/>
  <c r="R95"/>
  <c r="R93"/>
  <c r="R92"/>
  <c r="R90"/>
  <c r="R89"/>
  <c r="R87"/>
  <c r="R86"/>
  <c r="R84"/>
  <c r="R82"/>
  <c r="R81"/>
  <c r="R79"/>
  <c r="R77"/>
  <c r="R76"/>
  <c r="R75"/>
  <c r="R74"/>
  <c r="R73"/>
  <c r="R72"/>
  <c r="R71"/>
  <c r="R69"/>
  <c r="R67"/>
  <c r="R65"/>
  <c r="R62"/>
  <c r="R60"/>
  <c r="R59"/>
  <c r="R57"/>
  <c r="R55"/>
  <c r="R53"/>
  <c r="R51"/>
  <c r="R48"/>
  <c r="R47"/>
  <c r="R46"/>
  <c r="R45"/>
  <c r="R43"/>
  <c r="R42"/>
  <c r="R40"/>
  <c r="R39"/>
  <c r="R38"/>
  <c r="R36"/>
  <c r="R35"/>
  <c r="R34"/>
  <c r="R33"/>
  <c r="R30"/>
  <c r="R29"/>
  <c r="R28"/>
  <c r="R27"/>
  <c r="R23"/>
  <c r="R21"/>
  <c r="R20"/>
  <c r="R19"/>
  <c r="R13"/>
  <c r="R11"/>
  <c r="R9"/>
  <c r="R8"/>
  <c r="W130" l="1"/>
  <c r="AE130"/>
  <c r="AA130"/>
  <c r="V130"/>
  <c r="Q129"/>
  <c r="J129"/>
  <c r="D10"/>
  <c r="D129" s="1"/>
  <c r="D50"/>
  <c r="D91"/>
  <c r="D63"/>
  <c r="D18"/>
  <c r="D113"/>
  <c r="H130" l="1"/>
  <c r="M130"/>
  <c r="E130"/>
  <c r="F130"/>
  <c r="N130"/>
  <c r="P130"/>
  <c r="L130"/>
  <c r="I130"/>
  <c r="G130"/>
  <c r="O130"/>
  <c r="K129"/>
  <c r="J130"/>
  <c r="Q130"/>
  <c r="R129"/>
</calcChain>
</file>

<file path=xl/sharedStrings.xml><?xml version="1.0" encoding="utf-8"?>
<sst xmlns="http://schemas.openxmlformats.org/spreadsheetml/2006/main" count="309" uniqueCount="164">
  <si>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</si>
  <si>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</si>
  <si>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</si>
  <si>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</si>
  <si>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</si>
  <si>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</si>
  <si>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</si>
  <si>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</si>
  <si>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</si>
  <si>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</si>
  <si>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</si>
  <si>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</si>
  <si>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</si>
  <si>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</si>
  <si>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</si>
  <si>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</si>
  <si>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</si>
  <si>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</si>
  <si>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</si>
  <si>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</si>
  <si>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</si>
  <si>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</si>
  <si>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</si>
  <si>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</si>
  <si>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</si>
  <si>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</si>
  <si>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</si>
  <si>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</si>
  <si>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</si>
  <si>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</si>
  <si>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</si>
  <si>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</si>
  <si>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</si>
  <si>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</si>
  <si>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</si>
  <si>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</si>
  <si>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</si>
  <si>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</si>
  <si>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</si>
  <si>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</si>
  <si>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</si>
  <si>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</si>
  <si>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</si>
  <si>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</si>
  <si>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</si>
  <si>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</si>
  <si>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</si>
  <si>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</si>
  <si>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</si>
  <si>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</si>
  <si>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</si>
  <si>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</si>
  <si>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</si>
  <si>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</si>
  <si>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</si>
  <si>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</si>
  <si>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</si>
  <si>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</si>
  <si>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</si>
  <si>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</si>
  <si>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</si>
  <si>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</si>
  <si>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</si>
  <si>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</si>
  <si>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</si>
  <si>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</si>
  <si>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</si>
  <si>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</si>
  <si>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</si>
  <si>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</si>
  <si>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</si>
  <si>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</si>
  <si>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</si>
  <si>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</si>
  <si>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</si>
  <si>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</si>
  <si>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</si>
  <si>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</si>
  <si>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</si>
  <si>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</si>
  <si>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</si>
  <si>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</si>
  <si>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</si>
  <si>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</si>
  <si>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</si>
  <si>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</si>
  <si>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</si>
  <si>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</si>
  <si>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</si>
  <si>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</si>
  <si>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</si>
  <si>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</si>
  <si>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</si>
  <si>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</si>
  <si>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</si>
  <si>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</si>
  <si>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</si>
  <si>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</si>
  <si>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</si>
  <si>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</si>
  <si>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</si>
  <si>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</si>
  <si>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</si>
  <si>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</si>
  <si>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</si>
  <si>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</si>
  <si>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</si>
  <si>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</si>
  <si>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</si>
  <si>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</si>
  <si>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</si>
  <si>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</si>
  <si>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</si>
  <si>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</si>
  <si>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</si>
  <si>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</si>
  <si>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</si>
  <si>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</si>
  <si>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</si>
  <si>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</si>
  <si>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</si>
  <si>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</si>
  <si>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</si>
  <si>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</si>
  <si>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</si>
  <si>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</si>
  <si>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</si>
  <si>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</si>
  <si>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</si>
  <si>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</si>
  <si>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</si>
  <si>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</si>
  <si>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</si>
  <si>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</si>
  <si>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</si>
  <si>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</si>
  <si>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</si>
  <si>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</si>
  <si>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</si>
  <si>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</si>
  <si>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</si>
  <si>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</si>
  <si>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</si>
  <si>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</si>
  <si>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</si>
  <si>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</si>
  <si>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</si>
  <si>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</si>
  <si>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</si>
  <si>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</si>
  <si>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</si>
  <si>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</si>
  <si>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</si>
  <si>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</si>
  <si>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</si>
  <si>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</si>
  <si>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</si>
  <si>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</si>
  <si>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</si>
  <si>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</si>
  <si>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2008 DVMT (in thousands) and Mileage by County and Functional Class</t>
  </si>
  <si>
    <t>Local</t>
  </si>
  <si>
    <t>Avg.</t>
  </si>
  <si>
    <t>ADT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</si>
</sst>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19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60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3" fillId="0" borderId="0" xfId="0" applyNumberFormat="1" applyFont="1"/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4" applyNumberFormat="1" applyFont="1" applyFill="1" applyBorder="1" applyAlignment="1">
      <alignment horizontal="right" wrapText="1"/>
    </xf>
    <xf numFmtId="3" fontId="4" fillId="0" borderId="0" xfId="4" applyNumberFormat="1" applyFont="1" applyFill="1" applyBorder="1" applyAlignment="1">
      <alignment horizontal="right" wrapText="1"/>
    </xf>
    <xf numFmtId="0" fontId="0" fillId="0" borderId="0" xfId="0" applyBorder="1"/>
    <xf numFmtId="0" fontId="16" fillId="0" borderId="0" xfId="0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0" fontId="3" fillId="2" borderId="0" xfId="0" applyFont="1" applyFill="1" applyAlignment="1">
      <alignment horizontal="right"/>
    </xf>
    <xf numFmtId="3" fontId="3" fillId="2" borderId="0" xfId="0" applyNumberFormat="1" applyFont="1" applyFill="1"/>
    <xf numFmtId="3" fontId="3" fillId="2" borderId="0" xfId="0" applyNumberFormat="1" applyFont="1" applyFill="1" applyBorder="1"/>
    <xf numFmtId="3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/>
    <xf numFmtId="3" fontId="0" fillId="2" borderId="0" xfId="0" applyNumberFormat="1" applyFill="1" applyBorder="1"/>
    <xf numFmtId="1" fontId="3" fillId="2" borderId="0" xfId="0" quotePrefix="1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14" fillId="2" borderId="0" xfId="0" applyNumberFormat="1" applyFont="1" applyFill="1"/>
    <xf numFmtId="0" fontId="3" fillId="2" borderId="0" xfId="0" applyFont="1" applyFill="1"/>
    <xf numFmtId="0" fontId="10" fillId="2" borderId="0" xfId="0" applyFont="1" applyFill="1"/>
    <xf numFmtId="3" fontId="15" fillId="2" borderId="0" xfId="0" applyNumberFormat="1" applyFont="1" applyFill="1"/>
    <xf numFmtId="0" fontId="7" fillId="2" borderId="0" xfId="0" applyFont="1" applyFill="1" applyAlignment="1">
      <alignment horizontal="right"/>
    </xf>
    <xf numFmtId="165" fontId="7" fillId="2" borderId="0" xfId="0" applyNumberFormat="1" applyFont="1" applyFill="1"/>
    <xf numFmtId="3" fontId="7" fillId="2" borderId="0" xfId="0" applyNumberFormat="1" applyFont="1" applyFill="1"/>
    <xf numFmtId="0" fontId="17" fillId="3" borderId="2" xfId="3" applyFont="1" applyFill="1" applyBorder="1" applyAlignment="1">
      <alignment horizontal="center"/>
    </xf>
    <xf numFmtId="0" fontId="4" fillId="0" borderId="0" xfId="3"/>
    <xf numFmtId="2" fontId="17" fillId="0" borderId="1" xfId="3" applyNumberFormat="1" applyFont="1" applyFill="1" applyBorder="1" applyAlignment="1">
      <alignment horizontal="right" wrapText="1"/>
    </xf>
    <xf numFmtId="3" fontId="2" fillId="0" borderId="0" xfId="0" applyNumberFormat="1" applyFont="1" applyAlignment="1">
      <alignment horizontal="center"/>
    </xf>
  </cellXfs>
  <cellStyles count="5">
    <cellStyle name="Normal" xfId="0" builtinId="0"/>
    <cellStyle name="Normal_2000_1" xfId="1"/>
    <cellStyle name="Normal_Curr" xfId="2"/>
    <cellStyle name="Normal_Curr_1" xfId="3"/>
    <cellStyle name="Normal_VM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S34" sqref="S34"/>
    </sheetView>
  </sheetViews>
  <sheetFormatPr defaultRowHeight="15"/>
  <cols>
    <col min="1" max="1" width="5.140625" customWidth="1"/>
    <col min="2" max="2" width="18.28515625" customWidth="1"/>
    <col min="3" max="3" width="5.7109375" style="24" customWidth="1"/>
    <col min="4" max="4" width="11.5703125" style="16" customWidth="1"/>
    <col min="5" max="10" width="9.7109375" style="9" customWidth="1"/>
    <col min="11" max="11" width="5.7109375" style="11" customWidth="1"/>
    <col min="12" max="17" width="9.7109375" style="9" customWidth="1"/>
    <col min="18" max="18" width="5.7109375" style="14" customWidth="1"/>
    <col min="19" max="24" width="9.7109375" style="2" customWidth="1"/>
    <col min="25" max="25" width="4.140625" style="2" customWidth="1"/>
    <col min="26" max="31" width="9.7109375" style="2" customWidth="1"/>
    <col min="32" max="32" width="13.7109375" style="10" customWidth="1"/>
  </cols>
  <sheetData>
    <row r="1" spans="1:32" ht="15.75">
      <c r="A1" s="25"/>
      <c r="B1" s="37"/>
      <c r="C1" s="17"/>
      <c r="D1" s="15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160</v>
      </c>
      <c r="B2" s="3"/>
      <c r="C2" s="18"/>
      <c r="D2" s="15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147</v>
      </c>
      <c r="B3" s="3"/>
      <c r="C3" s="18"/>
      <c r="D3" s="15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39">
        <v>39979</v>
      </c>
      <c r="C4" s="19"/>
      <c r="D4" s="15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0" t="s">
        <v>152</v>
      </c>
      <c r="D5" s="47">
        <v>2008</v>
      </c>
      <c r="E5" s="59" t="s">
        <v>0</v>
      </c>
      <c r="F5" s="59"/>
      <c r="G5" s="59"/>
      <c r="H5" s="59"/>
      <c r="I5" s="59"/>
      <c r="J5" s="59"/>
      <c r="K5" s="12" t="s">
        <v>161</v>
      </c>
      <c r="L5" s="59" t="s">
        <v>1</v>
      </c>
      <c r="M5" s="59"/>
      <c r="N5" s="59"/>
      <c r="O5" s="59"/>
      <c r="P5" s="59"/>
      <c r="Q5" s="59"/>
      <c r="R5" s="12" t="s">
        <v>161</v>
      </c>
      <c r="S5" s="59" t="s">
        <v>2</v>
      </c>
      <c r="T5" s="59"/>
      <c r="U5" s="59"/>
      <c r="V5" s="59"/>
      <c r="W5" s="59"/>
      <c r="X5" s="59"/>
      <c r="Y5" s="26"/>
      <c r="Z5" s="59" t="s">
        <v>3</v>
      </c>
      <c r="AA5" s="59"/>
      <c r="AB5" s="59"/>
      <c r="AC5" s="59"/>
      <c r="AD5" s="59"/>
      <c r="AE5" s="59"/>
      <c r="AF5" s="1"/>
    </row>
    <row r="6" spans="1:32" s="7" customFormat="1" ht="15.75">
      <c r="A6" s="4"/>
      <c r="B6" s="5" t="s">
        <v>4</v>
      </c>
      <c r="C6" s="21" t="s">
        <v>153</v>
      </c>
      <c r="D6" s="40" t="s">
        <v>156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43" t="s">
        <v>10</v>
      </c>
      <c r="K6" s="12" t="s">
        <v>162</v>
      </c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43" t="s">
        <v>10</v>
      </c>
      <c r="R6" s="12" t="s">
        <v>162</v>
      </c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40" t="s">
        <v>13</v>
      </c>
    </row>
    <row r="7" spans="1:32" ht="15" customHeight="1">
      <c r="A7" s="3"/>
      <c r="B7" s="8"/>
      <c r="C7" s="22"/>
      <c r="D7" s="48" t="s">
        <v>154</v>
      </c>
      <c r="E7" s="56" t="s">
        <v>14</v>
      </c>
      <c r="F7" s="56" t="s">
        <v>15</v>
      </c>
      <c r="G7" s="56" t="s">
        <v>16</v>
      </c>
      <c r="H7" s="56" t="s">
        <v>17</v>
      </c>
      <c r="I7" s="56" t="s">
        <v>18</v>
      </c>
      <c r="J7" s="44" t="s">
        <v>148</v>
      </c>
      <c r="K7" s="12" t="s">
        <v>163</v>
      </c>
      <c r="L7" s="56" t="s">
        <v>19</v>
      </c>
      <c r="M7" s="56" t="s">
        <v>20</v>
      </c>
      <c r="N7" s="56" t="s">
        <v>21</v>
      </c>
      <c r="O7" s="56" t="s">
        <v>22</v>
      </c>
      <c r="P7" s="56" t="s">
        <v>23</v>
      </c>
      <c r="Q7" s="44" t="s">
        <v>25</v>
      </c>
      <c r="R7" s="12" t="s">
        <v>163</v>
      </c>
      <c r="S7" s="56" t="s">
        <v>14</v>
      </c>
      <c r="T7" s="56" t="s">
        <v>15</v>
      </c>
      <c r="U7" s="56" t="s">
        <v>16</v>
      </c>
      <c r="V7" s="56" t="s">
        <v>17</v>
      </c>
      <c r="W7" s="56" t="s">
        <v>18</v>
      </c>
      <c r="X7" s="56" t="s">
        <v>24</v>
      </c>
      <c r="Y7" s="38"/>
      <c r="Z7" s="56" t="s">
        <v>19</v>
      </c>
      <c r="AA7" s="56" t="s">
        <v>20</v>
      </c>
      <c r="AB7" s="56" t="s">
        <v>21</v>
      </c>
      <c r="AC7" s="56" t="s">
        <v>22</v>
      </c>
      <c r="AD7" s="56" t="s">
        <v>23</v>
      </c>
      <c r="AE7" s="56" t="s">
        <v>25</v>
      </c>
      <c r="AF7" s="40" t="s">
        <v>155</v>
      </c>
    </row>
    <row r="8" spans="1:32" ht="15" customHeight="1">
      <c r="A8" s="3">
        <v>1</v>
      </c>
      <c r="B8" s="8" t="s">
        <v>26</v>
      </c>
      <c r="C8" s="23" t="s">
        <v>149</v>
      </c>
      <c r="D8" s="41">
        <f t="shared" ref="D8:D71" si="0">SUM(E8:J8)+SUM(L8:Q8)</f>
        <v>617.65130177800165</v>
      </c>
      <c r="E8" s="57"/>
      <c r="F8" s="58">
        <v>197.67111948084832</v>
      </c>
      <c r="G8" s="58">
        <v>74.959849166572099</v>
      </c>
      <c r="H8" s="58">
        <v>142.91642847979068</v>
      </c>
      <c r="I8" s="58">
        <v>75.816049757182597</v>
      </c>
      <c r="J8" s="45">
        <f>IF(X8="","",X8*K8*0.001)</f>
        <v>126.28785489360797</v>
      </c>
      <c r="K8" s="13">
        <f>IF(W8="","",3.3439*(1000*I8/W8)^0.6248)</f>
        <v>194.31023241934224</v>
      </c>
      <c r="L8" s="57"/>
      <c r="M8" s="57"/>
      <c r="N8" s="57"/>
      <c r="O8" s="57"/>
      <c r="P8" s="57"/>
      <c r="Q8" s="45" t="str">
        <f>IF(AE8="","",AE8*R8*0.001)</f>
        <v/>
      </c>
      <c r="R8" s="13" t="str">
        <f>IF(AD8="","",3.3439*(1000*P8/AD8)^0.6248)</f>
        <v/>
      </c>
      <c r="S8" s="57"/>
      <c r="T8" s="58">
        <v>33.256999909877777</v>
      </c>
      <c r="U8" s="58">
        <v>14.608000099658966</v>
      </c>
      <c r="V8" s="58">
        <v>70.546000704169273</v>
      </c>
      <c r="W8" s="58">
        <v>113.78100028634071</v>
      </c>
      <c r="X8" s="58">
        <v>649.92899921536446</v>
      </c>
      <c r="Y8" s="27"/>
      <c r="Z8" s="57"/>
      <c r="AA8" s="57"/>
      <c r="AB8" s="57"/>
      <c r="AC8" s="57"/>
      <c r="AD8" s="57"/>
      <c r="AE8" s="57"/>
      <c r="AF8" s="41">
        <f t="shared" ref="AF8:AF71" si="1">SUM(S8:AE8)</f>
        <v>882.12100021541119</v>
      </c>
    </row>
    <row r="9" spans="1:32" ht="15" customHeight="1">
      <c r="A9" s="3">
        <v>2</v>
      </c>
      <c r="B9" s="8" t="s">
        <v>27</v>
      </c>
      <c r="C9" s="23" t="s">
        <v>149</v>
      </c>
      <c r="D9" s="41">
        <f t="shared" si="0"/>
        <v>440.8927635984337</v>
      </c>
      <c r="E9" s="57"/>
      <c r="F9" s="58">
        <v>107.61181946796179</v>
      </c>
      <c r="G9" s="58">
        <v>48.613810257315635</v>
      </c>
      <c r="H9" s="58">
        <v>146.17311813139915</v>
      </c>
      <c r="I9" s="58">
        <v>43.875696259379389</v>
      </c>
      <c r="J9" s="45">
        <f t="shared" ref="J9:J72" si="2">IF(X9="","",X9*K9*0.001)</f>
        <v>94.618319482377757</v>
      </c>
      <c r="K9" s="13">
        <f t="shared" ref="K9:K72" si="3">IF(W9="","",3.3439*(1000*I9/W9)^0.6248)</f>
        <v>179.27232702416146</v>
      </c>
      <c r="L9" s="57"/>
      <c r="M9" s="57"/>
      <c r="N9" s="57"/>
      <c r="O9" s="57"/>
      <c r="P9" s="57"/>
      <c r="Q9" s="45" t="str">
        <f t="shared" ref="Q9:Q72" si="4">IF(AE9="","",AE9*R9*0.001)</f>
        <v/>
      </c>
      <c r="R9" s="13" t="str">
        <f t="shared" ref="R9:R72" si="5">IF(AD9="","",3.3439*(1000*P9/AD9)^0.6248)</f>
        <v/>
      </c>
      <c r="S9" s="57"/>
      <c r="T9" s="58">
        <v>17.17900013923645</v>
      </c>
      <c r="U9" s="58">
        <v>10.579000055789948</v>
      </c>
      <c r="V9" s="58">
        <v>66.953001260757446</v>
      </c>
      <c r="W9" s="58">
        <v>74.906998872756958</v>
      </c>
      <c r="X9" s="58">
        <v>527.79099291563034</v>
      </c>
      <c r="Y9" s="27"/>
      <c r="Z9" s="57"/>
      <c r="AA9" s="57"/>
      <c r="AB9" s="57"/>
      <c r="AC9" s="57"/>
      <c r="AD9" s="57"/>
      <c r="AE9" s="57"/>
      <c r="AF9" s="41">
        <f t="shared" si="1"/>
        <v>697.40899324417114</v>
      </c>
    </row>
    <row r="10" spans="1:32" ht="15" customHeight="1">
      <c r="A10" s="3">
        <v>3</v>
      </c>
      <c r="B10" s="8" t="s">
        <v>28</v>
      </c>
      <c r="C10" s="23" t="s">
        <v>150</v>
      </c>
      <c r="D10" s="41">
        <f t="shared" si="0"/>
        <v>630.52501873321341</v>
      </c>
      <c r="E10" s="57"/>
      <c r="F10" s="58">
        <v>279.19569231975078</v>
      </c>
      <c r="G10" s="58">
        <v>27.863037534177302</v>
      </c>
      <c r="H10" s="58">
        <v>62.741136203676461</v>
      </c>
      <c r="I10" s="58">
        <v>24.51782494094968</v>
      </c>
      <c r="J10" s="45">
        <f t="shared" si="2"/>
        <v>48.43133627199412</v>
      </c>
      <c r="K10" s="13">
        <f t="shared" si="3"/>
        <v>200.60031318274031</v>
      </c>
      <c r="L10" s="57"/>
      <c r="M10" s="57"/>
      <c r="N10" s="58">
        <v>72.12791949987411</v>
      </c>
      <c r="O10" s="57"/>
      <c r="P10" s="58">
        <v>66.734880949214102</v>
      </c>
      <c r="Q10" s="45">
        <f t="shared" si="4"/>
        <v>48.913191013576899</v>
      </c>
      <c r="R10" s="13">
        <f t="shared" si="5"/>
        <v>883.02115709656334</v>
      </c>
      <c r="S10" s="57"/>
      <c r="T10" s="58">
        <v>21.006000034511089</v>
      </c>
      <c r="U10" s="58">
        <v>4.5870001018047333</v>
      </c>
      <c r="V10" s="58">
        <v>38.81799989938736</v>
      </c>
      <c r="W10" s="58">
        <v>34.965999871492386</v>
      </c>
      <c r="X10" s="58">
        <v>241.43200727645308</v>
      </c>
      <c r="Y10" s="27"/>
      <c r="Z10" s="57"/>
      <c r="AA10" s="57"/>
      <c r="AB10" s="58">
        <v>3.5759999752044678</v>
      </c>
      <c r="AC10" s="57"/>
      <c r="AD10" s="58">
        <v>8.8789998516440392</v>
      </c>
      <c r="AE10" s="58">
        <v>55.393000066280365</v>
      </c>
      <c r="AF10" s="41">
        <f t="shared" si="1"/>
        <v>408.65700707677752</v>
      </c>
    </row>
    <row r="11" spans="1:32" ht="15" customHeight="1">
      <c r="A11" s="3">
        <v>4</v>
      </c>
      <c r="B11" s="8" t="s">
        <v>29</v>
      </c>
      <c r="C11" s="23" t="s">
        <v>149</v>
      </c>
      <c r="D11" s="41">
        <f t="shared" si="0"/>
        <v>253.62783066157269</v>
      </c>
      <c r="E11" s="57"/>
      <c r="F11" s="58">
        <v>129.59628992557526</v>
      </c>
      <c r="G11" s="58">
        <v>12.314121952176095</v>
      </c>
      <c r="H11" s="58">
        <v>48.506182723760602</v>
      </c>
      <c r="I11" s="58">
        <v>23.640476067610084</v>
      </c>
      <c r="J11" s="45">
        <f t="shared" si="2"/>
        <v>39.570759992450633</v>
      </c>
      <c r="K11" s="13">
        <f t="shared" si="3"/>
        <v>132.43093478891802</v>
      </c>
      <c r="L11" s="57"/>
      <c r="M11" s="57"/>
      <c r="N11" s="57"/>
      <c r="O11" s="57"/>
      <c r="P11" s="57"/>
      <c r="Q11" s="45" t="str">
        <f t="shared" si="4"/>
        <v/>
      </c>
      <c r="R11" s="13" t="str">
        <f t="shared" si="5"/>
        <v/>
      </c>
      <c r="S11" s="57"/>
      <c r="T11" s="58">
        <v>25.234000205993652</v>
      </c>
      <c r="U11" s="58">
        <v>8.6889999508857727</v>
      </c>
      <c r="V11" s="58">
        <v>25.191999912261963</v>
      </c>
      <c r="W11" s="58">
        <v>65.533000636845827</v>
      </c>
      <c r="X11" s="58">
        <v>298.80299535393715</v>
      </c>
      <c r="Y11" s="27"/>
      <c r="Z11" s="57"/>
      <c r="AA11" s="57"/>
      <c r="AB11" s="57"/>
      <c r="AC11" s="57"/>
      <c r="AD11" s="57"/>
      <c r="AE11" s="57"/>
      <c r="AF11" s="41">
        <f t="shared" si="1"/>
        <v>423.45099605992436</v>
      </c>
    </row>
    <row r="12" spans="1:32" ht="15" customHeight="1">
      <c r="A12" s="3">
        <v>5</v>
      </c>
      <c r="B12" s="8" t="s">
        <v>30</v>
      </c>
      <c r="C12" s="23" t="s">
        <v>150</v>
      </c>
      <c r="D12" s="41">
        <f t="shared" si="0"/>
        <v>1478.075251892298</v>
      </c>
      <c r="E12" s="58">
        <v>280.70148681455851</v>
      </c>
      <c r="F12" s="58">
        <v>115.15050938606262</v>
      </c>
      <c r="G12" s="58">
        <v>215.16062094020845</v>
      </c>
      <c r="H12" s="58">
        <v>215.32871713829041</v>
      </c>
      <c r="I12" s="58">
        <v>113.42608753681183</v>
      </c>
      <c r="J12" s="45">
        <f t="shared" si="2"/>
        <v>157.55895973453505</v>
      </c>
      <c r="K12" s="13">
        <f t="shared" si="3"/>
        <v>232.90863361317062</v>
      </c>
      <c r="L12" s="57"/>
      <c r="M12" s="58">
        <v>37.558295773506167</v>
      </c>
      <c r="N12" s="58">
        <v>135.87207542577386</v>
      </c>
      <c r="O12" s="58">
        <v>80.892771229505541</v>
      </c>
      <c r="P12" s="58">
        <v>65.204574106030165</v>
      </c>
      <c r="Q12" s="45">
        <f t="shared" si="4"/>
        <v>61.221153807015199</v>
      </c>
      <c r="R12" s="13">
        <f t="shared" si="5"/>
        <v>633.98906746522812</v>
      </c>
      <c r="S12" s="58">
        <v>8.4379999041557312</v>
      </c>
      <c r="T12" s="58">
        <v>17.928999900817871</v>
      </c>
      <c r="U12" s="58">
        <v>30.101000726222992</v>
      </c>
      <c r="V12" s="58">
        <v>81.278999388217926</v>
      </c>
      <c r="W12" s="58">
        <v>127.37300023436546</v>
      </c>
      <c r="X12" s="58">
        <v>676.48398125171661</v>
      </c>
      <c r="Y12" s="27"/>
      <c r="Z12" s="57"/>
      <c r="AA12" s="58">
        <v>4.4279999732971191</v>
      </c>
      <c r="AB12" s="58">
        <v>8.0799999386072159</v>
      </c>
      <c r="AC12" s="58">
        <v>10.524999901652336</v>
      </c>
      <c r="AD12" s="58">
        <v>14.742999840527773</v>
      </c>
      <c r="AE12" s="58">
        <v>96.564999222755432</v>
      </c>
      <c r="AF12" s="41">
        <f t="shared" si="1"/>
        <v>1075.9449802823365</v>
      </c>
    </row>
    <row r="13" spans="1:32" ht="15" customHeight="1">
      <c r="A13" s="3">
        <v>6</v>
      </c>
      <c r="B13" s="8" t="s">
        <v>31</v>
      </c>
      <c r="C13" s="23" t="s">
        <v>149</v>
      </c>
      <c r="D13" s="41">
        <f t="shared" si="0"/>
        <v>483.82528291710571</v>
      </c>
      <c r="E13" s="58">
        <v>243.8308691921234</v>
      </c>
      <c r="F13" s="57"/>
      <c r="G13" s="58">
        <v>33.862883597612381</v>
      </c>
      <c r="H13" s="58">
        <v>111.41555814005434</v>
      </c>
      <c r="I13" s="58">
        <v>36.717717904172837</v>
      </c>
      <c r="J13" s="45">
        <f t="shared" si="2"/>
        <v>57.998254083142719</v>
      </c>
      <c r="K13" s="13">
        <f t="shared" si="3"/>
        <v>180.16523874287157</v>
      </c>
      <c r="L13" s="57"/>
      <c r="M13" s="57"/>
      <c r="N13" s="57"/>
      <c r="O13" s="57"/>
      <c r="P13" s="57"/>
      <c r="Q13" s="45" t="str">
        <f t="shared" si="4"/>
        <v/>
      </c>
      <c r="R13" s="13" t="str">
        <f t="shared" si="5"/>
        <v/>
      </c>
      <c r="S13" s="58">
        <v>13.308000087738037</v>
      </c>
      <c r="T13" s="57"/>
      <c r="U13" s="58">
        <v>12.287999868392944</v>
      </c>
      <c r="V13" s="58">
        <v>52.214999713003635</v>
      </c>
      <c r="W13" s="58">
        <v>62.190000299364328</v>
      </c>
      <c r="X13" s="58">
        <v>321.91700512170792</v>
      </c>
      <c r="Y13" s="27"/>
      <c r="Z13" s="57"/>
      <c r="AA13" s="57"/>
      <c r="AB13" s="57"/>
      <c r="AC13" s="57"/>
      <c r="AD13" s="57"/>
      <c r="AE13" s="57"/>
      <c r="AF13" s="41">
        <f t="shared" si="1"/>
        <v>461.91800509020686</v>
      </c>
    </row>
    <row r="14" spans="1:32" ht="15" customHeight="1">
      <c r="A14" s="3">
        <v>7</v>
      </c>
      <c r="B14" s="8" t="s">
        <v>32</v>
      </c>
      <c r="C14" s="23" t="s">
        <v>150</v>
      </c>
      <c r="D14" s="41">
        <f t="shared" si="0"/>
        <v>771.38716538102074</v>
      </c>
      <c r="E14" s="57"/>
      <c r="F14" s="58">
        <v>382.44615772563219</v>
      </c>
      <c r="G14" s="57"/>
      <c r="H14" s="58">
        <v>135.00399648481607</v>
      </c>
      <c r="I14" s="58">
        <v>26.494612019240858</v>
      </c>
      <c r="J14" s="45">
        <f t="shared" si="2"/>
        <v>54.699890254707363</v>
      </c>
      <c r="K14" s="13">
        <f t="shared" si="3"/>
        <v>181.73506176914427</v>
      </c>
      <c r="L14" s="57"/>
      <c r="M14" s="57"/>
      <c r="N14" s="58">
        <v>40.851503732204435</v>
      </c>
      <c r="O14" s="58">
        <v>63.097549215063452</v>
      </c>
      <c r="P14" s="58">
        <v>34.568195054084065</v>
      </c>
      <c r="Q14" s="45">
        <f t="shared" si="4"/>
        <v>34.225260895272193</v>
      </c>
      <c r="R14" s="13">
        <f t="shared" si="5"/>
        <v>501.54252435598903</v>
      </c>
      <c r="S14" s="57"/>
      <c r="T14" s="58">
        <v>32.530000075697899</v>
      </c>
      <c r="U14" s="57"/>
      <c r="V14" s="58">
        <v>97.839000716805458</v>
      </c>
      <c r="W14" s="58">
        <v>44.255999982357025</v>
      </c>
      <c r="X14" s="58">
        <v>300.98699569702148</v>
      </c>
      <c r="Y14" s="27"/>
      <c r="Z14" s="57"/>
      <c r="AA14" s="57"/>
      <c r="AB14" s="58">
        <v>2.0009999871253967</v>
      </c>
      <c r="AC14" s="58">
        <v>7.7429999858140945</v>
      </c>
      <c r="AD14" s="58">
        <v>11.372999995946884</v>
      </c>
      <c r="AE14" s="58">
        <v>68.239998072385788</v>
      </c>
      <c r="AF14" s="41">
        <f t="shared" si="1"/>
        <v>564.96899451315403</v>
      </c>
    </row>
    <row r="15" spans="1:32" ht="15" customHeight="1">
      <c r="A15" s="3">
        <v>8</v>
      </c>
      <c r="B15" s="8" t="s">
        <v>33</v>
      </c>
      <c r="C15" s="23" t="s">
        <v>151</v>
      </c>
      <c r="D15" s="41">
        <f t="shared" si="0"/>
        <v>3799.8732669064666</v>
      </c>
      <c r="E15" s="58">
        <v>683.65112760162356</v>
      </c>
      <c r="F15" s="57"/>
      <c r="G15" s="57"/>
      <c r="H15" s="58">
        <v>154.13913939660787</v>
      </c>
      <c r="I15" s="58">
        <v>64.222942927837366</v>
      </c>
      <c r="J15" s="45">
        <f t="shared" si="2"/>
        <v>64.318630528648967</v>
      </c>
      <c r="K15" s="13">
        <f t="shared" si="3"/>
        <v>304.53896134186539</v>
      </c>
      <c r="L15" s="58">
        <v>1409.7320527441502</v>
      </c>
      <c r="M15" s="57"/>
      <c r="N15" s="58">
        <v>389.18993010360003</v>
      </c>
      <c r="O15" s="58">
        <v>677.14357458782194</v>
      </c>
      <c r="P15" s="58">
        <v>132.66262557822466</v>
      </c>
      <c r="Q15" s="45">
        <f t="shared" si="4"/>
        <v>224.81324343795114</v>
      </c>
      <c r="R15" s="13">
        <f t="shared" si="5"/>
        <v>703.61439761372185</v>
      </c>
      <c r="S15" s="58">
        <v>17.338000118732452</v>
      </c>
      <c r="T15" s="57"/>
      <c r="U15" s="57"/>
      <c r="V15" s="58">
        <v>58.772999435663223</v>
      </c>
      <c r="W15" s="58">
        <v>46.952999830245972</v>
      </c>
      <c r="X15" s="58">
        <v>211.20000621676445</v>
      </c>
      <c r="Y15" s="27"/>
      <c r="Z15" s="58">
        <v>16.644999980926514</v>
      </c>
      <c r="AA15" s="57"/>
      <c r="AB15" s="58">
        <v>13.978999927639961</v>
      </c>
      <c r="AC15" s="58">
        <v>48.935000106692314</v>
      </c>
      <c r="AD15" s="58">
        <v>25.388000130653381</v>
      </c>
      <c r="AE15" s="58">
        <v>319.51200003921986</v>
      </c>
      <c r="AF15" s="41">
        <f t="shared" si="1"/>
        <v>758.72300578653812</v>
      </c>
    </row>
    <row r="16" spans="1:32" ht="15" customHeight="1">
      <c r="A16" s="3">
        <v>9</v>
      </c>
      <c r="B16" s="8" t="s">
        <v>34</v>
      </c>
      <c r="C16" s="23" t="s">
        <v>150</v>
      </c>
      <c r="D16" s="41">
        <f t="shared" si="0"/>
        <v>569.44057698173401</v>
      </c>
      <c r="E16" s="57"/>
      <c r="F16" s="58">
        <v>175.90542628479005</v>
      </c>
      <c r="G16" s="58">
        <v>80.309203126132488</v>
      </c>
      <c r="H16" s="58">
        <v>33.163847102642059</v>
      </c>
      <c r="I16" s="58">
        <v>59.583561270177363</v>
      </c>
      <c r="J16" s="45">
        <f t="shared" si="2"/>
        <v>40.448563225317166</v>
      </c>
      <c r="K16" s="13">
        <f t="shared" si="3"/>
        <v>230.90638485759621</v>
      </c>
      <c r="L16" s="57"/>
      <c r="M16" s="57"/>
      <c r="N16" s="58">
        <v>88.182255928218368</v>
      </c>
      <c r="O16" s="58">
        <v>43.150040780663488</v>
      </c>
      <c r="P16" s="58">
        <v>25.905210136741399</v>
      </c>
      <c r="Q16" s="45">
        <f t="shared" si="4"/>
        <v>22.792469127051557</v>
      </c>
      <c r="R16" s="13">
        <f t="shared" si="5"/>
        <v>485.40057073145397</v>
      </c>
      <c r="S16" s="57"/>
      <c r="T16" s="58">
        <v>20.352999687194824</v>
      </c>
      <c r="U16" s="58">
        <v>29.185999885201454</v>
      </c>
      <c r="V16" s="58">
        <v>25.367999315261841</v>
      </c>
      <c r="W16" s="58">
        <v>67.84099942445755</v>
      </c>
      <c r="X16" s="58">
        <v>175.17299597524107</v>
      </c>
      <c r="Y16" s="27"/>
      <c r="Z16" s="57"/>
      <c r="AA16" s="57"/>
      <c r="AB16" s="58">
        <v>5.895999938249588</v>
      </c>
      <c r="AC16" s="58">
        <v>5.7860000059008598</v>
      </c>
      <c r="AD16" s="58">
        <v>8.9810000211000443</v>
      </c>
      <c r="AE16" s="58">
        <v>46.955999851226807</v>
      </c>
      <c r="AF16" s="41">
        <f t="shared" si="1"/>
        <v>385.53999410383403</v>
      </c>
    </row>
    <row r="17" spans="1:32" ht="15" customHeight="1">
      <c r="A17" s="3">
        <v>10</v>
      </c>
      <c r="B17" s="8" t="s">
        <v>35</v>
      </c>
      <c r="C17" s="23" t="s">
        <v>151</v>
      </c>
      <c r="D17" s="41">
        <f t="shared" si="0"/>
        <v>1380.4842166162553</v>
      </c>
      <c r="E17" s="58">
        <v>225.61228796386717</v>
      </c>
      <c r="F17" s="58">
        <v>138.52289781892298</v>
      </c>
      <c r="G17" s="57"/>
      <c r="H17" s="58">
        <v>107.32721348822116</v>
      </c>
      <c r="I17" s="58">
        <v>28.653043855279684</v>
      </c>
      <c r="J17" s="45">
        <f t="shared" si="2"/>
        <v>43.18055613774964</v>
      </c>
      <c r="K17" s="13">
        <f t="shared" si="3"/>
        <v>223.18531916052174</v>
      </c>
      <c r="L17" s="57"/>
      <c r="M17" s="57"/>
      <c r="N17" s="58">
        <v>480.13218937512858</v>
      </c>
      <c r="O17" s="58">
        <v>135.22979604759811</v>
      </c>
      <c r="P17" s="58">
        <v>89.927759719878438</v>
      </c>
      <c r="Q17" s="45">
        <f t="shared" si="4"/>
        <v>131.89847220960954</v>
      </c>
      <c r="R17" s="13">
        <f t="shared" si="5"/>
        <v>556.6463766366162</v>
      </c>
      <c r="S17" s="58">
        <v>10.694999694824219</v>
      </c>
      <c r="T17" s="58">
        <v>12.377000287175179</v>
      </c>
      <c r="U17" s="57"/>
      <c r="V17" s="58">
        <v>30.666999757289886</v>
      </c>
      <c r="W17" s="58">
        <v>34.448999896645546</v>
      </c>
      <c r="X17" s="58">
        <v>193.47399864904583</v>
      </c>
      <c r="Y17" s="27"/>
      <c r="Z17" s="57"/>
      <c r="AA17" s="57"/>
      <c r="AB17" s="58">
        <v>22.957999978214502</v>
      </c>
      <c r="AC17" s="58">
        <v>21.967999987304211</v>
      </c>
      <c r="AD17" s="58">
        <v>25.039999917149544</v>
      </c>
      <c r="AE17" s="58">
        <v>236.95199995115399</v>
      </c>
      <c r="AF17" s="41">
        <f t="shared" si="1"/>
        <v>588.57999811880291</v>
      </c>
    </row>
    <row r="18" spans="1:32" ht="15" customHeight="1">
      <c r="A18" s="3">
        <v>11</v>
      </c>
      <c r="B18" s="8" t="s">
        <v>36</v>
      </c>
      <c r="C18" s="23" t="s">
        <v>150</v>
      </c>
      <c r="D18" s="41">
        <f t="shared" si="0"/>
        <v>729.78554611521758</v>
      </c>
      <c r="E18" s="57"/>
      <c r="F18" s="58">
        <v>134.06565648169814</v>
      </c>
      <c r="G18" s="58">
        <v>98.938138328611856</v>
      </c>
      <c r="H18" s="58">
        <v>31.284508301109074</v>
      </c>
      <c r="I18" s="58">
        <v>37.026362006902694</v>
      </c>
      <c r="J18" s="45">
        <f t="shared" si="2"/>
        <v>49.722866928761555</v>
      </c>
      <c r="K18" s="13">
        <f t="shared" si="3"/>
        <v>248.27295928040255</v>
      </c>
      <c r="L18" s="57"/>
      <c r="M18" s="57"/>
      <c r="N18" s="58">
        <v>248.45497676885128</v>
      </c>
      <c r="O18" s="58">
        <v>35.503724947929385</v>
      </c>
      <c r="P18" s="58">
        <v>42.46057190095447</v>
      </c>
      <c r="Q18" s="45">
        <f t="shared" si="4"/>
        <v>52.328740450399216</v>
      </c>
      <c r="R18" s="13">
        <f t="shared" si="5"/>
        <v>598.5969009512097</v>
      </c>
      <c r="S18" s="57"/>
      <c r="T18" s="58">
        <v>11.273000032640994</v>
      </c>
      <c r="U18" s="58">
        <v>26.235000133514404</v>
      </c>
      <c r="V18" s="58">
        <v>13.70400033891201</v>
      </c>
      <c r="W18" s="58">
        <v>37.537999734282494</v>
      </c>
      <c r="X18" s="58">
        <v>200.27500003576279</v>
      </c>
      <c r="Y18" s="27"/>
      <c r="Z18" s="57"/>
      <c r="AA18" s="57"/>
      <c r="AB18" s="58">
        <v>17.189000070095062</v>
      </c>
      <c r="AC18" s="58">
        <v>6.7550000101327896</v>
      </c>
      <c r="AD18" s="58">
        <v>10.52499995182734</v>
      </c>
      <c r="AE18" s="58">
        <v>87.418996602296829</v>
      </c>
      <c r="AF18" s="41">
        <f t="shared" si="1"/>
        <v>410.91299690946471</v>
      </c>
    </row>
    <row r="19" spans="1:32" ht="15" customHeight="1">
      <c r="A19" s="3">
        <v>12</v>
      </c>
      <c r="B19" s="8" t="s">
        <v>37</v>
      </c>
      <c r="C19" s="23" t="s">
        <v>149</v>
      </c>
      <c r="D19" s="41">
        <f t="shared" si="0"/>
        <v>272.62986932757406</v>
      </c>
      <c r="E19" s="57"/>
      <c r="F19" s="58">
        <v>133.87355416011809</v>
      </c>
      <c r="G19" s="57"/>
      <c r="H19" s="58">
        <v>86.978101216673849</v>
      </c>
      <c r="I19" s="58">
        <v>19.192099214673043</v>
      </c>
      <c r="J19" s="45">
        <f t="shared" si="2"/>
        <v>32.586114736109039</v>
      </c>
      <c r="K19" s="13">
        <f t="shared" si="3"/>
        <v>142.00165844753363</v>
      </c>
      <c r="L19" s="57"/>
      <c r="M19" s="57"/>
      <c r="N19" s="57"/>
      <c r="O19" s="57"/>
      <c r="P19" s="57"/>
      <c r="Q19" s="45" t="str">
        <f t="shared" si="4"/>
        <v/>
      </c>
      <c r="R19" s="13" t="str">
        <f t="shared" si="5"/>
        <v/>
      </c>
      <c r="S19" s="57"/>
      <c r="T19" s="58">
        <v>19.856999397277832</v>
      </c>
      <c r="U19" s="57"/>
      <c r="V19" s="58">
        <v>61.440000593662262</v>
      </c>
      <c r="W19" s="58">
        <v>47.580000281333923</v>
      </c>
      <c r="X19" s="58">
        <v>229.4770011305809</v>
      </c>
      <c r="Y19" s="27"/>
      <c r="Z19" s="57"/>
      <c r="AA19" s="57"/>
      <c r="AB19" s="57"/>
      <c r="AC19" s="57"/>
      <c r="AD19" s="57"/>
      <c r="AE19" s="57"/>
      <c r="AF19" s="41">
        <f t="shared" si="1"/>
        <v>358.35400140285492</v>
      </c>
    </row>
    <row r="20" spans="1:32" ht="15" customHeight="1">
      <c r="A20" s="3">
        <v>13</v>
      </c>
      <c r="B20" s="8" t="s">
        <v>38</v>
      </c>
      <c r="C20" s="23" t="s">
        <v>149</v>
      </c>
      <c r="D20" s="41">
        <f t="shared" si="0"/>
        <v>453.67045369962744</v>
      </c>
      <c r="E20" s="57"/>
      <c r="F20" s="58">
        <v>195.75743438327314</v>
      </c>
      <c r="G20" s="57"/>
      <c r="H20" s="58">
        <v>115.4360620958507</v>
      </c>
      <c r="I20" s="58">
        <v>79.286033906146884</v>
      </c>
      <c r="J20" s="45">
        <f t="shared" si="2"/>
        <v>63.190923314356723</v>
      </c>
      <c r="K20" s="13">
        <f t="shared" si="3"/>
        <v>185.04364525605618</v>
      </c>
      <c r="L20" s="57"/>
      <c r="M20" s="57"/>
      <c r="N20" s="57"/>
      <c r="O20" s="57"/>
      <c r="P20" s="57"/>
      <c r="Q20" s="45" t="str">
        <f t="shared" si="4"/>
        <v/>
      </c>
      <c r="R20" s="13" t="str">
        <f t="shared" si="5"/>
        <v/>
      </c>
      <c r="S20" s="57"/>
      <c r="T20" s="58">
        <v>26.445999979972839</v>
      </c>
      <c r="U20" s="57"/>
      <c r="V20" s="58">
        <v>76.11699914932251</v>
      </c>
      <c r="W20" s="58">
        <v>128.66800025105476</v>
      </c>
      <c r="X20" s="58">
        <v>341.49199356138706</v>
      </c>
      <c r="Y20" s="27"/>
      <c r="Z20" s="57"/>
      <c r="AA20" s="57"/>
      <c r="AB20" s="57"/>
      <c r="AC20" s="57"/>
      <c r="AD20" s="57"/>
      <c r="AE20" s="57"/>
      <c r="AF20" s="41">
        <f t="shared" si="1"/>
        <v>572.72299294173717</v>
      </c>
    </row>
    <row r="21" spans="1:32" ht="15" customHeight="1">
      <c r="A21" s="3">
        <v>14</v>
      </c>
      <c r="B21" s="8" t="s">
        <v>39</v>
      </c>
      <c r="C21" s="23" t="s">
        <v>149</v>
      </c>
      <c r="D21" s="41">
        <f t="shared" si="0"/>
        <v>449.60821748395415</v>
      </c>
      <c r="E21" s="57"/>
      <c r="F21" s="58">
        <v>154.40077932512762</v>
      </c>
      <c r="G21" s="58">
        <v>47.42464436531067</v>
      </c>
      <c r="H21" s="58">
        <v>87.529575146704914</v>
      </c>
      <c r="I21" s="58">
        <v>58.767016672208904</v>
      </c>
      <c r="J21" s="45">
        <f t="shared" si="2"/>
        <v>101.48620197460198</v>
      </c>
      <c r="K21" s="13">
        <f t="shared" si="3"/>
        <v>154.87267280080536</v>
      </c>
      <c r="L21" s="57"/>
      <c r="M21" s="57"/>
      <c r="N21" s="57"/>
      <c r="O21" s="57"/>
      <c r="P21" s="57"/>
      <c r="Q21" s="45" t="str">
        <f t="shared" si="4"/>
        <v/>
      </c>
      <c r="R21" s="13" t="str">
        <f t="shared" si="5"/>
        <v/>
      </c>
      <c r="S21" s="57"/>
      <c r="T21" s="58">
        <v>31.811000347137451</v>
      </c>
      <c r="U21" s="58">
        <v>17.597000122070313</v>
      </c>
      <c r="V21" s="58">
        <v>65.527999736368656</v>
      </c>
      <c r="W21" s="58">
        <v>126.80199961364269</v>
      </c>
      <c r="X21" s="58">
        <v>655.2879868298769</v>
      </c>
      <c r="Y21" s="27"/>
      <c r="Z21" s="57"/>
      <c r="AA21" s="57"/>
      <c r="AB21" s="57"/>
      <c r="AC21" s="57"/>
      <c r="AD21" s="57"/>
      <c r="AE21" s="57"/>
      <c r="AF21" s="41">
        <f t="shared" si="1"/>
        <v>897.02598664909601</v>
      </c>
    </row>
    <row r="22" spans="1:32" ht="15" customHeight="1">
      <c r="A22" s="3">
        <v>15</v>
      </c>
      <c r="B22" s="8" t="s">
        <v>40</v>
      </c>
      <c r="C22" s="23" t="s">
        <v>157</v>
      </c>
      <c r="D22" s="41">
        <f t="shared" si="0"/>
        <v>2323.3951783237462</v>
      </c>
      <c r="E22" s="58">
        <v>645.13741482734679</v>
      </c>
      <c r="F22" s="58">
        <v>8.0131998658180237</v>
      </c>
      <c r="G22" s="58">
        <v>166.99362090981006</v>
      </c>
      <c r="H22" s="58">
        <v>66.794387324810032</v>
      </c>
      <c r="I22" s="58">
        <v>48.861393028020856</v>
      </c>
      <c r="J22" s="45">
        <f t="shared" si="2"/>
        <v>76.557174558567851</v>
      </c>
      <c r="K22" s="13">
        <f t="shared" si="3"/>
        <v>254.68375971020825</v>
      </c>
      <c r="L22" s="58">
        <v>633.5344361901283</v>
      </c>
      <c r="M22" s="57"/>
      <c r="N22" s="58">
        <v>351.98719454476236</v>
      </c>
      <c r="O22" s="58">
        <v>121.77684080207348</v>
      </c>
      <c r="P22" s="58">
        <v>45.956723149120805</v>
      </c>
      <c r="Q22" s="45">
        <f t="shared" si="4"/>
        <v>157.7827931232878</v>
      </c>
      <c r="R22" s="13">
        <f t="shared" si="5"/>
        <v>625.63310062729965</v>
      </c>
      <c r="S22" s="58">
        <v>12.266000270843506</v>
      </c>
      <c r="T22" s="58">
        <v>0.29899999499320984</v>
      </c>
      <c r="U22" s="58">
        <v>24.109999805688858</v>
      </c>
      <c r="V22" s="58">
        <v>19.843999683856964</v>
      </c>
      <c r="W22" s="58">
        <v>47.556000977754593</v>
      </c>
      <c r="X22" s="58">
        <v>300.59700173139572</v>
      </c>
      <c r="Y22" s="27"/>
      <c r="Z22" s="58">
        <v>7.6060003042221069</v>
      </c>
      <c r="AA22" s="57"/>
      <c r="AB22" s="58">
        <v>26.609000086784363</v>
      </c>
      <c r="AC22" s="58">
        <v>16.520999938249588</v>
      </c>
      <c r="AD22" s="58">
        <v>10.614000052213669</v>
      </c>
      <c r="AE22" s="58">
        <v>252.19700326770544</v>
      </c>
      <c r="AF22" s="41">
        <f t="shared" si="1"/>
        <v>718.21900611370802</v>
      </c>
    </row>
    <row r="23" spans="1:32" ht="15" customHeight="1">
      <c r="A23" s="3">
        <v>16</v>
      </c>
      <c r="B23" s="8" t="s">
        <v>41</v>
      </c>
      <c r="C23" s="23" t="s">
        <v>149</v>
      </c>
      <c r="D23" s="41">
        <f t="shared" si="0"/>
        <v>461.79750728693773</v>
      </c>
      <c r="E23" s="57"/>
      <c r="F23" s="58">
        <v>160.14445961487294</v>
      </c>
      <c r="G23" s="57"/>
      <c r="H23" s="58">
        <v>190.87579942017794</v>
      </c>
      <c r="I23" s="58">
        <v>40.473662675738332</v>
      </c>
      <c r="J23" s="45">
        <f t="shared" si="2"/>
        <v>70.303585576148492</v>
      </c>
      <c r="K23" s="13">
        <f t="shared" si="3"/>
        <v>149.76277058343035</v>
      </c>
      <c r="L23" s="57"/>
      <c r="M23" s="57"/>
      <c r="N23" s="57"/>
      <c r="O23" s="57"/>
      <c r="P23" s="57"/>
      <c r="Q23" s="45" t="str">
        <f t="shared" si="4"/>
        <v/>
      </c>
      <c r="R23" s="13" t="str">
        <f t="shared" si="5"/>
        <v/>
      </c>
      <c r="S23" s="57"/>
      <c r="T23" s="58">
        <v>17.786000311374664</v>
      </c>
      <c r="U23" s="57"/>
      <c r="V23" s="58">
        <v>90.860999792814255</v>
      </c>
      <c r="W23" s="58">
        <v>92.147999823093414</v>
      </c>
      <c r="X23" s="58">
        <v>469.43299260735512</v>
      </c>
      <c r="Y23" s="27"/>
      <c r="Z23" s="57"/>
      <c r="AA23" s="57"/>
      <c r="AB23" s="57"/>
      <c r="AC23" s="57"/>
      <c r="AD23" s="57"/>
      <c r="AE23" s="57"/>
      <c r="AF23" s="41">
        <f t="shared" si="1"/>
        <v>670.22799253463745</v>
      </c>
    </row>
    <row r="24" spans="1:32" ht="15" customHeight="1">
      <c r="A24" s="3">
        <v>17</v>
      </c>
      <c r="B24" s="8" t="s">
        <v>42</v>
      </c>
      <c r="C24" s="23" t="s">
        <v>150</v>
      </c>
      <c r="D24" s="41">
        <f t="shared" si="0"/>
        <v>474.00494831983303</v>
      </c>
      <c r="E24" s="58">
        <v>39.858001925468443</v>
      </c>
      <c r="F24" s="58">
        <v>140.63879357933999</v>
      </c>
      <c r="G24" s="57"/>
      <c r="H24" s="58">
        <v>114.98804064771534</v>
      </c>
      <c r="I24" s="58">
        <v>21.121094052016733</v>
      </c>
      <c r="J24" s="45">
        <f t="shared" si="2"/>
        <v>46.071467888716022</v>
      </c>
      <c r="K24" s="13">
        <f t="shared" si="3"/>
        <v>121.96866154164728</v>
      </c>
      <c r="L24" s="57"/>
      <c r="M24" s="57"/>
      <c r="N24" s="58">
        <v>14.463599824905396</v>
      </c>
      <c r="O24" s="58">
        <v>72.820477006793027</v>
      </c>
      <c r="P24" s="58">
        <v>3.9927079832144083</v>
      </c>
      <c r="Q24" s="45">
        <f t="shared" si="4"/>
        <v>20.05076541166364</v>
      </c>
      <c r="R24" s="13">
        <f t="shared" si="5"/>
        <v>388.49038995937514</v>
      </c>
      <c r="S24" s="58">
        <v>2.5469999313354492</v>
      </c>
      <c r="T24" s="58">
        <v>19.365000516176224</v>
      </c>
      <c r="U24" s="57"/>
      <c r="V24" s="58">
        <v>75.201001167297363</v>
      </c>
      <c r="W24" s="58">
        <v>66.792000353336334</v>
      </c>
      <c r="X24" s="58">
        <v>377.73201170191169</v>
      </c>
      <c r="Y24" s="27"/>
      <c r="Z24" s="57"/>
      <c r="AA24" s="57"/>
      <c r="AB24" s="58">
        <v>1.4179999828338623</v>
      </c>
      <c r="AC24" s="58">
        <v>14.86599999293685</v>
      </c>
      <c r="AD24" s="58">
        <v>1.9769999869167805</v>
      </c>
      <c r="AE24" s="58">
        <v>51.611998468637466</v>
      </c>
      <c r="AF24" s="41">
        <f t="shared" si="1"/>
        <v>611.51001210138202</v>
      </c>
    </row>
    <row r="25" spans="1:32" ht="15" customHeight="1">
      <c r="A25" s="3">
        <v>18</v>
      </c>
      <c r="B25" s="8" t="s">
        <v>43</v>
      </c>
      <c r="C25" s="23" t="s">
        <v>150</v>
      </c>
      <c r="D25" s="41">
        <f t="shared" si="0"/>
        <v>870.94371879072605</v>
      </c>
      <c r="E25" s="57"/>
      <c r="F25" s="58">
        <v>211.96771660900117</v>
      </c>
      <c r="G25" s="57"/>
      <c r="H25" s="58">
        <v>115.50264712762832</v>
      </c>
      <c r="I25" s="58">
        <v>68.790759936809536</v>
      </c>
      <c r="J25" s="45">
        <f t="shared" si="2"/>
        <v>172.21844624325615</v>
      </c>
      <c r="K25" s="13">
        <f t="shared" si="3"/>
        <v>224.36312950288064</v>
      </c>
      <c r="L25" s="57"/>
      <c r="M25" s="57"/>
      <c r="N25" s="58">
        <v>117.20363713073731</v>
      </c>
      <c r="O25" s="58">
        <v>74.831839291214948</v>
      </c>
      <c r="P25" s="58">
        <v>46.518697022229432</v>
      </c>
      <c r="Q25" s="45">
        <f t="shared" si="4"/>
        <v>63.909975429849162</v>
      </c>
      <c r="R25" s="13">
        <f t="shared" si="5"/>
        <v>622.58868704105657</v>
      </c>
      <c r="S25" s="57"/>
      <c r="T25" s="58">
        <v>33.451000332832336</v>
      </c>
      <c r="U25" s="57"/>
      <c r="V25" s="58">
        <v>35.742999792098999</v>
      </c>
      <c r="W25" s="58">
        <v>82.012000530958176</v>
      </c>
      <c r="X25" s="58">
        <v>767.58800175786018</v>
      </c>
      <c r="Y25" s="27"/>
      <c r="Z25" s="57"/>
      <c r="AA25" s="57"/>
      <c r="AB25" s="58">
        <v>8.2649999260902405</v>
      </c>
      <c r="AC25" s="58">
        <v>9.1889998912811279</v>
      </c>
      <c r="AD25" s="58">
        <v>10.827999986708164</v>
      </c>
      <c r="AE25" s="58">
        <v>102.65200245380402</v>
      </c>
      <c r="AF25" s="41">
        <f t="shared" si="1"/>
        <v>1049.7280046716332</v>
      </c>
    </row>
    <row r="26" spans="1:32" ht="15" customHeight="1">
      <c r="A26" s="3">
        <v>19</v>
      </c>
      <c r="B26" s="8" t="s">
        <v>44</v>
      </c>
      <c r="C26" s="23" t="s">
        <v>151</v>
      </c>
      <c r="D26" s="41">
        <f t="shared" si="0"/>
        <v>2104.5546443466269</v>
      </c>
      <c r="E26" s="57"/>
      <c r="F26" s="58">
        <v>176.32613198304176</v>
      </c>
      <c r="G26" s="58">
        <v>8.8962110766768454</v>
      </c>
      <c r="H26" s="58">
        <v>35.195467087984085</v>
      </c>
      <c r="I26" s="58">
        <v>27.814746760159732</v>
      </c>
      <c r="J26" s="45">
        <f t="shared" si="2"/>
        <v>43.987879397096087</v>
      </c>
      <c r="K26" s="13">
        <f t="shared" si="3"/>
        <v>238.38180303396871</v>
      </c>
      <c r="L26" s="58">
        <v>781.95253921890264</v>
      </c>
      <c r="M26" s="58">
        <v>15.425800305604934</v>
      </c>
      <c r="N26" s="58">
        <v>595.30457357107105</v>
      </c>
      <c r="O26" s="58">
        <v>147.07749299092592</v>
      </c>
      <c r="P26" s="58">
        <v>125.25931857658922</v>
      </c>
      <c r="Q26" s="45">
        <f t="shared" si="4"/>
        <v>147.31448337857444</v>
      </c>
      <c r="R26" s="13">
        <f t="shared" si="5"/>
        <v>588.91400984372433</v>
      </c>
      <c r="S26" s="57"/>
      <c r="T26" s="58">
        <v>15.96399986743927</v>
      </c>
      <c r="U26" s="58">
        <v>4.5280000269412994</v>
      </c>
      <c r="V26" s="58">
        <v>26.417000234127045</v>
      </c>
      <c r="W26" s="58">
        <v>30.09500016272068</v>
      </c>
      <c r="X26" s="58">
        <v>184.52700179815292</v>
      </c>
      <c r="Y26" s="27"/>
      <c r="Z26" s="58">
        <v>9.5339999198913574</v>
      </c>
      <c r="AA26" s="58">
        <v>0.69800001382827759</v>
      </c>
      <c r="AB26" s="58">
        <v>32.327000346034765</v>
      </c>
      <c r="AC26" s="58">
        <v>20.678999993950129</v>
      </c>
      <c r="AD26" s="58">
        <v>31.869999766349792</v>
      </c>
      <c r="AE26" s="58">
        <v>250.14599910378456</v>
      </c>
      <c r="AF26" s="41">
        <f t="shared" si="1"/>
        <v>606.7850012332201</v>
      </c>
    </row>
    <row r="27" spans="1:32" ht="15" customHeight="1">
      <c r="A27" s="3">
        <v>20</v>
      </c>
      <c r="B27" s="8" t="s">
        <v>45</v>
      </c>
      <c r="C27" s="23" t="s">
        <v>149</v>
      </c>
      <c r="D27" s="41">
        <f t="shared" si="0"/>
        <v>154.57434191737519</v>
      </c>
      <c r="E27" s="57"/>
      <c r="F27" s="58">
        <v>31.700774331092834</v>
      </c>
      <c r="G27" s="58">
        <v>19.898180520772932</v>
      </c>
      <c r="H27" s="58">
        <v>63.032997448205947</v>
      </c>
      <c r="I27" s="58">
        <v>15.96534886109829</v>
      </c>
      <c r="J27" s="45">
        <f t="shared" si="2"/>
        <v>23.977040756205188</v>
      </c>
      <c r="K27" s="13">
        <f t="shared" si="3"/>
        <v>114.28413587164613</v>
      </c>
      <c r="L27" s="57"/>
      <c r="M27" s="57"/>
      <c r="N27" s="57"/>
      <c r="O27" s="57"/>
      <c r="P27" s="57"/>
      <c r="Q27" s="45" t="str">
        <f t="shared" si="4"/>
        <v/>
      </c>
      <c r="R27" s="13" t="str">
        <f t="shared" si="5"/>
        <v/>
      </c>
      <c r="S27" s="57"/>
      <c r="T27" s="58">
        <v>12.654999732971191</v>
      </c>
      <c r="U27" s="58">
        <v>19.189999580383301</v>
      </c>
      <c r="V27" s="58">
        <v>38.912999749183655</v>
      </c>
      <c r="W27" s="58">
        <v>56.029999971389771</v>
      </c>
      <c r="X27" s="58">
        <v>209.8020042181015</v>
      </c>
      <c r="Y27" s="27"/>
      <c r="Z27" s="57"/>
      <c r="AA27" s="57"/>
      <c r="AB27" s="57"/>
      <c r="AC27" s="57"/>
      <c r="AD27" s="57"/>
      <c r="AE27" s="57"/>
      <c r="AF27" s="41">
        <f t="shared" si="1"/>
        <v>336.59000325202942</v>
      </c>
    </row>
    <row r="28" spans="1:32" ht="15" customHeight="1">
      <c r="A28" s="3">
        <v>21</v>
      </c>
      <c r="B28" s="8" t="s">
        <v>46</v>
      </c>
      <c r="C28" s="23" t="s">
        <v>149</v>
      </c>
      <c r="D28" s="41">
        <f t="shared" si="0"/>
        <v>674.32239426301669</v>
      </c>
      <c r="E28" s="58">
        <v>383.67225000000002</v>
      </c>
      <c r="F28" s="57"/>
      <c r="G28" s="57"/>
      <c r="H28" s="58">
        <v>249.48309643919765</v>
      </c>
      <c r="I28" s="58">
        <v>14.760343003034592</v>
      </c>
      <c r="J28" s="45">
        <f t="shared" si="2"/>
        <v>26.406704820784373</v>
      </c>
      <c r="K28" s="13">
        <f t="shared" si="3"/>
        <v>173.86787278905206</v>
      </c>
      <c r="L28" s="57"/>
      <c r="M28" s="57"/>
      <c r="N28" s="57"/>
      <c r="O28" s="57"/>
      <c r="P28" s="57"/>
      <c r="Q28" s="45" t="str">
        <f t="shared" si="4"/>
        <v/>
      </c>
      <c r="R28" s="13" t="str">
        <f t="shared" si="5"/>
        <v/>
      </c>
      <c r="S28" s="58">
        <v>14.625</v>
      </c>
      <c r="T28" s="57"/>
      <c r="U28" s="57"/>
      <c r="V28" s="58">
        <v>62.711000427603722</v>
      </c>
      <c r="W28" s="58">
        <v>26.465000033378601</v>
      </c>
      <c r="X28" s="58">
        <v>151.87800021469593</v>
      </c>
      <c r="Y28" s="27"/>
      <c r="Z28" s="57"/>
      <c r="AA28" s="57"/>
      <c r="AB28" s="57"/>
      <c r="AC28" s="57"/>
      <c r="AD28" s="57"/>
      <c r="AE28" s="57"/>
      <c r="AF28" s="41">
        <f t="shared" si="1"/>
        <v>255.67900067567825</v>
      </c>
    </row>
    <row r="29" spans="1:32" ht="15" customHeight="1">
      <c r="A29" s="3">
        <v>22</v>
      </c>
      <c r="B29" s="8" t="s">
        <v>47</v>
      </c>
      <c r="C29" s="23" t="s">
        <v>149</v>
      </c>
      <c r="D29" s="41">
        <f t="shared" si="0"/>
        <v>1135.0722152832952</v>
      </c>
      <c r="E29" s="58">
        <v>517.8743530864715</v>
      </c>
      <c r="F29" s="58">
        <v>99.253795022964482</v>
      </c>
      <c r="G29" s="58">
        <v>64.251076280832294</v>
      </c>
      <c r="H29" s="58">
        <v>233.94738531053065</v>
      </c>
      <c r="I29" s="58">
        <v>69.753287998542191</v>
      </c>
      <c r="J29" s="45">
        <f t="shared" si="2"/>
        <v>149.99231758395405</v>
      </c>
      <c r="K29" s="13">
        <f t="shared" si="3"/>
        <v>206.49830375568376</v>
      </c>
      <c r="L29" s="57"/>
      <c r="M29" s="57"/>
      <c r="N29" s="57"/>
      <c r="O29" s="57"/>
      <c r="P29" s="57"/>
      <c r="Q29" s="45" t="str">
        <f t="shared" si="4"/>
        <v/>
      </c>
      <c r="R29" s="13" t="str">
        <f t="shared" si="5"/>
        <v/>
      </c>
      <c r="S29" s="58">
        <v>32.147000312805176</v>
      </c>
      <c r="T29" s="58">
        <v>19.103999987244606</v>
      </c>
      <c r="U29" s="58">
        <v>11.721000075340271</v>
      </c>
      <c r="V29" s="58">
        <v>71.389999642968178</v>
      </c>
      <c r="W29" s="58">
        <v>94.97000028938055</v>
      </c>
      <c r="X29" s="58">
        <v>726.36101534962654</v>
      </c>
      <c r="Y29" s="27"/>
      <c r="Z29" s="57"/>
      <c r="AA29" s="57"/>
      <c r="AB29" s="57"/>
      <c r="AC29" s="57"/>
      <c r="AD29" s="57"/>
      <c r="AE29" s="57"/>
      <c r="AF29" s="41">
        <f t="shared" si="1"/>
        <v>955.69301565736532</v>
      </c>
    </row>
    <row r="30" spans="1:32" ht="15" customHeight="1">
      <c r="A30" s="3">
        <v>23</v>
      </c>
      <c r="B30" s="8" t="s">
        <v>48</v>
      </c>
      <c r="C30" s="23" t="s">
        <v>149</v>
      </c>
      <c r="D30" s="41">
        <f t="shared" si="0"/>
        <v>431.51528687057458</v>
      </c>
      <c r="E30" s="57"/>
      <c r="F30" s="58">
        <v>116.20513453638554</v>
      </c>
      <c r="G30" s="57"/>
      <c r="H30" s="58">
        <v>113.73436418393254</v>
      </c>
      <c r="I30" s="58">
        <v>74.415398382425309</v>
      </c>
      <c r="J30" s="45">
        <f t="shared" si="2"/>
        <v>127.16038976783121</v>
      </c>
      <c r="K30" s="13">
        <f t="shared" si="3"/>
        <v>221.67010681299718</v>
      </c>
      <c r="L30" s="57"/>
      <c r="M30" s="57"/>
      <c r="N30" s="57"/>
      <c r="O30" s="57"/>
      <c r="P30" s="57"/>
      <c r="Q30" s="45" t="str">
        <f t="shared" si="4"/>
        <v/>
      </c>
      <c r="R30" s="13" t="str">
        <f t="shared" si="5"/>
        <v/>
      </c>
      <c r="S30" s="57"/>
      <c r="T30" s="58">
        <v>23.714999675750732</v>
      </c>
      <c r="U30" s="57"/>
      <c r="V30" s="58">
        <v>70.285999722778797</v>
      </c>
      <c r="W30" s="58">
        <v>90.44899994134903</v>
      </c>
      <c r="X30" s="58">
        <v>573.64699099957943</v>
      </c>
      <c r="Y30" s="27"/>
      <c r="Z30" s="57"/>
      <c r="AA30" s="57"/>
      <c r="AB30" s="57"/>
      <c r="AC30" s="57"/>
      <c r="AD30" s="57"/>
      <c r="AE30" s="57"/>
      <c r="AF30" s="41">
        <f t="shared" si="1"/>
        <v>758.09699033945799</v>
      </c>
    </row>
    <row r="31" spans="1:32" ht="15" customHeight="1">
      <c r="A31" s="3">
        <v>24</v>
      </c>
      <c r="B31" s="8" t="s">
        <v>49</v>
      </c>
      <c r="C31" s="23" t="s">
        <v>157</v>
      </c>
      <c r="D31" s="41">
        <f t="shared" si="0"/>
        <v>2301.7118178423425</v>
      </c>
      <c r="E31" s="58">
        <v>464.1895649013519</v>
      </c>
      <c r="F31" s="58">
        <v>280.41809021675584</v>
      </c>
      <c r="G31" s="58">
        <v>14.410719776153565</v>
      </c>
      <c r="H31" s="58">
        <v>178.83269286430627</v>
      </c>
      <c r="I31" s="58">
        <v>78.394066462725405</v>
      </c>
      <c r="J31" s="45">
        <f t="shared" si="2"/>
        <v>108.31532134443819</v>
      </c>
      <c r="K31" s="13">
        <f t="shared" si="3"/>
        <v>176.25143883111775</v>
      </c>
      <c r="L31" s="58">
        <v>104.84100151062012</v>
      </c>
      <c r="M31" s="58">
        <v>111.89740517139435</v>
      </c>
      <c r="N31" s="58">
        <v>485.73897029012443</v>
      </c>
      <c r="O31" s="58">
        <v>226.10462422570586</v>
      </c>
      <c r="P31" s="58">
        <v>60.215866577938201</v>
      </c>
      <c r="Q31" s="45">
        <f t="shared" si="4"/>
        <v>188.35349450082865</v>
      </c>
      <c r="R31" s="13">
        <f t="shared" si="5"/>
        <v>663.06944626938139</v>
      </c>
      <c r="S31" s="58">
        <v>20.365999698638916</v>
      </c>
      <c r="T31" s="58">
        <v>35.761000692844391</v>
      </c>
      <c r="U31" s="58">
        <v>6.5849999189376831</v>
      </c>
      <c r="V31" s="58">
        <v>98.450000636279583</v>
      </c>
      <c r="W31" s="58">
        <v>137.52899986505508</v>
      </c>
      <c r="X31" s="58">
        <v>614.54999779164791</v>
      </c>
      <c r="Y31" s="27"/>
      <c r="Z31" s="58">
        <v>3.1770000457763672</v>
      </c>
      <c r="AA31" s="58">
        <v>5.9869999885559082</v>
      </c>
      <c r="AB31" s="58">
        <v>36.966000013053417</v>
      </c>
      <c r="AC31" s="58">
        <v>33.734999850392342</v>
      </c>
      <c r="AD31" s="58">
        <v>12.672000095248222</v>
      </c>
      <c r="AE31" s="58">
        <v>284.06299756467342</v>
      </c>
      <c r="AF31" s="41">
        <f t="shared" si="1"/>
        <v>1289.8409961611032</v>
      </c>
    </row>
    <row r="32" spans="1:32" ht="15" customHeight="1">
      <c r="A32" s="3">
        <v>25</v>
      </c>
      <c r="B32" s="8" t="s">
        <v>50</v>
      </c>
      <c r="C32" s="23" t="s">
        <v>150</v>
      </c>
      <c r="D32" s="41">
        <f t="shared" si="0"/>
        <v>1233.5519090627147</v>
      </c>
      <c r="E32" s="58">
        <v>406.13457593441012</v>
      </c>
      <c r="F32" s="58">
        <v>220.80188038825989</v>
      </c>
      <c r="G32" s="58">
        <v>53.412479259371757</v>
      </c>
      <c r="H32" s="58">
        <v>91.721634704709047</v>
      </c>
      <c r="I32" s="58">
        <v>53.195723824560645</v>
      </c>
      <c r="J32" s="45">
        <f t="shared" si="2"/>
        <v>45.172698539657652</v>
      </c>
      <c r="K32" s="13">
        <f t="shared" si="3"/>
        <v>232.26948718256386</v>
      </c>
      <c r="L32" s="58">
        <v>88.326803684234619</v>
      </c>
      <c r="M32" s="57"/>
      <c r="N32" s="58">
        <v>68.659404833495614</v>
      </c>
      <c r="O32" s="58">
        <v>138.53676806652547</v>
      </c>
      <c r="P32" s="58">
        <v>17.377021301478148</v>
      </c>
      <c r="Q32" s="45">
        <f t="shared" si="4"/>
        <v>50.212918526011769</v>
      </c>
      <c r="R32" s="13">
        <f t="shared" si="5"/>
        <v>475.99697188576829</v>
      </c>
      <c r="S32" s="58">
        <v>12.76800012588501</v>
      </c>
      <c r="T32" s="58">
        <v>17.802999973297119</v>
      </c>
      <c r="U32" s="58">
        <v>9.4749998450279236</v>
      </c>
      <c r="V32" s="58">
        <v>40.321999549865723</v>
      </c>
      <c r="W32" s="58">
        <v>59.999998956918716</v>
      </c>
      <c r="X32" s="58">
        <v>194.48399825394154</v>
      </c>
      <c r="Y32" s="27"/>
      <c r="Z32" s="58">
        <v>2.0120000839233398</v>
      </c>
      <c r="AA32" s="57"/>
      <c r="AB32" s="58">
        <v>3.4460000395774841</v>
      </c>
      <c r="AC32" s="58">
        <v>15.051999941468239</v>
      </c>
      <c r="AD32" s="58">
        <v>6.2160000763833523</v>
      </c>
      <c r="AE32" s="58">
        <v>105.48999571800232</v>
      </c>
      <c r="AF32" s="41">
        <f t="shared" si="1"/>
        <v>467.06799256429076</v>
      </c>
    </row>
    <row r="33" spans="1:32" ht="15" customHeight="1">
      <c r="A33" s="3">
        <v>26</v>
      </c>
      <c r="B33" s="8" t="s">
        <v>51</v>
      </c>
      <c r="C33" s="23" t="s">
        <v>149</v>
      </c>
      <c r="D33" s="41">
        <f t="shared" si="0"/>
        <v>597.83870423368569</v>
      </c>
      <c r="E33" s="57"/>
      <c r="F33" s="58">
        <v>181.22841116523742</v>
      </c>
      <c r="G33" s="58">
        <v>100.68613485360146</v>
      </c>
      <c r="H33" s="58">
        <v>156.0898005515337</v>
      </c>
      <c r="I33" s="58">
        <v>57.956272040247917</v>
      </c>
      <c r="J33" s="45">
        <f t="shared" si="2"/>
        <v>101.87808562306512</v>
      </c>
      <c r="K33" s="13">
        <f t="shared" si="3"/>
        <v>193.42349070409918</v>
      </c>
      <c r="L33" s="57"/>
      <c r="M33" s="57"/>
      <c r="N33" s="57"/>
      <c r="O33" s="57"/>
      <c r="P33" s="57"/>
      <c r="Q33" s="45" t="str">
        <f t="shared" si="4"/>
        <v/>
      </c>
      <c r="R33" s="13" t="str">
        <f t="shared" si="5"/>
        <v/>
      </c>
      <c r="S33" s="57"/>
      <c r="T33" s="58">
        <v>25.336000442504883</v>
      </c>
      <c r="U33" s="58">
        <v>16.16199991106987</v>
      </c>
      <c r="V33" s="58">
        <v>87.60400128364563</v>
      </c>
      <c r="W33" s="58">
        <v>87.617000579833984</v>
      </c>
      <c r="X33" s="58">
        <v>526.70999397337437</v>
      </c>
      <c r="Y33" s="27"/>
      <c r="Z33" s="57"/>
      <c r="AA33" s="57"/>
      <c r="AB33" s="57"/>
      <c r="AC33" s="57"/>
      <c r="AD33" s="57"/>
      <c r="AE33" s="57"/>
      <c r="AF33" s="41">
        <f t="shared" si="1"/>
        <v>743.42899619042873</v>
      </c>
    </row>
    <row r="34" spans="1:32" ht="15" customHeight="1">
      <c r="A34" s="3">
        <v>27</v>
      </c>
      <c r="B34" s="8" t="s">
        <v>52</v>
      </c>
      <c r="C34" s="23" t="s">
        <v>149</v>
      </c>
      <c r="D34" s="41">
        <f t="shared" si="0"/>
        <v>286.20041071734994</v>
      </c>
      <c r="E34" s="57"/>
      <c r="F34" s="58">
        <v>98.990246971026068</v>
      </c>
      <c r="G34" s="58">
        <v>51.912830595970156</v>
      </c>
      <c r="H34" s="58">
        <v>24.934975726306437</v>
      </c>
      <c r="I34" s="58">
        <v>56.777631270319226</v>
      </c>
      <c r="J34" s="45">
        <f t="shared" si="2"/>
        <v>53.584726153728042</v>
      </c>
      <c r="K34" s="13">
        <f t="shared" si="3"/>
        <v>203.71632437430006</v>
      </c>
      <c r="L34" s="57"/>
      <c r="M34" s="57"/>
      <c r="N34" s="57"/>
      <c r="O34" s="57"/>
      <c r="P34" s="57"/>
      <c r="Q34" s="45" t="str">
        <f t="shared" si="4"/>
        <v/>
      </c>
      <c r="R34" s="13" t="str">
        <f t="shared" si="5"/>
        <v/>
      </c>
      <c r="S34" s="57"/>
      <c r="T34" s="58">
        <v>21.308000005781651</v>
      </c>
      <c r="U34" s="58">
        <v>12.8160001039505</v>
      </c>
      <c r="V34" s="58">
        <v>6.4370002150535583</v>
      </c>
      <c r="W34" s="58">
        <v>79.000000387430191</v>
      </c>
      <c r="X34" s="58">
        <v>263.03599536418915</v>
      </c>
      <c r="Y34" s="27"/>
      <c r="Z34" s="57"/>
      <c r="AA34" s="57"/>
      <c r="AB34" s="57"/>
      <c r="AC34" s="57"/>
      <c r="AD34" s="57"/>
      <c r="AE34" s="57"/>
      <c r="AF34" s="41">
        <f t="shared" si="1"/>
        <v>382.59699607640505</v>
      </c>
    </row>
    <row r="35" spans="1:32" ht="15" customHeight="1">
      <c r="A35" s="3">
        <v>28</v>
      </c>
      <c r="B35" s="8" t="s">
        <v>53</v>
      </c>
      <c r="C35" s="23" t="s">
        <v>149</v>
      </c>
      <c r="D35" s="41">
        <f t="shared" si="0"/>
        <v>219.84755806070208</v>
      </c>
      <c r="E35" s="57"/>
      <c r="F35" s="58">
        <v>112.384385253191</v>
      </c>
      <c r="G35" s="57"/>
      <c r="H35" s="58">
        <v>28.0768254917264</v>
      </c>
      <c r="I35" s="58">
        <v>27.530611277163029</v>
      </c>
      <c r="J35" s="45">
        <f t="shared" si="2"/>
        <v>51.855736038621664</v>
      </c>
      <c r="K35" s="13">
        <f t="shared" si="3"/>
        <v>126.24431651731223</v>
      </c>
      <c r="L35" s="57"/>
      <c r="M35" s="57"/>
      <c r="N35" s="57"/>
      <c r="O35" s="57"/>
      <c r="P35" s="57"/>
      <c r="Q35" s="45" t="str">
        <f t="shared" si="4"/>
        <v/>
      </c>
      <c r="R35" s="13" t="str">
        <f t="shared" si="5"/>
        <v/>
      </c>
      <c r="S35" s="57"/>
      <c r="T35" s="58">
        <v>30.511999636888504</v>
      </c>
      <c r="U35" s="57"/>
      <c r="V35" s="58">
        <v>36.863999232649803</v>
      </c>
      <c r="W35" s="58">
        <v>82.390000700950623</v>
      </c>
      <c r="X35" s="58">
        <v>410.75699460506439</v>
      </c>
      <c r="Y35" s="27"/>
      <c r="Z35" s="57"/>
      <c r="AA35" s="57"/>
      <c r="AB35" s="57"/>
      <c r="AC35" s="57"/>
      <c r="AD35" s="57"/>
      <c r="AE35" s="57"/>
      <c r="AF35" s="41">
        <f t="shared" si="1"/>
        <v>560.52299417555332</v>
      </c>
    </row>
    <row r="36" spans="1:32" ht="15" customHeight="1">
      <c r="A36" s="3">
        <v>29</v>
      </c>
      <c r="B36" s="8" t="s">
        <v>54</v>
      </c>
      <c r="C36" s="23" t="s">
        <v>149</v>
      </c>
      <c r="D36" s="41">
        <f t="shared" si="0"/>
        <v>210.98016184295494</v>
      </c>
      <c r="E36" s="57"/>
      <c r="F36" s="57"/>
      <c r="G36" s="58">
        <v>119.27249540162086</v>
      </c>
      <c r="H36" s="58">
        <v>19.180742899656295</v>
      </c>
      <c r="I36" s="58">
        <v>25.998912332773209</v>
      </c>
      <c r="J36" s="45">
        <f t="shared" si="2"/>
        <v>46.528011208904552</v>
      </c>
      <c r="K36" s="13">
        <f t="shared" si="3"/>
        <v>131.87912528869731</v>
      </c>
      <c r="L36" s="57"/>
      <c r="M36" s="57"/>
      <c r="N36" s="57"/>
      <c r="O36" s="57"/>
      <c r="P36" s="57"/>
      <c r="Q36" s="45" t="str">
        <f t="shared" si="4"/>
        <v/>
      </c>
      <c r="R36" s="13" t="str">
        <f t="shared" si="5"/>
        <v/>
      </c>
      <c r="S36" s="57"/>
      <c r="T36" s="57"/>
      <c r="U36" s="58">
        <v>36.236000530421734</v>
      </c>
      <c r="V36" s="58">
        <v>12.436999976634979</v>
      </c>
      <c r="W36" s="58">
        <v>72.554000377655029</v>
      </c>
      <c r="X36" s="58">
        <v>352.80800586938858</v>
      </c>
      <c r="Y36" s="27"/>
      <c r="Z36" s="57"/>
      <c r="AA36" s="57"/>
      <c r="AB36" s="57"/>
      <c r="AC36" s="57"/>
      <c r="AD36" s="57"/>
      <c r="AE36" s="57"/>
      <c r="AF36" s="41">
        <f t="shared" si="1"/>
        <v>474.03500675410032</v>
      </c>
    </row>
    <row r="37" spans="1:32" ht="15" customHeight="1">
      <c r="A37" s="3">
        <v>30</v>
      </c>
      <c r="B37" s="8" t="s">
        <v>55</v>
      </c>
      <c r="C37" s="23" t="s">
        <v>151</v>
      </c>
      <c r="D37" s="41">
        <f t="shared" si="0"/>
        <v>2071.3610864017137</v>
      </c>
      <c r="E37" s="57"/>
      <c r="F37" s="58">
        <v>319.79743206214903</v>
      </c>
      <c r="G37" s="58">
        <v>100.04116912943125</v>
      </c>
      <c r="H37" s="58">
        <v>163.96435798019172</v>
      </c>
      <c r="I37" s="58">
        <v>62.658178200304505</v>
      </c>
      <c r="J37" s="45">
        <f t="shared" si="2"/>
        <v>120.87005790514111</v>
      </c>
      <c r="K37" s="13">
        <f t="shared" si="3"/>
        <v>220.8927005320491</v>
      </c>
      <c r="L37" s="57"/>
      <c r="M37" s="58">
        <v>230.59504397201539</v>
      </c>
      <c r="N37" s="58">
        <v>456.31113959342241</v>
      </c>
      <c r="O37" s="58">
        <v>220.44928974905611</v>
      </c>
      <c r="P37" s="58">
        <v>211.21912815175949</v>
      </c>
      <c r="Q37" s="45">
        <f t="shared" si="4"/>
        <v>185.45528965824275</v>
      </c>
      <c r="R37" s="13">
        <f t="shared" si="5"/>
        <v>626.32652802706752</v>
      </c>
      <c r="S37" s="57"/>
      <c r="T37" s="58">
        <v>39.793000996112823</v>
      </c>
      <c r="U37" s="58">
        <v>16.613000124692917</v>
      </c>
      <c r="V37" s="58">
        <v>50.547000452876091</v>
      </c>
      <c r="W37" s="58">
        <v>76.587999999523163</v>
      </c>
      <c r="X37" s="58">
        <v>547.18900902569294</v>
      </c>
      <c r="Y37" s="27"/>
      <c r="Z37" s="57"/>
      <c r="AA37" s="58">
        <v>10.212000012397766</v>
      </c>
      <c r="AB37" s="58">
        <v>31.492999948561192</v>
      </c>
      <c r="AC37" s="58">
        <v>28.22200021892786</v>
      </c>
      <c r="AD37" s="58">
        <v>48.695999957621098</v>
      </c>
      <c r="AE37" s="58">
        <v>296.10000751912594</v>
      </c>
      <c r="AF37" s="41">
        <f t="shared" si="1"/>
        <v>1145.4530182555318</v>
      </c>
    </row>
    <row r="38" spans="1:32" ht="15" customHeight="1">
      <c r="A38" s="3">
        <v>31</v>
      </c>
      <c r="B38" s="8" t="s">
        <v>56</v>
      </c>
      <c r="C38" s="23" t="s">
        <v>149</v>
      </c>
      <c r="D38" s="41">
        <f t="shared" si="0"/>
        <v>342.5873516211642</v>
      </c>
      <c r="E38" s="58">
        <v>86.986796748638156</v>
      </c>
      <c r="F38" s="57"/>
      <c r="G38" s="58">
        <v>94.249186098992823</v>
      </c>
      <c r="H38" s="58">
        <v>74.806050997704261</v>
      </c>
      <c r="I38" s="58">
        <v>30.494119745969773</v>
      </c>
      <c r="J38" s="45">
        <f t="shared" si="2"/>
        <v>56.051198029859158</v>
      </c>
      <c r="K38" s="13">
        <f t="shared" si="3"/>
        <v>176.78197070726412</v>
      </c>
      <c r="L38" s="57"/>
      <c r="M38" s="57"/>
      <c r="N38" s="57"/>
      <c r="O38" s="57"/>
      <c r="P38" s="57"/>
      <c r="Q38" s="45" t="str">
        <f t="shared" si="4"/>
        <v/>
      </c>
      <c r="R38" s="13" t="str">
        <f t="shared" si="5"/>
        <v/>
      </c>
      <c r="S38" s="58">
        <v>2.6279999017715454</v>
      </c>
      <c r="T38" s="57"/>
      <c r="U38" s="58">
        <v>20.029999941587448</v>
      </c>
      <c r="V38" s="58">
        <v>60.787000067532063</v>
      </c>
      <c r="W38" s="58">
        <v>53.239999771118164</v>
      </c>
      <c r="X38" s="58">
        <v>317.06399586796761</v>
      </c>
      <c r="Y38" s="27"/>
      <c r="Z38" s="57"/>
      <c r="AA38" s="57"/>
      <c r="AB38" s="57"/>
      <c r="AC38" s="57"/>
      <c r="AD38" s="57"/>
      <c r="AE38" s="57"/>
      <c r="AF38" s="41">
        <f t="shared" si="1"/>
        <v>453.74899554997683</v>
      </c>
    </row>
    <row r="39" spans="1:32" ht="15" customHeight="1">
      <c r="A39" s="3">
        <v>32</v>
      </c>
      <c r="B39" s="8" t="s">
        <v>57</v>
      </c>
      <c r="C39" s="23" t="s">
        <v>149</v>
      </c>
      <c r="D39" s="41">
        <f t="shared" si="0"/>
        <v>140.06765667776986</v>
      </c>
      <c r="E39" s="57"/>
      <c r="F39" s="57"/>
      <c r="G39" s="58">
        <v>46.739678846836092</v>
      </c>
      <c r="H39" s="58">
        <v>19.223969084262848</v>
      </c>
      <c r="I39" s="58">
        <v>25.209525827765464</v>
      </c>
      <c r="J39" s="45">
        <f t="shared" si="2"/>
        <v>48.894482918905474</v>
      </c>
      <c r="K39" s="13">
        <f t="shared" si="3"/>
        <v>137.41391788662176</v>
      </c>
      <c r="L39" s="57"/>
      <c r="M39" s="57"/>
      <c r="N39" s="57"/>
      <c r="O39" s="57"/>
      <c r="P39" s="57"/>
      <c r="Q39" s="45" t="str">
        <f t="shared" si="4"/>
        <v/>
      </c>
      <c r="R39" s="13" t="str">
        <f t="shared" si="5"/>
        <v/>
      </c>
      <c r="S39" s="57"/>
      <c r="T39" s="57"/>
      <c r="U39" s="58">
        <v>18.51900041103363</v>
      </c>
      <c r="V39" s="58">
        <v>24.89300012588501</v>
      </c>
      <c r="W39" s="58">
        <v>65.870999455451965</v>
      </c>
      <c r="X39" s="58">
        <v>355.81900051236153</v>
      </c>
      <c r="Y39" s="27"/>
      <c r="Z39" s="57"/>
      <c r="AA39" s="57"/>
      <c r="AB39" s="57"/>
      <c r="AC39" s="57"/>
      <c r="AD39" s="57"/>
      <c r="AE39" s="57"/>
      <c r="AF39" s="41">
        <f t="shared" si="1"/>
        <v>465.10200050473213</v>
      </c>
    </row>
    <row r="40" spans="1:32" ht="15" customHeight="1">
      <c r="A40" s="3">
        <v>33</v>
      </c>
      <c r="B40" s="8" t="s">
        <v>58</v>
      </c>
      <c r="C40" s="23" t="s">
        <v>149</v>
      </c>
      <c r="D40" s="41">
        <f t="shared" si="0"/>
        <v>320.94893092937372</v>
      </c>
      <c r="E40" s="57"/>
      <c r="F40" s="57"/>
      <c r="G40" s="58">
        <v>97.448664495646952</v>
      </c>
      <c r="H40" s="58">
        <v>104.57509551590681</v>
      </c>
      <c r="I40" s="58">
        <v>51.25513696843386</v>
      </c>
      <c r="J40" s="45">
        <f t="shared" si="2"/>
        <v>67.670033949386081</v>
      </c>
      <c r="K40" s="13">
        <f t="shared" si="3"/>
        <v>221.2921429367095</v>
      </c>
      <c r="L40" s="57"/>
      <c r="M40" s="57"/>
      <c r="N40" s="57"/>
      <c r="O40" s="57"/>
      <c r="P40" s="57"/>
      <c r="Q40" s="45" t="str">
        <f t="shared" si="4"/>
        <v/>
      </c>
      <c r="R40" s="13" t="str">
        <f t="shared" si="5"/>
        <v/>
      </c>
      <c r="S40" s="57"/>
      <c r="T40" s="57"/>
      <c r="U40" s="58">
        <v>9.479999840259552</v>
      </c>
      <c r="V40" s="58">
        <v>51.545999616384506</v>
      </c>
      <c r="W40" s="58">
        <v>62.469000041484833</v>
      </c>
      <c r="X40" s="58">
        <v>305.79501400887966</v>
      </c>
      <c r="Y40" s="27"/>
      <c r="Z40" s="57"/>
      <c r="AA40" s="57"/>
      <c r="AB40" s="57"/>
      <c r="AC40" s="57"/>
      <c r="AD40" s="57"/>
      <c r="AE40" s="57"/>
      <c r="AF40" s="41">
        <f t="shared" si="1"/>
        <v>429.29001350700855</v>
      </c>
    </row>
    <row r="41" spans="1:32" ht="15" customHeight="1">
      <c r="A41" s="3">
        <v>34</v>
      </c>
      <c r="B41" s="8" t="s">
        <v>59</v>
      </c>
      <c r="C41" s="23" t="s">
        <v>158</v>
      </c>
      <c r="D41" s="41">
        <f t="shared" si="0"/>
        <v>7792.1817108976957</v>
      </c>
      <c r="E41" s="58">
        <v>1372.862750538826</v>
      </c>
      <c r="F41" s="58">
        <v>302.54189539179208</v>
      </c>
      <c r="G41" s="58">
        <v>181.95274001002312</v>
      </c>
      <c r="H41" s="58">
        <v>111.04281745874881</v>
      </c>
      <c r="I41" s="58">
        <v>88.865525567412377</v>
      </c>
      <c r="J41" s="45">
        <f t="shared" si="2"/>
        <v>56.809831163377517</v>
      </c>
      <c r="K41" s="13">
        <f t="shared" si="3"/>
        <v>349.85300644492935</v>
      </c>
      <c r="L41" s="58">
        <v>580.44223902845386</v>
      </c>
      <c r="M41" s="58">
        <v>850.35441711735723</v>
      </c>
      <c r="N41" s="58">
        <v>1858.0853241815566</v>
      </c>
      <c r="O41" s="58">
        <v>1148.7687088400721</v>
      </c>
      <c r="P41" s="58">
        <v>661.93686471926424</v>
      </c>
      <c r="Q41" s="45">
        <f t="shared" si="4"/>
        <v>578.51859688081117</v>
      </c>
      <c r="R41" s="13">
        <f t="shared" si="5"/>
        <v>802.58731238149994</v>
      </c>
      <c r="S41" s="58">
        <v>27.51200008392334</v>
      </c>
      <c r="T41" s="58">
        <v>14.224999994039536</v>
      </c>
      <c r="U41" s="58">
        <v>26.937000066041946</v>
      </c>
      <c r="V41" s="58">
        <v>33.564999967813492</v>
      </c>
      <c r="W41" s="58">
        <v>52.033999025821686</v>
      </c>
      <c r="X41" s="58">
        <v>162.38200077414513</v>
      </c>
      <c r="Y41" s="27"/>
      <c r="Z41" s="58">
        <v>7.7489997744560242</v>
      </c>
      <c r="AA41" s="58">
        <v>13.764000058174133</v>
      </c>
      <c r="AB41" s="58">
        <v>55.632000096142292</v>
      </c>
      <c r="AC41" s="58">
        <v>76.231999937444925</v>
      </c>
      <c r="AD41" s="58">
        <v>102.61600012332201</v>
      </c>
      <c r="AE41" s="58">
        <v>720.8170225918293</v>
      </c>
      <c r="AF41" s="41">
        <f t="shared" si="1"/>
        <v>1293.4650224931538</v>
      </c>
    </row>
    <row r="42" spans="1:32" ht="15" customHeight="1">
      <c r="A42" s="3">
        <v>35</v>
      </c>
      <c r="B42" s="8" t="s">
        <v>60</v>
      </c>
      <c r="C42" s="23" t="s">
        <v>149</v>
      </c>
      <c r="D42" s="41">
        <f t="shared" si="0"/>
        <v>376.00886262458783</v>
      </c>
      <c r="E42" s="57"/>
      <c r="F42" s="58">
        <v>17.218024551868439</v>
      </c>
      <c r="G42" s="58">
        <v>138.70015806055068</v>
      </c>
      <c r="H42" s="58">
        <v>97.362087442610417</v>
      </c>
      <c r="I42" s="58">
        <v>46.426713871479038</v>
      </c>
      <c r="J42" s="45">
        <f t="shared" si="2"/>
        <v>76.301878698079292</v>
      </c>
      <c r="K42" s="13">
        <f t="shared" si="3"/>
        <v>192.38030431221102</v>
      </c>
      <c r="L42" s="57"/>
      <c r="M42" s="57"/>
      <c r="N42" s="57"/>
      <c r="O42" s="57"/>
      <c r="P42" s="57"/>
      <c r="Q42" s="45" t="str">
        <f t="shared" si="4"/>
        <v/>
      </c>
      <c r="R42" s="13" t="str">
        <f t="shared" si="5"/>
        <v/>
      </c>
      <c r="S42" s="57"/>
      <c r="T42" s="58">
        <v>5.4229998588562012</v>
      </c>
      <c r="U42" s="58">
        <v>34.5819993019104</v>
      </c>
      <c r="V42" s="58">
        <v>44.823000457137823</v>
      </c>
      <c r="W42" s="58">
        <v>70.79700118303299</v>
      </c>
      <c r="X42" s="58">
        <v>396.62001248449087</v>
      </c>
      <c r="Y42" s="27"/>
      <c r="Z42" s="57"/>
      <c r="AA42" s="57"/>
      <c r="AB42" s="57"/>
      <c r="AC42" s="57"/>
      <c r="AD42" s="57"/>
      <c r="AE42" s="57"/>
      <c r="AF42" s="41">
        <f t="shared" si="1"/>
        <v>552.24501328542829</v>
      </c>
    </row>
    <row r="43" spans="1:32" ht="15" customHeight="1">
      <c r="A43" s="3">
        <v>36</v>
      </c>
      <c r="B43" s="8" t="s">
        <v>61</v>
      </c>
      <c r="C43" s="23" t="s">
        <v>149</v>
      </c>
      <c r="D43" s="41">
        <f t="shared" si="0"/>
        <v>1375.0200572325753</v>
      </c>
      <c r="E43" s="57"/>
      <c r="F43" s="58">
        <v>727.88294860219958</v>
      </c>
      <c r="G43" s="58">
        <v>58.28040579557419</v>
      </c>
      <c r="H43" s="58">
        <v>327.4800998532474</v>
      </c>
      <c r="I43" s="58">
        <v>123.6346414949894</v>
      </c>
      <c r="J43" s="45">
        <f t="shared" si="2"/>
        <v>137.74196148656472</v>
      </c>
      <c r="K43" s="13">
        <f t="shared" si="3"/>
        <v>264.77331508997867</v>
      </c>
      <c r="L43" s="57"/>
      <c r="M43" s="57"/>
      <c r="N43" s="57"/>
      <c r="O43" s="57"/>
      <c r="P43" s="57"/>
      <c r="Q43" s="45" t="str">
        <f t="shared" si="4"/>
        <v/>
      </c>
      <c r="R43" s="13" t="str">
        <f t="shared" si="5"/>
        <v/>
      </c>
      <c r="S43" s="57"/>
      <c r="T43" s="58">
        <v>52.378999590873718</v>
      </c>
      <c r="U43" s="58">
        <v>6.8070000410079956</v>
      </c>
      <c r="V43" s="58">
        <v>102.75499944388866</v>
      </c>
      <c r="W43" s="58">
        <v>113.07700002193451</v>
      </c>
      <c r="X43" s="58">
        <v>520.22599573433399</v>
      </c>
      <c r="Y43" s="27"/>
      <c r="Z43" s="57"/>
      <c r="AA43" s="57"/>
      <c r="AB43" s="57"/>
      <c r="AC43" s="57"/>
      <c r="AD43" s="57"/>
      <c r="AE43" s="57"/>
      <c r="AF43" s="41">
        <f t="shared" si="1"/>
        <v>795.24399483203888</v>
      </c>
    </row>
    <row r="44" spans="1:32" ht="15" customHeight="1">
      <c r="A44" s="3">
        <v>37</v>
      </c>
      <c r="B44" s="8" t="s">
        <v>62</v>
      </c>
      <c r="C44" s="23" t="s">
        <v>150</v>
      </c>
      <c r="D44" s="41">
        <f t="shared" si="0"/>
        <v>1485.0976697334486</v>
      </c>
      <c r="E44" s="58">
        <v>479.92429760694506</v>
      </c>
      <c r="F44" s="58">
        <v>150.10982792687417</v>
      </c>
      <c r="G44" s="58">
        <v>92.425378372669215</v>
      </c>
      <c r="H44" s="58">
        <v>0.15732000030577184</v>
      </c>
      <c r="I44" s="58">
        <v>60.756207936905327</v>
      </c>
      <c r="J44" s="45">
        <f t="shared" si="2"/>
        <v>42.707934763450147</v>
      </c>
      <c r="K44" s="13">
        <f t="shared" si="3"/>
        <v>222.25310296863532</v>
      </c>
      <c r="L44" s="57"/>
      <c r="M44" s="57"/>
      <c r="N44" s="58">
        <v>344.9067692735195</v>
      </c>
      <c r="O44" s="58">
        <v>167.39452177584172</v>
      </c>
      <c r="P44" s="58">
        <v>62.530739375874397</v>
      </c>
      <c r="Q44" s="45">
        <f t="shared" si="4"/>
        <v>84.184672701063405</v>
      </c>
      <c r="R44" s="13">
        <f t="shared" si="5"/>
        <v>569.93983332915116</v>
      </c>
      <c r="S44" s="58">
        <v>13.127999901771545</v>
      </c>
      <c r="T44" s="58">
        <v>14.970000296831131</v>
      </c>
      <c r="U44" s="58">
        <v>26.091000288724899</v>
      </c>
      <c r="V44" s="58">
        <v>0.18400000035762787</v>
      </c>
      <c r="W44" s="58">
        <v>73.537000231444836</v>
      </c>
      <c r="X44" s="58">
        <v>192.15900337498169</v>
      </c>
      <c r="Y44" s="27"/>
      <c r="Z44" s="57"/>
      <c r="AA44" s="57"/>
      <c r="AB44" s="58">
        <v>16.538999944925308</v>
      </c>
      <c r="AC44" s="58">
        <v>16.590000011026859</v>
      </c>
      <c r="AD44" s="58">
        <v>16.766000075265765</v>
      </c>
      <c r="AE44" s="58">
        <v>147.70799964852631</v>
      </c>
      <c r="AF44" s="41">
        <f t="shared" si="1"/>
        <v>517.67200377385598</v>
      </c>
    </row>
    <row r="45" spans="1:32" ht="15" customHeight="1">
      <c r="A45" s="3">
        <v>38</v>
      </c>
      <c r="B45" s="8" t="s">
        <v>63</v>
      </c>
      <c r="C45" s="23" t="s">
        <v>149</v>
      </c>
      <c r="D45" s="41">
        <f t="shared" si="0"/>
        <v>199.50494239968032</v>
      </c>
      <c r="E45" s="57"/>
      <c r="F45" s="58">
        <v>37.595312042891976</v>
      </c>
      <c r="G45" s="58">
        <v>28.724580168843268</v>
      </c>
      <c r="H45" s="58">
        <v>73.216931078940632</v>
      </c>
      <c r="I45" s="58">
        <v>26.056358047008516</v>
      </c>
      <c r="J45" s="45">
        <f t="shared" si="2"/>
        <v>33.911761061995939</v>
      </c>
      <c r="K45" s="13">
        <f t="shared" si="3"/>
        <v>155.85308548249537</v>
      </c>
      <c r="L45" s="57"/>
      <c r="M45" s="57"/>
      <c r="N45" s="57"/>
      <c r="O45" s="57"/>
      <c r="P45" s="57"/>
      <c r="Q45" s="45" t="str">
        <f t="shared" si="4"/>
        <v/>
      </c>
      <c r="R45" s="13" t="str">
        <f t="shared" si="5"/>
        <v/>
      </c>
      <c r="S45" s="57"/>
      <c r="T45" s="58">
        <v>8.1159999966621399</v>
      </c>
      <c r="U45" s="58">
        <v>25.109000504016876</v>
      </c>
      <c r="V45" s="58">
        <v>41.117999330163002</v>
      </c>
      <c r="W45" s="58">
        <v>55.656999558210373</v>
      </c>
      <c r="X45" s="58">
        <v>217.58799934573472</v>
      </c>
      <c r="Y45" s="27"/>
      <c r="Z45" s="57"/>
      <c r="AA45" s="57"/>
      <c r="AB45" s="57"/>
      <c r="AC45" s="57"/>
      <c r="AD45" s="57"/>
      <c r="AE45" s="57"/>
      <c r="AF45" s="41">
        <f t="shared" si="1"/>
        <v>347.58799873478711</v>
      </c>
    </row>
    <row r="46" spans="1:32" ht="15" customHeight="1">
      <c r="A46" s="3">
        <v>39</v>
      </c>
      <c r="B46" s="8" t="s">
        <v>64</v>
      </c>
      <c r="C46" s="23" t="s">
        <v>149</v>
      </c>
      <c r="D46" s="41">
        <f t="shared" si="0"/>
        <v>675.40162986188636</v>
      </c>
      <c r="E46" s="58">
        <v>474.00467201852797</v>
      </c>
      <c r="F46" s="58">
        <v>5.7525151052474977</v>
      </c>
      <c r="G46" s="57"/>
      <c r="H46" s="58">
        <v>152.51830344074963</v>
      </c>
      <c r="I46" s="58">
        <v>19.906218169033526</v>
      </c>
      <c r="J46" s="45">
        <f t="shared" si="2"/>
        <v>23.219921128327766</v>
      </c>
      <c r="K46" s="13">
        <f t="shared" si="3"/>
        <v>223.12043910710344</v>
      </c>
      <c r="L46" s="57"/>
      <c r="M46" s="57"/>
      <c r="N46" s="57"/>
      <c r="O46" s="57"/>
      <c r="P46" s="57"/>
      <c r="Q46" s="45" t="str">
        <f t="shared" si="4"/>
        <v/>
      </c>
      <c r="R46" s="13" t="str">
        <f t="shared" si="5"/>
        <v/>
      </c>
      <c r="S46" s="58">
        <v>16.457000017166138</v>
      </c>
      <c r="T46" s="58">
        <v>2.0850000381469727</v>
      </c>
      <c r="U46" s="57"/>
      <c r="V46" s="58">
        <v>46.729999512434006</v>
      </c>
      <c r="W46" s="58">
        <v>23.944000154733658</v>
      </c>
      <c r="X46" s="58">
        <v>104.0690006762743</v>
      </c>
      <c r="Y46" s="27"/>
      <c r="Z46" s="57"/>
      <c r="AA46" s="57"/>
      <c r="AB46" s="57"/>
      <c r="AC46" s="57"/>
      <c r="AD46" s="57"/>
      <c r="AE46" s="57"/>
      <c r="AF46" s="41">
        <f t="shared" si="1"/>
        <v>193.28500039875507</v>
      </c>
    </row>
    <row r="47" spans="1:32" ht="15" customHeight="1">
      <c r="A47" s="3">
        <v>40</v>
      </c>
      <c r="B47" s="8" t="s">
        <v>65</v>
      </c>
      <c r="C47" s="23" t="s">
        <v>149</v>
      </c>
      <c r="D47" s="41">
        <f t="shared" si="0"/>
        <v>413.71054500439885</v>
      </c>
      <c r="E47" s="57"/>
      <c r="F47" s="58">
        <v>217.71807524836063</v>
      </c>
      <c r="G47" s="58">
        <v>85.389636168003079</v>
      </c>
      <c r="H47" s="58">
        <v>14.982059871554375</v>
      </c>
      <c r="I47" s="58">
        <v>44.299361098289488</v>
      </c>
      <c r="J47" s="45">
        <f t="shared" si="2"/>
        <v>51.321412618191282</v>
      </c>
      <c r="K47" s="13">
        <f t="shared" si="3"/>
        <v>197.10500532862008</v>
      </c>
      <c r="L47" s="57"/>
      <c r="M47" s="57"/>
      <c r="N47" s="57"/>
      <c r="O47" s="57"/>
      <c r="P47" s="57"/>
      <c r="Q47" s="45" t="str">
        <f t="shared" si="4"/>
        <v/>
      </c>
      <c r="R47" s="13" t="str">
        <f t="shared" si="5"/>
        <v/>
      </c>
      <c r="S47" s="57"/>
      <c r="T47" s="58">
        <v>18.026999950408936</v>
      </c>
      <c r="U47" s="58">
        <v>27.816000044345856</v>
      </c>
      <c r="V47" s="58">
        <v>8.2739998698234558</v>
      </c>
      <c r="W47" s="58">
        <v>64.980000495910645</v>
      </c>
      <c r="X47" s="58">
        <v>260.37599873542786</v>
      </c>
      <c r="Y47" s="27"/>
      <c r="Z47" s="57"/>
      <c r="AA47" s="57"/>
      <c r="AB47" s="57"/>
      <c r="AC47" s="57"/>
      <c r="AD47" s="57"/>
      <c r="AE47" s="57"/>
      <c r="AF47" s="41">
        <f t="shared" si="1"/>
        <v>379.47299909591675</v>
      </c>
    </row>
    <row r="48" spans="1:32" ht="15" customHeight="1">
      <c r="A48" s="3">
        <v>41</v>
      </c>
      <c r="B48" s="8" t="s">
        <v>66</v>
      </c>
      <c r="C48" s="23" t="s">
        <v>149</v>
      </c>
      <c r="D48" s="41">
        <f t="shared" si="0"/>
        <v>1263.4956325478167</v>
      </c>
      <c r="E48" s="58">
        <v>901.23040786552428</v>
      </c>
      <c r="F48" s="57"/>
      <c r="G48" s="58">
        <v>84.980724420130258</v>
      </c>
      <c r="H48" s="58">
        <v>148.72573229783774</v>
      </c>
      <c r="I48" s="58">
        <v>47.138959696769717</v>
      </c>
      <c r="J48" s="45">
        <f t="shared" si="2"/>
        <v>81.419808267554885</v>
      </c>
      <c r="K48" s="13">
        <f t="shared" si="3"/>
        <v>260.97598230332693</v>
      </c>
      <c r="L48" s="57"/>
      <c r="M48" s="57"/>
      <c r="N48" s="57"/>
      <c r="O48" s="57"/>
      <c r="P48" s="57"/>
      <c r="Q48" s="45" t="str">
        <f t="shared" si="4"/>
        <v/>
      </c>
      <c r="R48" s="13" t="str">
        <f t="shared" si="5"/>
        <v/>
      </c>
      <c r="S48" s="58">
        <v>23.023999691009521</v>
      </c>
      <c r="T48" s="57"/>
      <c r="U48" s="58">
        <v>21.800999943166971</v>
      </c>
      <c r="V48" s="58">
        <v>61.490000441670418</v>
      </c>
      <c r="W48" s="58">
        <v>44.121999621391296</v>
      </c>
      <c r="X48" s="58">
        <v>311.98199753463268</v>
      </c>
      <c r="Y48" s="27"/>
      <c r="Z48" s="57"/>
      <c r="AA48" s="57"/>
      <c r="AB48" s="57"/>
      <c r="AC48" s="57"/>
      <c r="AD48" s="57"/>
      <c r="AE48" s="57"/>
      <c r="AF48" s="41">
        <f t="shared" si="1"/>
        <v>462.41899723187089</v>
      </c>
    </row>
    <row r="49" spans="1:32" ht="15" customHeight="1">
      <c r="A49" s="3">
        <v>42</v>
      </c>
      <c r="B49" s="8" t="s">
        <v>67</v>
      </c>
      <c r="C49" s="23" t="s">
        <v>150</v>
      </c>
      <c r="D49" s="41">
        <f t="shared" si="0"/>
        <v>1146.9696133728801</v>
      </c>
      <c r="E49" s="57"/>
      <c r="F49" s="58">
        <v>349.58731360435485</v>
      </c>
      <c r="G49" s="58">
        <v>49.811459411501886</v>
      </c>
      <c r="H49" s="58">
        <v>221.60893806526065</v>
      </c>
      <c r="I49" s="58">
        <v>112.56378702476621</v>
      </c>
      <c r="J49" s="45">
        <f t="shared" si="2"/>
        <v>135.49793679052243</v>
      </c>
      <c r="K49" s="13">
        <f t="shared" si="3"/>
        <v>185.40356537409934</v>
      </c>
      <c r="L49" s="57"/>
      <c r="M49" s="58">
        <v>44.630400419235229</v>
      </c>
      <c r="N49" s="58">
        <v>99.12609226626158</v>
      </c>
      <c r="O49" s="58">
        <v>62.146830919638276</v>
      </c>
      <c r="P49" s="58">
        <v>26.094008284822106</v>
      </c>
      <c r="Q49" s="45">
        <f t="shared" si="4"/>
        <v>45.902846586516823</v>
      </c>
      <c r="R49" s="13">
        <f t="shared" si="5"/>
        <v>565.57764384437689</v>
      </c>
      <c r="S49" s="57"/>
      <c r="T49" s="58">
        <v>42.857999801635742</v>
      </c>
      <c r="U49" s="58">
        <v>18.44599974155426</v>
      </c>
      <c r="V49" s="58">
        <v>113.16100014001131</v>
      </c>
      <c r="W49" s="58">
        <v>182.10500025749207</v>
      </c>
      <c r="X49" s="58">
        <v>730.82702868804336</v>
      </c>
      <c r="Y49" s="27"/>
      <c r="Z49" s="57"/>
      <c r="AA49" s="58">
        <v>3.4420000314712524</v>
      </c>
      <c r="AB49" s="58">
        <v>11.025999940931797</v>
      </c>
      <c r="AC49" s="58">
        <v>11.447999984025955</v>
      </c>
      <c r="AD49" s="58">
        <v>7.0830000936985016</v>
      </c>
      <c r="AE49" s="58">
        <v>81.160999000072479</v>
      </c>
      <c r="AF49" s="41">
        <f t="shared" si="1"/>
        <v>1201.5570276789367</v>
      </c>
    </row>
    <row r="50" spans="1:32" ht="15" customHeight="1">
      <c r="A50" s="3">
        <v>43</v>
      </c>
      <c r="B50" s="8" t="s">
        <v>68</v>
      </c>
      <c r="C50" s="23" t="s">
        <v>149</v>
      </c>
      <c r="D50" s="41">
        <f t="shared" si="0"/>
        <v>860.32295063975982</v>
      </c>
      <c r="E50" s="57"/>
      <c r="F50" s="58">
        <v>283.05894506335261</v>
      </c>
      <c r="G50" s="58">
        <v>49.014199303150178</v>
      </c>
      <c r="H50" s="58">
        <v>204.62148610883952</v>
      </c>
      <c r="I50" s="58">
        <v>58.403840007424357</v>
      </c>
      <c r="J50" s="45">
        <f t="shared" si="2"/>
        <v>113.74555938427594</v>
      </c>
      <c r="K50" s="13">
        <f t="shared" si="3"/>
        <v>180.23867040280879</v>
      </c>
      <c r="L50" s="57"/>
      <c r="M50" s="57"/>
      <c r="N50" s="57"/>
      <c r="O50" s="58">
        <v>120.97908130332827</v>
      </c>
      <c r="P50" s="58">
        <v>10.845754670143128</v>
      </c>
      <c r="Q50" s="45">
        <f t="shared" si="4"/>
        <v>19.654084799245734</v>
      </c>
      <c r="R50" s="13">
        <f t="shared" si="5"/>
        <v>427.25343554718262</v>
      </c>
      <c r="S50" s="57"/>
      <c r="T50" s="58">
        <v>31.215999841690063</v>
      </c>
      <c r="U50" s="58">
        <v>17.666999816894531</v>
      </c>
      <c r="V50" s="58">
        <v>112.62299886345863</v>
      </c>
      <c r="W50" s="58">
        <v>98.855999708175659</v>
      </c>
      <c r="X50" s="58">
        <v>631.08299195766449</v>
      </c>
      <c r="Y50" s="27"/>
      <c r="Z50" s="57"/>
      <c r="AA50" s="57"/>
      <c r="AB50" s="57"/>
      <c r="AC50" s="58">
        <v>14.719999931752682</v>
      </c>
      <c r="AD50" s="58">
        <v>4.6119998693466187</v>
      </c>
      <c r="AE50" s="58">
        <v>46.000998854637146</v>
      </c>
      <c r="AF50" s="41">
        <f t="shared" si="1"/>
        <v>956.77798884361982</v>
      </c>
    </row>
    <row r="51" spans="1:32" ht="15" customHeight="1">
      <c r="A51" s="3">
        <v>44</v>
      </c>
      <c r="B51" s="8" t="s">
        <v>69</v>
      </c>
      <c r="C51" s="23" t="s">
        <v>149</v>
      </c>
      <c r="D51" s="41">
        <f t="shared" si="0"/>
        <v>253.99348977598319</v>
      </c>
      <c r="E51" s="57"/>
      <c r="F51" s="58">
        <v>3.3149999999999999</v>
      </c>
      <c r="G51" s="58">
        <v>114.40911742207408</v>
      </c>
      <c r="H51" s="58">
        <v>56.938378818511964</v>
      </c>
      <c r="I51" s="58">
        <v>23.38115973562002</v>
      </c>
      <c r="J51" s="45">
        <f t="shared" si="2"/>
        <v>55.94983379977711</v>
      </c>
      <c r="K51" s="13">
        <f t="shared" si="3"/>
        <v>131.32869987385203</v>
      </c>
      <c r="L51" s="57"/>
      <c r="M51" s="57"/>
      <c r="N51" s="57"/>
      <c r="O51" s="57"/>
      <c r="P51" s="57"/>
      <c r="Q51" s="45" t="str">
        <f t="shared" si="4"/>
        <v/>
      </c>
      <c r="R51" s="13" t="str">
        <f t="shared" si="5"/>
        <v/>
      </c>
      <c r="S51" s="57"/>
      <c r="T51" s="58">
        <v>0.75</v>
      </c>
      <c r="U51" s="58">
        <v>30.800999790430069</v>
      </c>
      <c r="V51" s="58">
        <v>32.708999782800674</v>
      </c>
      <c r="W51" s="58">
        <v>65.686999380588531</v>
      </c>
      <c r="X51" s="58">
        <v>426.02899330854416</v>
      </c>
      <c r="Y51" s="27"/>
      <c r="Z51" s="57"/>
      <c r="AA51" s="57"/>
      <c r="AB51" s="57"/>
      <c r="AC51" s="57"/>
      <c r="AD51" s="57"/>
      <c r="AE51" s="57"/>
      <c r="AF51" s="41">
        <f t="shared" si="1"/>
        <v>555.97599226236343</v>
      </c>
    </row>
    <row r="52" spans="1:32" ht="15" customHeight="1">
      <c r="A52" s="3">
        <v>45</v>
      </c>
      <c r="B52" s="8" t="s">
        <v>70</v>
      </c>
      <c r="C52" s="23" t="s">
        <v>151</v>
      </c>
      <c r="D52" s="41">
        <f>SUM(E52:J52)+SUM(L52:Q52)</f>
        <v>910.20300922440174</v>
      </c>
      <c r="E52" s="57"/>
      <c r="F52" s="58">
        <v>240.96002927446366</v>
      </c>
      <c r="G52" s="58">
        <v>12.74</v>
      </c>
      <c r="H52" s="58">
        <v>98.407770213514567</v>
      </c>
      <c r="I52" s="58">
        <v>42.375938808441163</v>
      </c>
      <c r="J52" s="45">
        <f t="shared" si="2"/>
        <v>90.936215492048959</v>
      </c>
      <c r="K52" s="13">
        <f t="shared" si="3"/>
        <v>176.86949941273812</v>
      </c>
      <c r="L52" s="57"/>
      <c r="M52" s="57"/>
      <c r="N52" s="58">
        <v>217.89033024275304</v>
      </c>
      <c r="O52" s="58">
        <v>91.153476564910264</v>
      </c>
      <c r="P52" s="58">
        <v>42.766399908542631</v>
      </c>
      <c r="Q52" s="45">
        <f t="shared" si="4"/>
        <v>72.972848719727523</v>
      </c>
      <c r="R52" s="13">
        <f t="shared" si="5"/>
        <v>521.36124150269757</v>
      </c>
      <c r="S52" s="57"/>
      <c r="T52" s="58">
        <v>44.541999876499176</v>
      </c>
      <c r="U52" s="58">
        <v>2</v>
      </c>
      <c r="V52" s="58">
        <v>59.632999539375305</v>
      </c>
      <c r="W52" s="58">
        <v>73.925999522209167</v>
      </c>
      <c r="X52" s="58">
        <v>514.14300257526338</v>
      </c>
      <c r="Y52" s="27"/>
      <c r="Z52" s="57"/>
      <c r="AA52" s="57"/>
      <c r="AB52" s="58">
        <v>11.734000116586685</v>
      </c>
      <c r="AC52" s="58">
        <v>10.817999910563231</v>
      </c>
      <c r="AD52" s="58">
        <v>13.223999939858913</v>
      </c>
      <c r="AE52" s="58">
        <v>139.9660022854805</v>
      </c>
      <c r="AF52" s="41">
        <f t="shared" si="1"/>
        <v>869.98600376583636</v>
      </c>
    </row>
    <row r="53" spans="1:32" ht="15" customHeight="1">
      <c r="A53" s="3">
        <v>46</v>
      </c>
      <c r="B53" s="8" t="s">
        <v>71</v>
      </c>
      <c r="C53" s="23" t="s">
        <v>149</v>
      </c>
      <c r="D53" s="41">
        <f t="shared" si="0"/>
        <v>244.85038043367047</v>
      </c>
      <c r="E53" s="57"/>
      <c r="F53" s="58">
        <v>151.32866438342631</v>
      </c>
      <c r="G53" s="57"/>
      <c r="H53" s="58">
        <v>27.857964954376222</v>
      </c>
      <c r="I53" s="58">
        <v>25.298073914229871</v>
      </c>
      <c r="J53" s="45">
        <f t="shared" si="2"/>
        <v>40.365677181638063</v>
      </c>
      <c r="K53" s="13">
        <f t="shared" si="3"/>
        <v>158.02781888549819</v>
      </c>
      <c r="L53" s="57"/>
      <c r="M53" s="57"/>
      <c r="N53" s="57"/>
      <c r="O53" s="57"/>
      <c r="P53" s="57"/>
      <c r="Q53" s="45" t="str">
        <f t="shared" si="4"/>
        <v/>
      </c>
      <c r="R53" s="13" t="str">
        <f t="shared" si="5"/>
        <v/>
      </c>
      <c r="S53" s="57"/>
      <c r="T53" s="58">
        <v>18.752999946475029</v>
      </c>
      <c r="U53" s="57"/>
      <c r="V53" s="58">
        <v>17.431999921798706</v>
      </c>
      <c r="W53" s="58">
        <v>52.851999878883362</v>
      </c>
      <c r="X53" s="58">
        <v>255.43399552255869</v>
      </c>
      <c r="Y53" s="27"/>
      <c r="Z53" s="57"/>
      <c r="AA53" s="57"/>
      <c r="AB53" s="57"/>
      <c r="AC53" s="57"/>
      <c r="AD53" s="57"/>
      <c r="AE53" s="57"/>
      <c r="AF53" s="41">
        <f t="shared" si="1"/>
        <v>344.47099526971579</v>
      </c>
    </row>
    <row r="54" spans="1:32" ht="15" customHeight="1">
      <c r="A54" s="3">
        <v>47</v>
      </c>
      <c r="B54" s="8" t="s">
        <v>72</v>
      </c>
      <c r="C54" s="23" t="s">
        <v>150</v>
      </c>
      <c r="D54" s="41">
        <f t="shared" si="0"/>
        <v>3464.1759065461133</v>
      </c>
      <c r="E54" s="58">
        <v>870.97685953140262</v>
      </c>
      <c r="F54" s="58">
        <v>391.94899212133885</v>
      </c>
      <c r="G54" s="58">
        <v>56.207067768096927</v>
      </c>
      <c r="H54" s="58">
        <v>244.17200381344557</v>
      </c>
      <c r="I54" s="58">
        <v>129.81925589549542</v>
      </c>
      <c r="J54" s="45">
        <f t="shared" si="2"/>
        <v>182.36788847948642</v>
      </c>
      <c r="K54" s="13">
        <f t="shared" si="3"/>
        <v>276.15766069466531</v>
      </c>
      <c r="L54" s="58">
        <v>147.90828377008438</v>
      </c>
      <c r="M54" s="58">
        <v>24.462195957660676</v>
      </c>
      <c r="N54" s="58">
        <v>708.37411959260703</v>
      </c>
      <c r="O54" s="58">
        <v>389.70368151459098</v>
      </c>
      <c r="P54" s="58">
        <v>114.98079648785293</v>
      </c>
      <c r="Q54" s="45">
        <f t="shared" si="4"/>
        <v>203.25476161405123</v>
      </c>
      <c r="R54" s="13">
        <f t="shared" si="5"/>
        <v>524.19159615020556</v>
      </c>
      <c r="S54" s="58">
        <v>21.579000473022461</v>
      </c>
      <c r="T54" s="58">
        <v>37.768999993801117</v>
      </c>
      <c r="U54" s="58">
        <v>10.224999904632568</v>
      </c>
      <c r="V54" s="58">
        <v>83.937000632286072</v>
      </c>
      <c r="W54" s="58">
        <v>110.99700087308884</v>
      </c>
      <c r="X54" s="58">
        <v>660.37598964571953</v>
      </c>
      <c r="Y54" s="27"/>
      <c r="Z54" s="58">
        <v>3.0680000782012939</v>
      </c>
      <c r="AA54" s="58">
        <v>1.1019999980926514</v>
      </c>
      <c r="AB54" s="58">
        <v>32.739000082015991</v>
      </c>
      <c r="AC54" s="58">
        <v>42.42900001257658</v>
      </c>
      <c r="AD54" s="58">
        <v>35.246999740600586</v>
      </c>
      <c r="AE54" s="58">
        <v>387.74898931384087</v>
      </c>
      <c r="AF54" s="41">
        <f t="shared" si="1"/>
        <v>1427.2169807478786</v>
      </c>
    </row>
    <row r="55" spans="1:32" ht="15" customHeight="1">
      <c r="A55" s="3">
        <v>48</v>
      </c>
      <c r="B55" s="8" t="s">
        <v>73</v>
      </c>
      <c r="C55" s="23" t="s">
        <v>149</v>
      </c>
      <c r="D55" s="41">
        <f t="shared" si="0"/>
        <v>724.56923955295042</v>
      </c>
      <c r="E55" s="57"/>
      <c r="F55" s="58">
        <v>240.64650530219077</v>
      </c>
      <c r="G55" s="58">
        <v>136.74722477149965</v>
      </c>
      <c r="H55" s="58">
        <v>135.19838110701366</v>
      </c>
      <c r="I55" s="58">
        <v>99.212244478046898</v>
      </c>
      <c r="J55" s="45">
        <f t="shared" si="2"/>
        <v>112.76488389419933</v>
      </c>
      <c r="K55" s="13">
        <f t="shared" si="3"/>
        <v>292.47721349518633</v>
      </c>
      <c r="L55" s="57"/>
      <c r="M55" s="57"/>
      <c r="N55" s="57"/>
      <c r="O55" s="57"/>
      <c r="P55" s="57"/>
      <c r="Q55" s="45" t="str">
        <f t="shared" si="4"/>
        <v/>
      </c>
      <c r="R55" s="13" t="str">
        <f t="shared" si="5"/>
        <v/>
      </c>
      <c r="S55" s="57"/>
      <c r="T55" s="58">
        <v>39.182000458240509</v>
      </c>
      <c r="U55" s="58">
        <v>37.897000014781952</v>
      </c>
      <c r="V55" s="58">
        <v>59.81600059196353</v>
      </c>
      <c r="W55" s="58">
        <v>77.38000026345253</v>
      </c>
      <c r="X55" s="58">
        <v>385.55100599676371</v>
      </c>
      <c r="Y55" s="27"/>
      <c r="Z55" s="57"/>
      <c r="AA55" s="57"/>
      <c r="AB55" s="57"/>
      <c r="AC55" s="57"/>
      <c r="AD55" s="57"/>
      <c r="AE55" s="57"/>
      <c r="AF55" s="41">
        <f t="shared" si="1"/>
        <v>599.82600732520223</v>
      </c>
    </row>
    <row r="56" spans="1:32" ht="15" customHeight="1">
      <c r="A56" s="3">
        <v>49</v>
      </c>
      <c r="B56" s="8" t="s">
        <v>74</v>
      </c>
      <c r="C56" s="23" t="s">
        <v>150</v>
      </c>
      <c r="D56" s="41">
        <f t="shared" si="0"/>
        <v>377.83403208772057</v>
      </c>
      <c r="E56" s="57"/>
      <c r="F56" s="58">
        <v>58.935079489231107</v>
      </c>
      <c r="G56" s="58">
        <v>57.67644189167023</v>
      </c>
      <c r="H56" s="58">
        <v>75.837095861911777</v>
      </c>
      <c r="I56" s="58">
        <v>43.041791635513306</v>
      </c>
      <c r="J56" s="45">
        <f t="shared" si="2"/>
        <v>60.424399211434697</v>
      </c>
      <c r="K56" s="13">
        <f t="shared" si="3"/>
        <v>186.54342681863855</v>
      </c>
      <c r="L56" s="57"/>
      <c r="M56" s="57"/>
      <c r="N56" s="58">
        <v>27.396973999619483</v>
      </c>
      <c r="O56" s="58">
        <v>20.047902178227901</v>
      </c>
      <c r="P56" s="58">
        <v>19.363654155030847</v>
      </c>
      <c r="Q56" s="45">
        <f t="shared" si="4"/>
        <v>15.110693665081229</v>
      </c>
      <c r="R56" s="13">
        <f t="shared" si="5"/>
        <v>508.53783867697217</v>
      </c>
      <c r="S56" s="57"/>
      <c r="T56" s="58">
        <v>16.966999530792236</v>
      </c>
      <c r="U56" s="58">
        <v>9.16100013256073</v>
      </c>
      <c r="V56" s="58">
        <v>42.04200005531311</v>
      </c>
      <c r="W56" s="58">
        <v>68.952999353408813</v>
      </c>
      <c r="X56" s="58">
        <v>323.91599233448505</v>
      </c>
      <c r="Y56" s="27"/>
      <c r="Z56" s="57"/>
      <c r="AA56" s="57"/>
      <c r="AB56" s="58">
        <v>2.4490000009536743</v>
      </c>
      <c r="AC56" s="58">
        <v>3.4120000302791595</v>
      </c>
      <c r="AD56" s="58">
        <v>6.2310000285506248</v>
      </c>
      <c r="AE56" s="58">
        <v>29.714000642299652</v>
      </c>
      <c r="AF56" s="41">
        <f t="shared" si="1"/>
        <v>502.84499210864305</v>
      </c>
    </row>
    <row r="57" spans="1:32" ht="15" customHeight="1">
      <c r="A57" s="3">
        <v>50</v>
      </c>
      <c r="B57" s="8" t="s">
        <v>75</v>
      </c>
      <c r="C57" s="23" t="s">
        <v>149</v>
      </c>
      <c r="D57" s="41">
        <f t="shared" si="0"/>
        <v>1079.1663908299004</v>
      </c>
      <c r="E57" s="58">
        <v>716.92421870422368</v>
      </c>
      <c r="F57" s="57"/>
      <c r="G57" s="57"/>
      <c r="H57" s="58">
        <v>236.55443250602482</v>
      </c>
      <c r="I57" s="58">
        <v>50.332256824567914</v>
      </c>
      <c r="J57" s="45">
        <f t="shared" si="2"/>
        <v>75.355482795084001</v>
      </c>
      <c r="K57" s="13">
        <f t="shared" si="3"/>
        <v>151.90493690928915</v>
      </c>
      <c r="L57" s="57"/>
      <c r="M57" s="57"/>
      <c r="N57" s="57"/>
      <c r="O57" s="57"/>
      <c r="P57" s="57"/>
      <c r="Q57" s="45" t="str">
        <f t="shared" si="4"/>
        <v/>
      </c>
      <c r="R57" s="13" t="str">
        <f t="shared" si="5"/>
        <v/>
      </c>
      <c r="S57" s="58">
        <v>20.666000366210938</v>
      </c>
      <c r="T57" s="57"/>
      <c r="U57" s="57"/>
      <c r="V57" s="58">
        <v>113.73400038480759</v>
      </c>
      <c r="W57" s="58">
        <v>112.01799975335598</v>
      </c>
      <c r="X57" s="58">
        <v>496.07000488787889</v>
      </c>
      <c r="Y57" s="27"/>
      <c r="Z57" s="57"/>
      <c r="AA57" s="57"/>
      <c r="AB57" s="57"/>
      <c r="AC57" s="57"/>
      <c r="AD57" s="57"/>
      <c r="AE57" s="57"/>
      <c r="AF57" s="41">
        <f t="shared" si="1"/>
        <v>742.4880053922534</v>
      </c>
    </row>
    <row r="58" spans="1:32" ht="15" customHeight="1">
      <c r="A58" s="3">
        <v>51</v>
      </c>
      <c r="B58" s="8" t="s">
        <v>76</v>
      </c>
      <c r="C58" s="23" t="s">
        <v>151</v>
      </c>
      <c r="D58" s="41">
        <f t="shared" si="0"/>
        <v>1359.9539639060197</v>
      </c>
      <c r="E58" s="57"/>
      <c r="F58" s="58">
        <v>299.78446668457985</v>
      </c>
      <c r="G58" s="58">
        <v>103.65262006580829</v>
      </c>
      <c r="H58" s="58">
        <v>87.194026726365095</v>
      </c>
      <c r="I58" s="58">
        <v>51.512707255244258</v>
      </c>
      <c r="J58" s="45">
        <f t="shared" si="2"/>
        <v>93.143240974650837</v>
      </c>
      <c r="K58" s="13">
        <f t="shared" si="3"/>
        <v>194.01204084482708</v>
      </c>
      <c r="L58" s="57"/>
      <c r="M58" s="58">
        <v>107.48630206012726</v>
      </c>
      <c r="N58" s="58">
        <v>415.98533053576944</v>
      </c>
      <c r="O58" s="58">
        <v>107.92271309751273</v>
      </c>
      <c r="P58" s="58">
        <v>35.172493197605014</v>
      </c>
      <c r="Q58" s="45">
        <f t="shared" si="4"/>
        <v>58.100063308356908</v>
      </c>
      <c r="R58" s="13">
        <f t="shared" si="5"/>
        <v>444.41434304298264</v>
      </c>
      <c r="S58" s="57"/>
      <c r="T58" s="58">
        <v>34.055000841617584</v>
      </c>
      <c r="U58" s="58">
        <v>24.066000312566757</v>
      </c>
      <c r="V58" s="58">
        <v>29.076000183820724</v>
      </c>
      <c r="W58" s="58">
        <v>77.497999280691147</v>
      </c>
      <c r="X58" s="58">
        <v>480.09000147134066</v>
      </c>
      <c r="Y58" s="27"/>
      <c r="Z58" s="57"/>
      <c r="AA58" s="58">
        <v>4.4579999446868896</v>
      </c>
      <c r="AB58" s="58">
        <v>21.775000095367432</v>
      </c>
      <c r="AC58" s="58">
        <v>18.720999993383884</v>
      </c>
      <c r="AD58" s="58">
        <v>14.043000116944313</v>
      </c>
      <c r="AE58" s="58">
        <v>130.73399681597948</v>
      </c>
      <c r="AF58" s="41">
        <f t="shared" si="1"/>
        <v>834.51599905639887</v>
      </c>
    </row>
    <row r="59" spans="1:32" ht="15" customHeight="1">
      <c r="A59" s="3">
        <v>52</v>
      </c>
      <c r="B59" s="8" t="s">
        <v>77</v>
      </c>
      <c r="C59" s="23" t="s">
        <v>149</v>
      </c>
      <c r="D59" s="41">
        <f t="shared" si="0"/>
        <v>725.7128373660247</v>
      </c>
      <c r="E59" s="58">
        <v>416.06606141567232</v>
      </c>
      <c r="F59" s="57"/>
      <c r="G59" s="58">
        <v>100.01173808589577</v>
      </c>
      <c r="H59" s="58">
        <v>109.98597295942902</v>
      </c>
      <c r="I59" s="58">
        <v>53.906132631525395</v>
      </c>
      <c r="J59" s="45">
        <f t="shared" si="2"/>
        <v>45.742932273502333</v>
      </c>
      <c r="K59" s="13">
        <f t="shared" si="3"/>
        <v>172.10501563927758</v>
      </c>
      <c r="L59" s="57"/>
      <c r="M59" s="57"/>
      <c r="N59" s="57"/>
      <c r="O59" s="57"/>
      <c r="P59" s="57"/>
      <c r="Q59" s="45" t="str">
        <f t="shared" si="4"/>
        <v/>
      </c>
      <c r="R59" s="13" t="str">
        <f t="shared" si="5"/>
        <v/>
      </c>
      <c r="S59" s="58">
        <v>13.359000205993652</v>
      </c>
      <c r="T59" s="57"/>
      <c r="U59" s="58">
        <v>29.564999952912331</v>
      </c>
      <c r="V59" s="58">
        <v>51.885000303387642</v>
      </c>
      <c r="W59" s="58">
        <v>98.24199952185154</v>
      </c>
      <c r="X59" s="58">
        <v>265.78500401973724</v>
      </c>
      <c r="Y59" s="27"/>
      <c r="Z59" s="57"/>
      <c r="AA59" s="57"/>
      <c r="AB59" s="57"/>
      <c r="AC59" s="57"/>
      <c r="AD59" s="57"/>
      <c r="AE59" s="57"/>
      <c r="AF59" s="41">
        <f t="shared" si="1"/>
        <v>458.83600400388241</v>
      </c>
    </row>
    <row r="60" spans="1:32" ht="15" customHeight="1">
      <c r="A60" s="3">
        <v>53</v>
      </c>
      <c r="B60" s="8" t="s">
        <v>78</v>
      </c>
      <c r="C60" s="23" t="s">
        <v>149</v>
      </c>
      <c r="D60" s="41">
        <f t="shared" si="0"/>
        <v>166.82255688302868</v>
      </c>
      <c r="E60" s="57"/>
      <c r="F60" s="58">
        <v>68.15570552837849</v>
      </c>
      <c r="G60" s="58">
        <v>7.4460010979175566</v>
      </c>
      <c r="H60" s="58">
        <v>46.383865160465241</v>
      </c>
      <c r="I60" s="58">
        <v>13.599748121522367</v>
      </c>
      <c r="J60" s="45">
        <f t="shared" si="2"/>
        <v>31.237236974745031</v>
      </c>
      <c r="K60" s="13">
        <f t="shared" si="3"/>
        <v>111.21005851986223</v>
      </c>
      <c r="L60" s="57"/>
      <c r="M60" s="57"/>
      <c r="N60" s="57"/>
      <c r="O60" s="57"/>
      <c r="P60" s="57"/>
      <c r="Q60" s="45" t="str">
        <f t="shared" si="4"/>
        <v/>
      </c>
      <c r="R60" s="13" t="str">
        <f t="shared" si="5"/>
        <v/>
      </c>
      <c r="S60" s="57"/>
      <c r="T60" s="58">
        <v>20.013000249862671</v>
      </c>
      <c r="U60" s="58">
        <v>18.377000361680984</v>
      </c>
      <c r="V60" s="58">
        <v>45.560000419616699</v>
      </c>
      <c r="W60" s="58">
        <v>49.857000473886728</v>
      </c>
      <c r="X60" s="58">
        <v>280.88499718904495</v>
      </c>
      <c r="Y60" s="27"/>
      <c r="Z60" s="57"/>
      <c r="AA60" s="57"/>
      <c r="AB60" s="57"/>
      <c r="AC60" s="57"/>
      <c r="AD60" s="57"/>
      <c r="AE60" s="57"/>
      <c r="AF60" s="41">
        <f t="shared" si="1"/>
        <v>414.69199869409204</v>
      </c>
    </row>
    <row r="61" spans="1:32" ht="15" customHeight="1">
      <c r="A61" s="3">
        <v>54</v>
      </c>
      <c r="B61" s="8" t="s">
        <v>79</v>
      </c>
      <c r="C61" s="23" t="s">
        <v>150</v>
      </c>
      <c r="D61" s="41">
        <f t="shared" si="0"/>
        <v>1694.7365108241606</v>
      </c>
      <c r="E61" s="57"/>
      <c r="F61" s="58">
        <v>690.58230921447273</v>
      </c>
      <c r="G61" s="58">
        <v>83.635771344631905</v>
      </c>
      <c r="H61" s="58">
        <v>242.53320655456557</v>
      </c>
      <c r="I61" s="58">
        <v>101.65632310133428</v>
      </c>
      <c r="J61" s="45">
        <f t="shared" si="2"/>
        <v>156.7129040932719</v>
      </c>
      <c r="K61" s="13">
        <f t="shared" si="3"/>
        <v>252.51186886186716</v>
      </c>
      <c r="L61" s="57"/>
      <c r="M61" s="58">
        <v>52.964400815963742</v>
      </c>
      <c r="N61" s="57"/>
      <c r="O61" s="58">
        <v>221.06079314147308</v>
      </c>
      <c r="P61" s="58">
        <v>71.873780011713507</v>
      </c>
      <c r="Q61" s="45">
        <f t="shared" si="4"/>
        <v>73.717022546733872</v>
      </c>
      <c r="R61" s="13">
        <f t="shared" si="5"/>
        <v>593.48702113780905</v>
      </c>
      <c r="S61" s="57"/>
      <c r="T61" s="58">
        <v>46.648999154567719</v>
      </c>
      <c r="U61" s="58">
        <v>15.266000084578991</v>
      </c>
      <c r="V61" s="58">
        <v>93.298998959362507</v>
      </c>
      <c r="W61" s="58">
        <v>100.30600072070956</v>
      </c>
      <c r="X61" s="58">
        <v>620.61599242687225</v>
      </c>
      <c r="Y61" s="27"/>
      <c r="Z61" s="57"/>
      <c r="AA61" s="58">
        <v>1.9190000295639038</v>
      </c>
      <c r="AB61" s="57"/>
      <c r="AC61" s="58">
        <v>18.07800018042326</v>
      </c>
      <c r="AD61" s="58">
        <v>18.061999969184399</v>
      </c>
      <c r="AE61" s="58">
        <v>124.2099994122982</v>
      </c>
      <c r="AF61" s="41">
        <f t="shared" si="1"/>
        <v>1038.4049909375608</v>
      </c>
    </row>
    <row r="62" spans="1:32" ht="15" customHeight="1">
      <c r="A62" s="3">
        <v>55</v>
      </c>
      <c r="B62" s="8" t="s">
        <v>80</v>
      </c>
      <c r="C62" s="23" t="s">
        <v>149</v>
      </c>
      <c r="D62" s="41">
        <f t="shared" si="0"/>
        <v>279.49264004082136</v>
      </c>
      <c r="E62" s="57"/>
      <c r="F62" s="57"/>
      <c r="G62" s="58">
        <v>147.40974576377869</v>
      </c>
      <c r="H62" s="58">
        <v>36.77497488307953</v>
      </c>
      <c r="I62" s="58">
        <v>31.1683346606493</v>
      </c>
      <c r="J62" s="45">
        <f t="shared" si="2"/>
        <v>64.139584733313853</v>
      </c>
      <c r="K62" s="13">
        <f t="shared" si="3"/>
        <v>129.5539813598896</v>
      </c>
      <c r="L62" s="57"/>
      <c r="M62" s="57"/>
      <c r="N62" s="57"/>
      <c r="O62" s="57"/>
      <c r="P62" s="57"/>
      <c r="Q62" s="45" t="str">
        <f t="shared" si="4"/>
        <v/>
      </c>
      <c r="R62" s="13" t="str">
        <f t="shared" si="5"/>
        <v/>
      </c>
      <c r="S62" s="57"/>
      <c r="T62" s="57"/>
      <c r="U62" s="58">
        <v>42.096999645233154</v>
      </c>
      <c r="V62" s="58">
        <v>33.3580002784729</v>
      </c>
      <c r="W62" s="58">
        <v>89.491998910903931</v>
      </c>
      <c r="X62" s="58">
        <v>495.07999723404646</v>
      </c>
      <c r="Y62" s="27"/>
      <c r="Z62" s="57"/>
      <c r="AA62" s="57"/>
      <c r="AB62" s="57"/>
      <c r="AC62" s="57"/>
      <c r="AD62" s="57"/>
      <c r="AE62" s="57"/>
      <c r="AF62" s="41">
        <f t="shared" si="1"/>
        <v>660.02699606865644</v>
      </c>
    </row>
    <row r="63" spans="1:32" ht="15" customHeight="1">
      <c r="A63" s="3">
        <v>56</v>
      </c>
      <c r="B63" s="8" t="s">
        <v>81</v>
      </c>
      <c r="C63" s="23" t="s">
        <v>151</v>
      </c>
      <c r="D63" s="41">
        <f t="shared" si="0"/>
        <v>19313.472704324646</v>
      </c>
      <c r="E63" s="58">
        <v>277.18699812889099</v>
      </c>
      <c r="F63" s="58">
        <v>130.06570002734662</v>
      </c>
      <c r="G63" s="58">
        <v>96.130853226006025</v>
      </c>
      <c r="H63" s="58">
        <v>1.4284800720214843</v>
      </c>
      <c r="I63" s="58">
        <v>14.770756029880605</v>
      </c>
      <c r="J63" s="45">
        <f t="shared" si="2"/>
        <v>46.520194269273539</v>
      </c>
      <c r="K63" s="13">
        <f t="shared" si="3"/>
        <v>326.37276438078931</v>
      </c>
      <c r="L63" s="58">
        <v>8405.1542623467449</v>
      </c>
      <c r="M63" s="58">
        <v>537.60745142292978</v>
      </c>
      <c r="N63" s="58">
        <v>4195.3547557226275</v>
      </c>
      <c r="O63" s="58">
        <v>2339.8036870556398</v>
      </c>
      <c r="P63" s="58">
        <v>1348.403015007874</v>
      </c>
      <c r="Q63" s="45">
        <f t="shared" si="4"/>
        <v>1921.046551015414</v>
      </c>
      <c r="R63" s="13">
        <f t="shared" si="5"/>
        <v>762.24289761504997</v>
      </c>
      <c r="S63" s="58">
        <v>5.0859999656677246</v>
      </c>
      <c r="T63" s="58">
        <v>4.8779999911785126</v>
      </c>
      <c r="U63" s="58">
        <v>7.8929998129606247</v>
      </c>
      <c r="V63" s="58">
        <v>0.55800002813339233</v>
      </c>
      <c r="W63" s="58">
        <v>9.6659999629482627</v>
      </c>
      <c r="X63" s="58">
        <v>142.53699862957001</v>
      </c>
      <c r="Y63" s="27"/>
      <c r="Z63" s="58">
        <v>91.745000779628754</v>
      </c>
      <c r="AA63" s="58">
        <v>12.513000071048737</v>
      </c>
      <c r="AB63" s="58">
        <v>178.2680005133152</v>
      </c>
      <c r="AC63" s="58">
        <v>206.75199985317886</v>
      </c>
      <c r="AD63" s="58">
        <v>227.02200042363256</v>
      </c>
      <c r="AE63" s="58">
        <v>2520.2551011312753</v>
      </c>
      <c r="AF63" s="41">
        <f t="shared" si="1"/>
        <v>3407.1731011625379</v>
      </c>
    </row>
    <row r="64" spans="1:32" ht="15" customHeight="1">
      <c r="A64" s="3">
        <v>57</v>
      </c>
      <c r="B64" s="8" t="s">
        <v>82</v>
      </c>
      <c r="C64" s="23" t="s">
        <v>157</v>
      </c>
      <c r="D64" s="41">
        <f t="shared" si="0"/>
        <v>1005.5521290140937</v>
      </c>
      <c r="E64" s="57"/>
      <c r="F64" s="58">
        <v>190.40397068595885</v>
      </c>
      <c r="G64" s="58">
        <v>99.197860221266751</v>
      </c>
      <c r="H64" s="58">
        <v>91.626396738171579</v>
      </c>
      <c r="I64" s="58">
        <v>66.692555456638331</v>
      </c>
      <c r="J64" s="45">
        <f t="shared" si="2"/>
        <v>56.470533542537581</v>
      </c>
      <c r="K64" s="13">
        <f t="shared" si="3"/>
        <v>293.14478926057808</v>
      </c>
      <c r="L64" s="57"/>
      <c r="M64" s="57"/>
      <c r="N64" s="58">
        <v>235.2159310851097</v>
      </c>
      <c r="O64" s="58">
        <v>132.16016688656808</v>
      </c>
      <c r="P64" s="58">
        <v>46.542483495302498</v>
      </c>
      <c r="Q64" s="45">
        <f t="shared" si="4"/>
        <v>87.242230902540356</v>
      </c>
      <c r="R64" s="13">
        <f t="shared" si="5"/>
        <v>661.65783535038429</v>
      </c>
      <c r="S64" s="57"/>
      <c r="T64" s="58">
        <v>8.5429999828338623</v>
      </c>
      <c r="U64" s="58">
        <v>11.469999894499779</v>
      </c>
      <c r="V64" s="58">
        <v>25.722000181674957</v>
      </c>
      <c r="W64" s="58">
        <v>51.827000617980957</v>
      </c>
      <c r="X64" s="58">
        <v>192.63700263947248</v>
      </c>
      <c r="Y64" s="27"/>
      <c r="Z64" s="57"/>
      <c r="AA64" s="57"/>
      <c r="AB64" s="58">
        <v>7.8600001186132431</v>
      </c>
      <c r="AC64" s="58">
        <v>12.255999907851219</v>
      </c>
      <c r="AD64" s="58">
        <v>9.8279999326914549</v>
      </c>
      <c r="AE64" s="58">
        <v>131.85399800539017</v>
      </c>
      <c r="AF64" s="41">
        <f t="shared" si="1"/>
        <v>451.99700128100812</v>
      </c>
    </row>
    <row r="65" spans="1:32" ht="15" customHeight="1">
      <c r="A65" s="3">
        <v>58</v>
      </c>
      <c r="B65" s="8" t="s">
        <v>83</v>
      </c>
      <c r="C65" s="23" t="s">
        <v>149</v>
      </c>
      <c r="D65" s="41">
        <f t="shared" si="0"/>
        <v>610.63828689279705</v>
      </c>
      <c r="E65" s="57"/>
      <c r="F65" s="58">
        <v>263.19293616795539</v>
      </c>
      <c r="G65" s="58">
        <v>77.698075616776947</v>
      </c>
      <c r="H65" s="58">
        <v>147.66420312464237</v>
      </c>
      <c r="I65" s="58">
        <v>56.617636885881424</v>
      </c>
      <c r="J65" s="45">
        <f t="shared" si="2"/>
        <v>65.465435097541018</v>
      </c>
      <c r="K65" s="13">
        <f t="shared" si="3"/>
        <v>195.74115122797801</v>
      </c>
      <c r="L65" s="57"/>
      <c r="M65" s="57"/>
      <c r="N65" s="57"/>
      <c r="O65" s="57"/>
      <c r="P65" s="57"/>
      <c r="Q65" s="45" t="str">
        <f t="shared" si="4"/>
        <v/>
      </c>
      <c r="R65" s="13" t="str">
        <f t="shared" si="5"/>
        <v/>
      </c>
      <c r="S65" s="57"/>
      <c r="T65" s="58">
        <v>29.315000861883163</v>
      </c>
      <c r="U65" s="58">
        <v>9.5619998276233673</v>
      </c>
      <c r="V65" s="58">
        <v>49.248999565839767</v>
      </c>
      <c r="W65" s="58">
        <v>83.97699972987175</v>
      </c>
      <c r="X65" s="58">
        <v>334.44901435822248</v>
      </c>
      <c r="Y65" s="27"/>
      <c r="Z65" s="57"/>
      <c r="AA65" s="57"/>
      <c r="AB65" s="57"/>
      <c r="AC65" s="57"/>
      <c r="AD65" s="57"/>
      <c r="AE65" s="57"/>
      <c r="AF65" s="41">
        <f t="shared" si="1"/>
        <v>506.55201434344053</v>
      </c>
    </row>
    <row r="66" spans="1:32" ht="15" customHeight="1">
      <c r="A66" s="3">
        <v>59</v>
      </c>
      <c r="B66" s="8" t="s">
        <v>84</v>
      </c>
      <c r="C66" s="23" t="s">
        <v>151</v>
      </c>
      <c r="D66" s="41">
        <f t="shared" si="0"/>
        <v>4203.9892928790814</v>
      </c>
      <c r="E66" s="58">
        <v>151.81280565261841</v>
      </c>
      <c r="F66" s="57"/>
      <c r="G66" s="57"/>
      <c r="H66" s="58">
        <v>103.66013222789765</v>
      </c>
      <c r="I66" s="58">
        <v>9.9059770262241358</v>
      </c>
      <c r="J66" s="45">
        <f t="shared" si="2"/>
        <v>17.114050259804188</v>
      </c>
      <c r="K66" s="13">
        <f t="shared" si="3"/>
        <v>182.51288133308148</v>
      </c>
      <c r="L66" s="58">
        <v>2235.222930942416</v>
      </c>
      <c r="M66" s="57"/>
      <c r="N66" s="58">
        <v>513.73872394551336</v>
      </c>
      <c r="O66" s="58">
        <v>468.03474541009217</v>
      </c>
      <c r="P66" s="58">
        <v>343.4654893204272</v>
      </c>
      <c r="Q66" s="45">
        <f t="shared" si="4"/>
        <v>361.0344380940889</v>
      </c>
      <c r="R66" s="13">
        <f t="shared" si="5"/>
        <v>690.113839264018</v>
      </c>
      <c r="S66" s="58">
        <v>3.1760001182556152</v>
      </c>
      <c r="T66" s="57"/>
      <c r="U66" s="57"/>
      <c r="V66" s="58">
        <v>37.560999751091003</v>
      </c>
      <c r="W66" s="58">
        <v>16.434000015258789</v>
      </c>
      <c r="X66" s="58">
        <v>93.768999397754669</v>
      </c>
      <c r="Y66" s="27"/>
      <c r="Z66" s="58">
        <v>16.248000264167786</v>
      </c>
      <c r="AA66" s="57"/>
      <c r="AB66" s="58">
        <v>31.88900002092123</v>
      </c>
      <c r="AC66" s="58">
        <v>39.406999830156565</v>
      </c>
      <c r="AD66" s="58">
        <v>67.799999229609966</v>
      </c>
      <c r="AE66" s="58">
        <v>523.15200413763523</v>
      </c>
      <c r="AF66" s="41">
        <f t="shared" si="1"/>
        <v>829.43600276485085</v>
      </c>
    </row>
    <row r="67" spans="1:32" ht="15" customHeight="1">
      <c r="A67" s="3">
        <v>60</v>
      </c>
      <c r="B67" s="8" t="s">
        <v>85</v>
      </c>
      <c r="C67" s="23" t="s">
        <v>149</v>
      </c>
      <c r="D67" s="41">
        <f t="shared" si="0"/>
        <v>543.03362885657975</v>
      </c>
      <c r="E67" s="57"/>
      <c r="F67" s="58">
        <v>211.06571318364144</v>
      </c>
      <c r="G67" s="58">
        <v>75.805506360232826</v>
      </c>
      <c r="H67" s="58">
        <v>139.21605425721407</v>
      </c>
      <c r="I67" s="58">
        <v>64.847350158631798</v>
      </c>
      <c r="J67" s="45">
        <f t="shared" si="2"/>
        <v>52.099004896859611</v>
      </c>
      <c r="K67" s="13">
        <f t="shared" si="3"/>
        <v>206.42016582843823</v>
      </c>
      <c r="L67" s="57"/>
      <c r="M67" s="57"/>
      <c r="N67" s="57"/>
      <c r="O67" s="57"/>
      <c r="P67" s="57"/>
      <c r="Q67" s="45" t="str">
        <f t="shared" si="4"/>
        <v/>
      </c>
      <c r="R67" s="13" t="str">
        <f t="shared" si="5"/>
        <v/>
      </c>
      <c r="S67" s="57"/>
      <c r="T67" s="58">
        <v>29.422000288963318</v>
      </c>
      <c r="U67" s="58">
        <v>12.467999681830406</v>
      </c>
      <c r="V67" s="58">
        <v>69.541000694036484</v>
      </c>
      <c r="W67" s="58">
        <v>88.344000041484833</v>
      </c>
      <c r="X67" s="58">
        <v>252.39299991726875</v>
      </c>
      <c r="Y67" s="27"/>
      <c r="Z67" s="57"/>
      <c r="AA67" s="57"/>
      <c r="AB67" s="57"/>
      <c r="AC67" s="57"/>
      <c r="AD67" s="57"/>
      <c r="AE67" s="57"/>
      <c r="AF67" s="41">
        <f t="shared" si="1"/>
        <v>452.16800062358379</v>
      </c>
    </row>
    <row r="68" spans="1:32" ht="15" customHeight="1">
      <c r="A68" s="3">
        <v>61</v>
      </c>
      <c r="B68" s="8" t="s">
        <v>86</v>
      </c>
      <c r="C68" s="23" t="s">
        <v>150</v>
      </c>
      <c r="D68" s="41">
        <f t="shared" si="0"/>
        <v>846.747461028055</v>
      </c>
      <c r="E68" s="57"/>
      <c r="F68" s="58">
        <v>443.11762915897367</v>
      </c>
      <c r="G68" s="57"/>
      <c r="H68" s="58">
        <v>108.96665784680098</v>
      </c>
      <c r="I68" s="58">
        <v>112.42285111299157</v>
      </c>
      <c r="J68" s="45">
        <f t="shared" si="2"/>
        <v>142.37840582668207</v>
      </c>
      <c r="K68" s="13">
        <f t="shared" si="3"/>
        <v>264.85802175133904</v>
      </c>
      <c r="L68" s="57"/>
      <c r="M68" s="57"/>
      <c r="N68" s="58">
        <v>13.107099777460098</v>
      </c>
      <c r="O68" s="58">
        <v>17.532120079547166</v>
      </c>
      <c r="P68" s="58">
        <v>4.7796530820131302</v>
      </c>
      <c r="Q68" s="45">
        <f t="shared" si="4"/>
        <v>4.4430441435863619</v>
      </c>
      <c r="R68" s="13">
        <f t="shared" si="5"/>
        <v>382.23022332093973</v>
      </c>
      <c r="S68" s="57"/>
      <c r="T68" s="58">
        <v>29.559999942779541</v>
      </c>
      <c r="U68" s="57"/>
      <c r="V68" s="58">
        <v>54.403999380767345</v>
      </c>
      <c r="W68" s="58">
        <v>102.77000068128109</v>
      </c>
      <c r="X68" s="58">
        <v>537.56501270085573</v>
      </c>
      <c r="Y68" s="27"/>
      <c r="Z68" s="57"/>
      <c r="AA68" s="57"/>
      <c r="AB68" s="58">
        <v>0.54699999094009399</v>
      </c>
      <c r="AC68" s="58">
        <v>1.3130000084638596</v>
      </c>
      <c r="AD68" s="58">
        <v>2.42900001257658</v>
      </c>
      <c r="AE68" s="58">
        <v>11.624000072479248</v>
      </c>
      <c r="AF68" s="41">
        <f t="shared" si="1"/>
        <v>740.21201279014349</v>
      </c>
    </row>
    <row r="69" spans="1:32" ht="15" customHeight="1">
      <c r="A69" s="3">
        <v>62</v>
      </c>
      <c r="B69" s="8" t="s">
        <v>87</v>
      </c>
      <c r="C69" s="23" t="s">
        <v>149</v>
      </c>
      <c r="D69" s="41">
        <f t="shared" si="0"/>
        <v>539.20264711243226</v>
      </c>
      <c r="E69" s="58">
        <v>145.3030262351036</v>
      </c>
      <c r="F69" s="58">
        <v>125.2312792929411</v>
      </c>
      <c r="G69" s="58">
        <v>82.67761003892123</v>
      </c>
      <c r="H69" s="58">
        <v>56.225711565375327</v>
      </c>
      <c r="I69" s="58">
        <v>50.975778148949146</v>
      </c>
      <c r="J69" s="45">
        <f t="shared" si="2"/>
        <v>78.789241831141865</v>
      </c>
      <c r="K69" s="13">
        <f t="shared" si="3"/>
        <v>240.88307507929881</v>
      </c>
      <c r="L69" s="57"/>
      <c r="M69" s="57"/>
      <c r="N69" s="57"/>
      <c r="O69" s="57"/>
      <c r="P69" s="57"/>
      <c r="Q69" s="45" t="str">
        <f t="shared" si="4"/>
        <v/>
      </c>
      <c r="R69" s="13" t="str">
        <f t="shared" si="5"/>
        <v/>
      </c>
      <c r="S69" s="58">
        <v>4.0390000343322754</v>
      </c>
      <c r="T69" s="58">
        <v>16.254000216722488</v>
      </c>
      <c r="U69" s="58">
        <v>21.755999878048897</v>
      </c>
      <c r="V69" s="58">
        <v>32.571999654173851</v>
      </c>
      <c r="W69" s="58">
        <v>54.240999519824982</v>
      </c>
      <c r="X69" s="58">
        <v>327.08500505983829</v>
      </c>
      <c r="Y69" s="27"/>
      <c r="Z69" s="57"/>
      <c r="AA69" s="57"/>
      <c r="AB69" s="57"/>
      <c r="AC69" s="57"/>
      <c r="AD69" s="57"/>
      <c r="AE69" s="57"/>
      <c r="AF69" s="41">
        <f t="shared" si="1"/>
        <v>455.94700436294079</v>
      </c>
    </row>
    <row r="70" spans="1:32" ht="15" customHeight="1">
      <c r="A70" s="3">
        <v>63</v>
      </c>
      <c r="B70" s="8" t="s">
        <v>88</v>
      </c>
      <c r="C70" s="23" t="s">
        <v>150</v>
      </c>
      <c r="D70" s="41">
        <f t="shared" si="0"/>
        <v>2197.1132218357807</v>
      </c>
      <c r="E70" s="58">
        <v>619.13304877018925</v>
      </c>
      <c r="F70" s="58">
        <v>161.02414134144783</v>
      </c>
      <c r="G70" s="58">
        <v>56.444215676426886</v>
      </c>
      <c r="H70" s="58">
        <v>420.85870038121936</v>
      </c>
      <c r="I70" s="58">
        <v>101.53077524846792</v>
      </c>
      <c r="J70" s="45">
        <f t="shared" si="2"/>
        <v>222.37907914560682</v>
      </c>
      <c r="K70" s="13">
        <f t="shared" si="3"/>
        <v>275.74309371912676</v>
      </c>
      <c r="L70" s="58">
        <v>135.57699900865555</v>
      </c>
      <c r="M70" s="57"/>
      <c r="N70" s="58">
        <v>225.01142470860481</v>
      </c>
      <c r="O70" s="58">
        <v>180.42923162700237</v>
      </c>
      <c r="P70" s="58">
        <v>33.836201742857696</v>
      </c>
      <c r="Q70" s="45">
        <f t="shared" si="4"/>
        <v>40.889404185302183</v>
      </c>
      <c r="R70" s="13">
        <f t="shared" si="5"/>
        <v>533.44211649998806</v>
      </c>
      <c r="S70" s="58">
        <v>19.378000289201736</v>
      </c>
      <c r="T70" s="58">
        <v>16.228000104427338</v>
      </c>
      <c r="U70" s="58">
        <v>11.366999864578247</v>
      </c>
      <c r="V70" s="58">
        <v>88.954000100493431</v>
      </c>
      <c r="W70" s="58">
        <v>87.018999844789505</v>
      </c>
      <c r="X70" s="58">
        <v>806.4719813875854</v>
      </c>
      <c r="Y70" s="27"/>
      <c r="Z70" s="58">
        <v>3.4459999799728394</v>
      </c>
      <c r="AA70" s="57"/>
      <c r="AB70" s="58">
        <v>12.089999914169312</v>
      </c>
      <c r="AC70" s="58">
        <v>15.954999916255474</v>
      </c>
      <c r="AD70" s="58">
        <v>10.085999950766563</v>
      </c>
      <c r="AE70" s="58">
        <v>76.65199825912714</v>
      </c>
      <c r="AF70" s="41">
        <f t="shared" si="1"/>
        <v>1147.646979611367</v>
      </c>
    </row>
    <row r="71" spans="1:32" ht="15" customHeight="1">
      <c r="A71" s="3">
        <v>64</v>
      </c>
      <c r="B71" s="8" t="s">
        <v>89</v>
      </c>
      <c r="C71" s="23" t="s">
        <v>149</v>
      </c>
      <c r="D71" s="41">
        <f t="shared" si="0"/>
        <v>541.87169019173245</v>
      </c>
      <c r="E71" s="57"/>
      <c r="F71" s="58">
        <v>307.1409913663864</v>
      </c>
      <c r="G71" s="58">
        <v>27.859247694849969</v>
      </c>
      <c r="H71" s="58">
        <v>119.66292393209041</v>
      </c>
      <c r="I71" s="58">
        <v>27.04433332514763</v>
      </c>
      <c r="J71" s="45">
        <f t="shared" si="2"/>
        <v>60.164193873258057</v>
      </c>
      <c r="K71" s="13">
        <f t="shared" si="3"/>
        <v>140.8090664911546</v>
      </c>
      <c r="L71" s="57"/>
      <c r="M71" s="57"/>
      <c r="N71" s="57"/>
      <c r="O71" s="57"/>
      <c r="P71" s="57"/>
      <c r="Q71" s="45" t="str">
        <f t="shared" si="4"/>
        <v/>
      </c>
      <c r="R71" s="13" t="str">
        <f t="shared" si="5"/>
        <v/>
      </c>
      <c r="S71" s="57"/>
      <c r="T71" s="58">
        <v>34.273999691009521</v>
      </c>
      <c r="U71" s="58">
        <v>4.6079999655485153</v>
      </c>
      <c r="V71" s="58">
        <v>97.208001561462879</v>
      </c>
      <c r="W71" s="58">
        <v>67.958000421524048</v>
      </c>
      <c r="X71" s="58">
        <v>427.2749999165535</v>
      </c>
      <c r="Y71" s="27"/>
      <c r="Z71" s="57"/>
      <c r="AA71" s="57"/>
      <c r="AB71" s="57"/>
      <c r="AC71" s="57"/>
      <c r="AD71" s="57"/>
      <c r="AE71" s="57"/>
      <c r="AF71" s="41">
        <f t="shared" si="1"/>
        <v>631.32300155609846</v>
      </c>
    </row>
    <row r="72" spans="1:32" ht="15" customHeight="1">
      <c r="A72" s="3">
        <v>65</v>
      </c>
      <c r="B72" s="8" t="s">
        <v>90</v>
      </c>
      <c r="C72" s="23" t="s">
        <v>149</v>
      </c>
      <c r="D72" s="41">
        <f t="shared" ref="D72:D127" si="6">SUM(E72:J72)+SUM(L72:Q72)</f>
        <v>182.36884292689996</v>
      </c>
      <c r="E72" s="57"/>
      <c r="F72" s="57"/>
      <c r="G72" s="58">
        <v>60.155207604885099</v>
      </c>
      <c r="H72" s="58">
        <v>53.153377340316773</v>
      </c>
      <c r="I72" s="58">
        <v>19.42756801223755</v>
      </c>
      <c r="J72" s="45">
        <f t="shared" si="2"/>
        <v>49.632689969460543</v>
      </c>
      <c r="K72" s="13">
        <f t="shared" si="3"/>
        <v>142.70386472600379</v>
      </c>
      <c r="L72" s="57"/>
      <c r="M72" s="57"/>
      <c r="N72" s="57"/>
      <c r="O72" s="57"/>
      <c r="P72" s="57"/>
      <c r="Q72" s="45" t="str">
        <f t="shared" si="4"/>
        <v/>
      </c>
      <c r="R72" s="13" t="str">
        <f t="shared" si="5"/>
        <v/>
      </c>
      <c r="S72" s="57"/>
      <c r="T72" s="57"/>
      <c r="U72" s="58">
        <v>14.845000028610229</v>
      </c>
      <c r="V72" s="58">
        <v>39.103999376296997</v>
      </c>
      <c r="W72" s="58">
        <v>47.785000145435333</v>
      </c>
      <c r="X72" s="58">
        <v>347.8020028732717</v>
      </c>
      <c r="Y72" s="27"/>
      <c r="Z72" s="57"/>
      <c r="AA72" s="57"/>
      <c r="AB72" s="57"/>
      <c r="AC72" s="57"/>
      <c r="AD72" s="57"/>
      <c r="AE72" s="57"/>
      <c r="AF72" s="41">
        <f t="shared" ref="AF72:AF127" si="7">SUM(S72:AE72)</f>
        <v>449.53600242361426</v>
      </c>
    </row>
    <row r="73" spans="1:32" ht="15" customHeight="1">
      <c r="A73" s="3">
        <v>66</v>
      </c>
      <c r="B73" s="8" t="s">
        <v>91</v>
      </c>
      <c r="C73" s="23" t="s">
        <v>149</v>
      </c>
      <c r="D73" s="41">
        <f t="shared" si="6"/>
        <v>349.61469982280988</v>
      </c>
      <c r="E73" s="57"/>
      <c r="F73" s="58">
        <v>77.45733816623688</v>
      </c>
      <c r="G73" s="58">
        <v>89.443885825932028</v>
      </c>
      <c r="H73" s="58">
        <v>89.884218982458108</v>
      </c>
      <c r="I73" s="58">
        <v>31.886155008941888</v>
      </c>
      <c r="J73" s="45">
        <f t="shared" ref="J73:J127" si="8">IF(X73="","",X73*K73*0.001)</f>
        <v>60.943101839240981</v>
      </c>
      <c r="K73" s="13">
        <f t="shared" ref="K73:K127" si="9">IF(W73="","",3.3439*(1000*I73/W73)^0.6248)</f>
        <v>162.0516808022991</v>
      </c>
      <c r="L73" s="57"/>
      <c r="M73" s="57"/>
      <c r="N73" s="57"/>
      <c r="O73" s="57"/>
      <c r="P73" s="57"/>
      <c r="Q73" s="45" t="str">
        <f t="shared" ref="Q73:Q127" si="10">IF(AE73="","",AE73*R73*0.001)</f>
        <v/>
      </c>
      <c r="R73" s="13" t="str">
        <f t="shared" ref="R73:R127" si="11">IF(AD73="","",3.3439*(1000*P73/AD73)^0.6248)</f>
        <v/>
      </c>
      <c r="S73" s="57"/>
      <c r="T73" s="58">
        <v>15.096999645233154</v>
      </c>
      <c r="U73" s="58">
        <v>26.036999970674515</v>
      </c>
      <c r="V73" s="58">
        <v>56.48300039768219</v>
      </c>
      <c r="W73" s="58">
        <v>63.98800028860569</v>
      </c>
      <c r="X73" s="58">
        <v>376.07201318442822</v>
      </c>
      <c r="Y73" s="27"/>
      <c r="Z73" s="57"/>
      <c r="AA73" s="57"/>
      <c r="AB73" s="57"/>
      <c r="AC73" s="57"/>
      <c r="AD73" s="57"/>
      <c r="AE73" s="57"/>
      <c r="AF73" s="41">
        <f t="shared" si="7"/>
        <v>537.67701348662376</v>
      </c>
    </row>
    <row r="74" spans="1:32" ht="15" customHeight="1">
      <c r="A74" s="3">
        <v>67</v>
      </c>
      <c r="B74" s="8" t="s">
        <v>92</v>
      </c>
      <c r="C74" s="23" t="s">
        <v>149</v>
      </c>
      <c r="D74" s="41">
        <f t="shared" si="6"/>
        <v>692.39472459360434</v>
      </c>
      <c r="E74" s="57"/>
      <c r="F74" s="58">
        <v>304.99107219249009</v>
      </c>
      <c r="G74" s="57"/>
      <c r="H74" s="58">
        <v>213.20402441860736</v>
      </c>
      <c r="I74" s="58">
        <v>61.506009966135025</v>
      </c>
      <c r="J74" s="45">
        <f t="shared" si="8"/>
        <v>112.69361801637187</v>
      </c>
      <c r="K74" s="13">
        <f t="shared" si="9"/>
        <v>237.79790162973705</v>
      </c>
      <c r="L74" s="57"/>
      <c r="M74" s="57"/>
      <c r="N74" s="57"/>
      <c r="O74" s="57"/>
      <c r="P74" s="57"/>
      <c r="Q74" s="45" t="str">
        <f t="shared" si="10"/>
        <v/>
      </c>
      <c r="R74" s="13" t="str">
        <f t="shared" si="11"/>
        <v/>
      </c>
      <c r="S74" s="57"/>
      <c r="T74" s="58">
        <v>46.571000218391418</v>
      </c>
      <c r="U74" s="57"/>
      <c r="V74" s="58">
        <v>97.566000699996948</v>
      </c>
      <c r="W74" s="58">
        <v>66.809999912977219</v>
      </c>
      <c r="X74" s="58">
        <v>473.90501448512077</v>
      </c>
      <c r="Y74" s="27"/>
      <c r="Z74" s="57"/>
      <c r="AA74" s="57"/>
      <c r="AB74" s="57"/>
      <c r="AC74" s="57"/>
      <c r="AD74" s="57"/>
      <c r="AE74" s="57"/>
      <c r="AF74" s="41">
        <f t="shared" si="7"/>
        <v>684.85201531648636</v>
      </c>
    </row>
    <row r="75" spans="1:32" ht="15" customHeight="1">
      <c r="A75" s="3">
        <v>68</v>
      </c>
      <c r="B75" s="8" t="s">
        <v>93</v>
      </c>
      <c r="C75" s="23" t="s">
        <v>149</v>
      </c>
      <c r="D75" s="41">
        <f t="shared" si="6"/>
        <v>425.26845923600399</v>
      </c>
      <c r="E75" s="57"/>
      <c r="F75" s="58">
        <v>216.11762413024903</v>
      </c>
      <c r="G75" s="58">
        <v>23.174599629640579</v>
      </c>
      <c r="H75" s="58">
        <v>69.366470309972769</v>
      </c>
      <c r="I75" s="58">
        <v>50.654453931212423</v>
      </c>
      <c r="J75" s="45">
        <f t="shared" si="8"/>
        <v>65.955311234929269</v>
      </c>
      <c r="K75" s="13">
        <f t="shared" si="9"/>
        <v>176.42091180468736</v>
      </c>
      <c r="L75" s="57"/>
      <c r="M75" s="57"/>
      <c r="N75" s="57"/>
      <c r="O75" s="57"/>
      <c r="P75" s="57"/>
      <c r="Q75" s="45" t="str">
        <f t="shared" si="10"/>
        <v/>
      </c>
      <c r="R75" s="13" t="str">
        <f t="shared" si="11"/>
        <v/>
      </c>
      <c r="S75" s="57"/>
      <c r="T75" s="58">
        <v>44.263999938964844</v>
      </c>
      <c r="U75" s="58">
        <v>8.4709998667240143</v>
      </c>
      <c r="V75" s="58">
        <v>54.27500057220459</v>
      </c>
      <c r="W75" s="58">
        <v>88.727999538183212</v>
      </c>
      <c r="X75" s="58">
        <v>373.85200291872025</v>
      </c>
      <c r="Y75" s="27"/>
      <c r="Z75" s="57"/>
      <c r="AA75" s="57"/>
      <c r="AB75" s="57"/>
      <c r="AC75" s="57"/>
      <c r="AD75" s="57"/>
      <c r="AE75" s="57"/>
      <c r="AF75" s="41">
        <f t="shared" si="7"/>
        <v>569.59000283479691</v>
      </c>
    </row>
    <row r="76" spans="1:32" ht="15" customHeight="1">
      <c r="A76" s="3">
        <v>69</v>
      </c>
      <c r="B76" s="8" t="s">
        <v>94</v>
      </c>
      <c r="C76" s="23" t="s">
        <v>149</v>
      </c>
      <c r="D76" s="41">
        <f t="shared" si="6"/>
        <v>662.19626179052807</v>
      </c>
      <c r="E76" s="57"/>
      <c r="F76" s="58">
        <v>353.69020743441581</v>
      </c>
      <c r="G76" s="58">
        <v>62.201395127773282</v>
      </c>
      <c r="H76" s="58">
        <v>67.847270905911927</v>
      </c>
      <c r="I76" s="58">
        <v>82.741780628263953</v>
      </c>
      <c r="J76" s="45">
        <f t="shared" si="8"/>
        <v>95.715607694163083</v>
      </c>
      <c r="K76" s="13">
        <f t="shared" si="9"/>
        <v>214.10731604188908</v>
      </c>
      <c r="L76" s="57"/>
      <c r="M76" s="57"/>
      <c r="N76" s="57"/>
      <c r="O76" s="57"/>
      <c r="P76" s="57"/>
      <c r="Q76" s="45" t="str">
        <f t="shared" si="10"/>
        <v/>
      </c>
      <c r="R76" s="13" t="str">
        <f t="shared" si="11"/>
        <v/>
      </c>
      <c r="S76" s="57"/>
      <c r="T76" s="58">
        <v>38.135000586509705</v>
      </c>
      <c r="U76" s="58">
        <v>13.212999820709229</v>
      </c>
      <c r="V76" s="58">
        <v>34.560999810695648</v>
      </c>
      <c r="W76" s="58">
        <v>106.31499898433685</v>
      </c>
      <c r="X76" s="58">
        <v>447.04501211643219</v>
      </c>
      <c r="Y76" s="27"/>
      <c r="Z76" s="57"/>
      <c r="AA76" s="57"/>
      <c r="AB76" s="57"/>
      <c r="AC76" s="57"/>
      <c r="AD76" s="57"/>
      <c r="AE76" s="57"/>
      <c r="AF76" s="41">
        <f t="shared" si="7"/>
        <v>639.26901131868362</v>
      </c>
    </row>
    <row r="77" spans="1:32" ht="15" customHeight="1">
      <c r="A77" s="3">
        <v>70</v>
      </c>
      <c r="B77" s="8" t="s">
        <v>95</v>
      </c>
      <c r="C77" s="23" t="s">
        <v>149</v>
      </c>
      <c r="D77" s="41">
        <f t="shared" si="6"/>
        <v>375.18914753053531</v>
      </c>
      <c r="E77" s="58">
        <v>107.06908511352539</v>
      </c>
      <c r="F77" s="58">
        <v>132.06242726278305</v>
      </c>
      <c r="G77" s="58">
        <v>18.531354175448417</v>
      </c>
      <c r="H77" s="58">
        <v>36.925846467494964</v>
      </c>
      <c r="I77" s="58">
        <v>33.412388773441315</v>
      </c>
      <c r="J77" s="45">
        <f t="shared" si="8"/>
        <v>47.188045737842153</v>
      </c>
      <c r="K77" s="13">
        <f t="shared" si="9"/>
        <v>132.02555041722133</v>
      </c>
      <c r="L77" s="57"/>
      <c r="M77" s="57"/>
      <c r="N77" s="57"/>
      <c r="O77" s="57"/>
      <c r="P77" s="57"/>
      <c r="Q77" s="45" t="str">
        <f t="shared" si="10"/>
        <v/>
      </c>
      <c r="R77" s="13" t="str">
        <f t="shared" si="11"/>
        <v/>
      </c>
      <c r="S77" s="58">
        <v>4.5279998779296875</v>
      </c>
      <c r="T77" s="58">
        <v>29.059000492095947</v>
      </c>
      <c r="U77" s="58">
        <v>2.8540000319480896</v>
      </c>
      <c r="V77" s="58">
        <v>15.641000151634216</v>
      </c>
      <c r="W77" s="58">
        <v>93.07699990272522</v>
      </c>
      <c r="X77" s="58">
        <v>357.41601219400764</v>
      </c>
      <c r="Y77" s="27"/>
      <c r="Z77" s="57"/>
      <c r="AA77" s="57"/>
      <c r="AB77" s="57"/>
      <c r="AC77" s="57"/>
      <c r="AD77" s="57"/>
      <c r="AE77" s="57"/>
      <c r="AF77" s="41">
        <f t="shared" si="7"/>
        <v>502.5750126503408</v>
      </c>
    </row>
    <row r="78" spans="1:32" ht="15" customHeight="1">
      <c r="A78" s="3">
        <v>71</v>
      </c>
      <c r="B78" s="8" t="s">
        <v>96</v>
      </c>
      <c r="C78" s="23" t="s">
        <v>150</v>
      </c>
      <c r="D78" s="41">
        <f t="shared" si="6"/>
        <v>814.75255089432358</v>
      </c>
      <c r="E78" s="57"/>
      <c r="F78" s="58">
        <v>258.17501146721838</v>
      </c>
      <c r="G78" s="58">
        <v>83.655757035255434</v>
      </c>
      <c r="H78" s="58">
        <v>77.361179780900471</v>
      </c>
      <c r="I78" s="58">
        <v>97.306528665959831</v>
      </c>
      <c r="J78" s="45">
        <f t="shared" si="8"/>
        <v>132.30896898676247</v>
      </c>
      <c r="K78" s="13">
        <f t="shared" si="9"/>
        <v>211.47542856229558</v>
      </c>
      <c r="L78" s="57"/>
      <c r="M78" s="57"/>
      <c r="N78" s="58">
        <v>79.848586163103576</v>
      </c>
      <c r="O78" s="58">
        <v>58.795529143005609</v>
      </c>
      <c r="P78" s="58">
        <v>7.9829118865728379</v>
      </c>
      <c r="Q78" s="45">
        <f t="shared" si="10"/>
        <v>19.318077765544917</v>
      </c>
      <c r="R78" s="13">
        <f t="shared" si="11"/>
        <v>348.05465599213323</v>
      </c>
      <c r="S78" s="57"/>
      <c r="T78" s="58">
        <v>38.237000197172165</v>
      </c>
      <c r="U78" s="58">
        <v>21.776000261306763</v>
      </c>
      <c r="V78" s="58">
        <v>46.463001251220703</v>
      </c>
      <c r="W78" s="58">
        <v>127.52900087833405</v>
      </c>
      <c r="X78" s="58">
        <v>625.64700724929571</v>
      </c>
      <c r="Y78" s="27"/>
      <c r="Z78" s="57"/>
      <c r="AA78" s="57"/>
      <c r="AB78" s="58">
        <v>12.072999745607376</v>
      </c>
      <c r="AC78" s="58">
        <v>9.1870000213384628</v>
      </c>
      <c r="AD78" s="58">
        <v>4.7129999250173569</v>
      </c>
      <c r="AE78" s="58">
        <v>55.503000557422638</v>
      </c>
      <c r="AF78" s="41">
        <f t="shared" si="7"/>
        <v>941.12801008671522</v>
      </c>
    </row>
    <row r="79" spans="1:32" ht="15" customHeight="1">
      <c r="A79" s="3">
        <v>72</v>
      </c>
      <c r="B79" s="8" t="s">
        <v>97</v>
      </c>
      <c r="C79" s="23" t="s">
        <v>149</v>
      </c>
      <c r="D79" s="41">
        <f t="shared" si="6"/>
        <v>632.45842916999175</v>
      </c>
      <c r="E79" s="58">
        <v>369.16033814430239</v>
      </c>
      <c r="F79" s="58">
        <v>101.00923873853684</v>
      </c>
      <c r="G79" s="58">
        <v>35.428895087838171</v>
      </c>
      <c r="H79" s="58">
        <v>44.349674377799033</v>
      </c>
      <c r="I79" s="58">
        <v>26.623014593139292</v>
      </c>
      <c r="J79" s="45">
        <f t="shared" si="8"/>
        <v>55.887268228375973</v>
      </c>
      <c r="K79" s="13">
        <f t="shared" si="9"/>
        <v>165.22962518125345</v>
      </c>
      <c r="L79" s="57"/>
      <c r="M79" s="57"/>
      <c r="N79" s="57"/>
      <c r="O79" s="57"/>
      <c r="P79" s="57"/>
      <c r="Q79" s="45" t="str">
        <f t="shared" si="10"/>
        <v/>
      </c>
      <c r="R79" s="13" t="str">
        <f t="shared" si="11"/>
        <v/>
      </c>
      <c r="S79" s="58">
        <v>20.961999893188477</v>
      </c>
      <c r="T79" s="58">
        <v>16.749000325798988</v>
      </c>
      <c r="U79" s="58">
        <v>6.7890000343322754</v>
      </c>
      <c r="V79" s="58">
        <v>34.247000053524971</v>
      </c>
      <c r="W79" s="58">
        <v>51.790999338030815</v>
      </c>
      <c r="X79" s="58">
        <v>338.23999883234501</v>
      </c>
      <c r="Y79" s="27"/>
      <c r="Z79" s="57"/>
      <c r="AA79" s="57"/>
      <c r="AB79" s="57"/>
      <c r="AC79" s="57"/>
      <c r="AD79" s="57"/>
      <c r="AE79" s="57"/>
      <c r="AF79" s="41">
        <f t="shared" si="7"/>
        <v>468.77799847722054</v>
      </c>
    </row>
    <row r="80" spans="1:32" ht="15" customHeight="1">
      <c r="A80" s="3">
        <v>73</v>
      </c>
      <c r="B80" s="8" t="s">
        <v>98</v>
      </c>
      <c r="C80" s="23" t="s">
        <v>150</v>
      </c>
      <c r="D80" s="41">
        <f t="shared" si="6"/>
        <v>2064.3117139332871</v>
      </c>
      <c r="E80" s="58">
        <v>106.30679731369018</v>
      </c>
      <c r="F80" s="58">
        <v>195.39163625609874</v>
      </c>
      <c r="G80" s="58">
        <v>9.104240261912345</v>
      </c>
      <c r="H80" s="58">
        <v>122.59209434521198</v>
      </c>
      <c r="I80" s="58">
        <v>97.872526906885213</v>
      </c>
      <c r="J80" s="45">
        <f t="shared" si="8"/>
        <v>78.162046837824377</v>
      </c>
      <c r="K80" s="13">
        <f t="shared" si="9"/>
        <v>297.93837313770592</v>
      </c>
      <c r="L80" s="58">
        <v>439.86088903045652</v>
      </c>
      <c r="M80" s="57"/>
      <c r="N80" s="58">
        <v>441.6340280725658</v>
      </c>
      <c r="O80" s="58">
        <v>332.31319925127923</v>
      </c>
      <c r="P80" s="58">
        <v>80.251398327022784</v>
      </c>
      <c r="Q80" s="45">
        <f t="shared" si="10"/>
        <v>160.8228573303399</v>
      </c>
      <c r="R80" s="13">
        <f t="shared" si="11"/>
        <v>517.52465345497512</v>
      </c>
      <c r="S80" s="58">
        <v>4.0079998970031738</v>
      </c>
      <c r="T80" s="58">
        <v>16.715999752283096</v>
      </c>
      <c r="U80" s="58">
        <v>1.2680000364780426</v>
      </c>
      <c r="V80" s="58">
        <v>52.451999962329865</v>
      </c>
      <c r="W80" s="58">
        <v>74.107999421656132</v>
      </c>
      <c r="X80" s="58">
        <v>262.34300071746111</v>
      </c>
      <c r="Y80" s="27"/>
      <c r="Z80" s="58">
        <v>13.311999917030334</v>
      </c>
      <c r="AA80" s="57"/>
      <c r="AB80" s="58">
        <v>27.598999932408333</v>
      </c>
      <c r="AC80" s="58">
        <v>54.359999984502792</v>
      </c>
      <c r="AD80" s="58">
        <v>25.110000159591436</v>
      </c>
      <c r="AE80" s="58">
        <v>310.75400226190686</v>
      </c>
      <c r="AF80" s="41">
        <f t="shared" si="7"/>
        <v>842.03000204265118</v>
      </c>
    </row>
    <row r="81" spans="1:32" ht="15" customHeight="1">
      <c r="A81" s="3">
        <v>74</v>
      </c>
      <c r="B81" s="8" t="s">
        <v>99</v>
      </c>
      <c r="C81" s="23" t="s">
        <v>149</v>
      </c>
      <c r="D81" s="41">
        <f t="shared" si="6"/>
        <v>426.91408434908692</v>
      </c>
      <c r="E81" s="57"/>
      <c r="F81" s="58">
        <v>179.59111405396462</v>
      </c>
      <c r="G81" s="58">
        <v>15.627120100021362</v>
      </c>
      <c r="H81" s="58">
        <v>53.069331323266027</v>
      </c>
      <c r="I81" s="58">
        <v>74.774521184802055</v>
      </c>
      <c r="J81" s="45">
        <f t="shared" si="8"/>
        <v>103.85199768703285</v>
      </c>
      <c r="K81" s="13">
        <f t="shared" si="9"/>
        <v>201.68255607401318</v>
      </c>
      <c r="L81" s="57"/>
      <c r="M81" s="57"/>
      <c r="N81" s="57"/>
      <c r="O81" s="57"/>
      <c r="P81" s="57"/>
      <c r="Q81" s="45" t="str">
        <f t="shared" si="10"/>
        <v/>
      </c>
      <c r="R81" s="13" t="str">
        <f t="shared" si="11"/>
        <v/>
      </c>
      <c r="S81" s="57"/>
      <c r="T81" s="58">
        <v>22.252000331878662</v>
      </c>
      <c r="U81" s="58">
        <v>11.920000076293945</v>
      </c>
      <c r="V81" s="58">
        <v>25.736999869346619</v>
      </c>
      <c r="W81" s="58">
        <v>105.72499847412109</v>
      </c>
      <c r="X81" s="58">
        <v>514.92801216244698</v>
      </c>
      <c r="Y81" s="27"/>
      <c r="Z81" s="57"/>
      <c r="AA81" s="57"/>
      <c r="AB81" s="57"/>
      <c r="AC81" s="57"/>
      <c r="AD81" s="57"/>
      <c r="AE81" s="57"/>
      <c r="AF81" s="41">
        <f t="shared" si="7"/>
        <v>680.5620109140873</v>
      </c>
    </row>
    <row r="82" spans="1:32" ht="15" customHeight="1">
      <c r="A82" s="3">
        <v>75</v>
      </c>
      <c r="B82" s="8" t="s">
        <v>100</v>
      </c>
      <c r="C82" s="23" t="s">
        <v>149</v>
      </c>
      <c r="D82" s="41">
        <f t="shared" si="6"/>
        <v>280.86450296852917</v>
      </c>
      <c r="E82" s="57"/>
      <c r="F82" s="58">
        <v>64.380598745346063</v>
      </c>
      <c r="G82" s="57"/>
      <c r="H82" s="58">
        <v>138.38494129055738</v>
      </c>
      <c r="I82" s="58">
        <v>29.926483944892883</v>
      </c>
      <c r="J82" s="45">
        <f t="shared" si="8"/>
        <v>48.172478987732838</v>
      </c>
      <c r="K82" s="13">
        <f t="shared" si="9"/>
        <v>163.3125942738526</v>
      </c>
      <c r="L82" s="57"/>
      <c r="M82" s="57"/>
      <c r="N82" s="57"/>
      <c r="O82" s="57"/>
      <c r="P82" s="57"/>
      <c r="Q82" s="45" t="str">
        <f t="shared" si="10"/>
        <v/>
      </c>
      <c r="R82" s="13" t="str">
        <f t="shared" si="11"/>
        <v/>
      </c>
      <c r="S82" s="57"/>
      <c r="T82" s="58">
        <v>11.572999954223633</v>
      </c>
      <c r="U82" s="57"/>
      <c r="V82" s="58">
        <v>68.654000148177147</v>
      </c>
      <c r="W82" s="58">
        <v>59.315000057220459</v>
      </c>
      <c r="X82" s="58">
        <v>294.97099842131138</v>
      </c>
      <c r="Y82" s="27"/>
      <c r="Z82" s="57"/>
      <c r="AA82" s="57"/>
      <c r="AB82" s="57"/>
      <c r="AC82" s="57"/>
      <c r="AD82" s="57"/>
      <c r="AE82" s="57"/>
      <c r="AF82" s="41">
        <f t="shared" si="7"/>
        <v>434.51299858093262</v>
      </c>
    </row>
    <row r="83" spans="1:32" ht="15" customHeight="1">
      <c r="A83" s="3">
        <v>76</v>
      </c>
      <c r="B83" s="8" t="s">
        <v>101</v>
      </c>
      <c r="C83" s="23" t="s">
        <v>150</v>
      </c>
      <c r="D83" s="41">
        <f t="shared" si="6"/>
        <v>2734.8315985649979</v>
      </c>
      <c r="E83" s="58">
        <v>844.42726489830022</v>
      </c>
      <c r="F83" s="58">
        <v>37.719539265632598</v>
      </c>
      <c r="G83" s="58">
        <v>268.68756521821024</v>
      </c>
      <c r="H83" s="58">
        <v>75.238163845300676</v>
      </c>
      <c r="I83" s="58">
        <v>102.95194980549812</v>
      </c>
      <c r="J83" s="45">
        <f t="shared" si="8"/>
        <v>130.32515078305309</v>
      </c>
      <c r="K83" s="13">
        <f t="shared" si="9"/>
        <v>276.44646101151068</v>
      </c>
      <c r="L83" s="58">
        <v>431.36181032371519</v>
      </c>
      <c r="M83" s="57"/>
      <c r="N83" s="58">
        <v>339.13023094007372</v>
      </c>
      <c r="O83" s="58">
        <v>263.5340610188544</v>
      </c>
      <c r="P83" s="58">
        <v>90.233557198820634</v>
      </c>
      <c r="Q83" s="45">
        <f t="shared" si="10"/>
        <v>151.22230526753924</v>
      </c>
      <c r="R83" s="13">
        <f t="shared" si="11"/>
        <v>683.23433275788125</v>
      </c>
      <c r="S83" s="58">
        <v>15.372999906539917</v>
      </c>
      <c r="T83" s="58">
        <v>6.0739998817443848</v>
      </c>
      <c r="U83" s="58">
        <v>37.831000208854675</v>
      </c>
      <c r="V83" s="58">
        <v>35.031000018119812</v>
      </c>
      <c r="W83" s="58">
        <v>87.878001034259796</v>
      </c>
      <c r="X83" s="58">
        <v>471.42998433113098</v>
      </c>
      <c r="Y83" s="27"/>
      <c r="Z83" s="58">
        <v>8.9219998121261597</v>
      </c>
      <c r="AA83" s="57"/>
      <c r="AB83" s="58">
        <v>19.309999912977219</v>
      </c>
      <c r="AC83" s="58">
        <v>26.828999944031239</v>
      </c>
      <c r="AD83" s="58">
        <v>18.100000100210309</v>
      </c>
      <c r="AE83" s="58">
        <v>221.3330010175705</v>
      </c>
      <c r="AF83" s="41">
        <f t="shared" si="7"/>
        <v>948.11098616756499</v>
      </c>
    </row>
    <row r="84" spans="1:32" ht="15" customHeight="1">
      <c r="A84" s="3">
        <v>77</v>
      </c>
      <c r="B84" s="8" t="s">
        <v>102</v>
      </c>
      <c r="C84" s="23" t="s">
        <v>149</v>
      </c>
      <c r="D84" s="41">
        <f t="shared" si="6"/>
        <v>388.76036179076544</v>
      </c>
      <c r="E84" s="57"/>
      <c r="F84" s="58">
        <v>160.35594101405144</v>
      </c>
      <c r="G84" s="58">
        <v>45.99365926218033</v>
      </c>
      <c r="H84" s="58">
        <v>92.271345425605773</v>
      </c>
      <c r="I84" s="58">
        <v>35.293860002040866</v>
      </c>
      <c r="J84" s="45">
        <f t="shared" si="8"/>
        <v>54.845556086887086</v>
      </c>
      <c r="K84" s="13">
        <f t="shared" si="9"/>
        <v>165.36780802822125</v>
      </c>
      <c r="L84" s="57"/>
      <c r="M84" s="57"/>
      <c r="N84" s="57"/>
      <c r="O84" s="57"/>
      <c r="P84" s="57"/>
      <c r="Q84" s="45" t="str">
        <f t="shared" si="10"/>
        <v/>
      </c>
      <c r="R84" s="13" t="str">
        <f t="shared" si="11"/>
        <v/>
      </c>
      <c r="S84" s="57"/>
      <c r="T84" s="58">
        <v>25.448999878019094</v>
      </c>
      <c r="U84" s="58">
        <v>12.485999971628189</v>
      </c>
      <c r="V84" s="58">
        <v>64.966001152992249</v>
      </c>
      <c r="W84" s="58">
        <v>68.567000299692154</v>
      </c>
      <c r="X84" s="58">
        <v>331.6579976528883</v>
      </c>
      <c r="Y84" s="27"/>
      <c r="Z84" s="57"/>
      <c r="AA84" s="57"/>
      <c r="AB84" s="57"/>
      <c r="AC84" s="57"/>
      <c r="AD84" s="57"/>
      <c r="AE84" s="57"/>
      <c r="AF84" s="41">
        <f t="shared" si="7"/>
        <v>503.12599895521998</v>
      </c>
    </row>
    <row r="85" spans="1:32" ht="15" customHeight="1">
      <c r="A85" s="3">
        <v>78</v>
      </c>
      <c r="B85" s="8" t="s">
        <v>103</v>
      </c>
      <c r="C85" s="23" t="s">
        <v>150</v>
      </c>
      <c r="D85" s="41">
        <f t="shared" si="6"/>
        <v>465.52825932828245</v>
      </c>
      <c r="E85" s="57"/>
      <c r="F85" s="58">
        <v>119.04773648858071</v>
      </c>
      <c r="G85" s="58">
        <v>29.568672369718552</v>
      </c>
      <c r="H85" s="58">
        <v>92.513688359260556</v>
      </c>
      <c r="I85" s="58">
        <v>57.878909550011159</v>
      </c>
      <c r="J85" s="45">
        <f t="shared" si="8"/>
        <v>60.929996413753244</v>
      </c>
      <c r="K85" s="13">
        <f t="shared" si="9"/>
        <v>201.81509079786247</v>
      </c>
      <c r="L85" s="57"/>
      <c r="M85" s="57"/>
      <c r="N85" s="58">
        <v>1.4663800489902497</v>
      </c>
      <c r="O85" s="58">
        <v>84.436903480887409</v>
      </c>
      <c r="P85" s="58">
        <v>8.8629518521428103</v>
      </c>
      <c r="Q85" s="45">
        <f t="shared" si="10"/>
        <v>10.823020764937784</v>
      </c>
      <c r="R85" s="13">
        <f t="shared" si="11"/>
        <v>404.67453630818329</v>
      </c>
      <c r="S85" s="57"/>
      <c r="T85" s="58">
        <v>15.27399954199791</v>
      </c>
      <c r="U85" s="58">
        <v>10.660000130534172</v>
      </c>
      <c r="V85" s="58">
        <v>56.923000454902649</v>
      </c>
      <c r="W85" s="58">
        <v>81.749999701976776</v>
      </c>
      <c r="X85" s="58">
        <v>301.91001164913177</v>
      </c>
      <c r="Y85" s="27"/>
      <c r="Z85" s="57"/>
      <c r="AA85" s="57"/>
      <c r="AB85" s="58">
        <v>0.15700000524520874</v>
      </c>
      <c r="AC85" s="58">
        <v>10.587000072002411</v>
      </c>
      <c r="AD85" s="58">
        <v>4.1109999716281891</v>
      </c>
      <c r="AE85" s="58">
        <v>26.745000720024109</v>
      </c>
      <c r="AF85" s="41">
        <f t="shared" si="7"/>
        <v>508.1170122474432</v>
      </c>
    </row>
    <row r="86" spans="1:32" ht="15" customHeight="1">
      <c r="A86" s="3">
        <v>79</v>
      </c>
      <c r="B86" s="8" t="s">
        <v>104</v>
      </c>
      <c r="C86" s="23" t="s">
        <v>149</v>
      </c>
      <c r="D86" s="41">
        <f t="shared" si="6"/>
        <v>1241.4882064501005</v>
      </c>
      <c r="E86" s="58">
        <v>289.37309565544126</v>
      </c>
      <c r="F86" s="58">
        <v>544.11111295366288</v>
      </c>
      <c r="G86" s="58">
        <v>66.054268760681154</v>
      </c>
      <c r="H86" s="58">
        <v>164.12610230910406</v>
      </c>
      <c r="I86" s="58">
        <v>35.313464012384415</v>
      </c>
      <c r="J86" s="45">
        <f t="shared" si="8"/>
        <v>142.51016275882662</v>
      </c>
      <c r="K86" s="13">
        <f t="shared" si="9"/>
        <v>220.96038121858254</v>
      </c>
      <c r="L86" s="57"/>
      <c r="M86" s="57"/>
      <c r="N86" s="57"/>
      <c r="O86" s="57"/>
      <c r="P86" s="57"/>
      <c r="Q86" s="45" t="str">
        <f t="shared" si="10"/>
        <v/>
      </c>
      <c r="R86" s="13" t="str">
        <f t="shared" si="11"/>
        <v/>
      </c>
      <c r="S86" s="58">
        <v>12.031999826431274</v>
      </c>
      <c r="T86" s="58">
        <v>73.944999545812607</v>
      </c>
      <c r="U86" s="58">
        <v>19.885000228881836</v>
      </c>
      <c r="V86" s="58">
        <v>48.339000556617975</v>
      </c>
      <c r="W86" s="58">
        <v>43.143000364303589</v>
      </c>
      <c r="X86" s="58">
        <v>644.95798736810684</v>
      </c>
      <c r="Y86" s="27"/>
      <c r="Z86" s="57"/>
      <c r="AA86" s="57"/>
      <c r="AB86" s="57"/>
      <c r="AC86" s="57"/>
      <c r="AD86" s="57"/>
      <c r="AE86" s="57"/>
      <c r="AF86" s="41">
        <f t="shared" si="7"/>
        <v>842.30198789015412</v>
      </c>
    </row>
    <row r="87" spans="1:32" ht="15" customHeight="1">
      <c r="A87" s="3">
        <v>80</v>
      </c>
      <c r="B87" s="8" t="s">
        <v>105</v>
      </c>
      <c r="C87" s="23" t="s">
        <v>149</v>
      </c>
      <c r="D87" s="41">
        <f t="shared" si="6"/>
        <v>301.5814501404534</v>
      </c>
      <c r="E87" s="57"/>
      <c r="F87" s="58">
        <v>85.076860309600832</v>
      </c>
      <c r="G87" s="58">
        <v>65.23669064807892</v>
      </c>
      <c r="H87" s="58">
        <v>66.701915516138072</v>
      </c>
      <c r="I87" s="58">
        <v>45.358942328929899</v>
      </c>
      <c r="J87" s="45">
        <f t="shared" si="8"/>
        <v>39.207041337705704</v>
      </c>
      <c r="K87" s="13">
        <f t="shared" si="9"/>
        <v>259.42077988652068</v>
      </c>
      <c r="L87" s="57"/>
      <c r="M87" s="57"/>
      <c r="N87" s="57"/>
      <c r="O87" s="57"/>
      <c r="P87" s="57"/>
      <c r="Q87" s="45" t="str">
        <f t="shared" si="10"/>
        <v/>
      </c>
      <c r="R87" s="13" t="str">
        <f t="shared" si="11"/>
        <v/>
      </c>
      <c r="S87" s="57"/>
      <c r="T87" s="58">
        <v>17.724000096321106</v>
      </c>
      <c r="U87" s="58">
        <v>10.245999485254288</v>
      </c>
      <c r="V87" s="58">
        <v>44.532999634742737</v>
      </c>
      <c r="W87" s="58">
        <v>42.863999366760254</v>
      </c>
      <c r="X87" s="58">
        <v>151.13300235569477</v>
      </c>
      <c r="Y87" s="27"/>
      <c r="Z87" s="57"/>
      <c r="AA87" s="57"/>
      <c r="AB87" s="57"/>
      <c r="AC87" s="57"/>
      <c r="AD87" s="57"/>
      <c r="AE87" s="57"/>
      <c r="AF87" s="41">
        <f t="shared" si="7"/>
        <v>266.50000093877316</v>
      </c>
    </row>
    <row r="88" spans="1:32" ht="15" customHeight="1">
      <c r="A88" s="3">
        <v>81</v>
      </c>
      <c r="B88" s="8" t="s">
        <v>106</v>
      </c>
      <c r="C88" s="23" t="s">
        <v>150</v>
      </c>
      <c r="D88" s="41">
        <f t="shared" si="6"/>
        <v>592.34853465529977</v>
      </c>
      <c r="E88" s="57"/>
      <c r="F88" s="58">
        <v>158.77082793140411</v>
      </c>
      <c r="G88" s="58">
        <v>46.696224913597106</v>
      </c>
      <c r="H88" s="58">
        <v>41.053986055150631</v>
      </c>
      <c r="I88" s="58">
        <v>34.975768956542012</v>
      </c>
      <c r="J88" s="45">
        <f t="shared" si="8"/>
        <v>32.091774797791466</v>
      </c>
      <c r="K88" s="13">
        <f t="shared" si="9"/>
        <v>159.33951373337467</v>
      </c>
      <c r="L88" s="57"/>
      <c r="M88" s="57"/>
      <c r="N88" s="58">
        <v>133.5877794240713</v>
      </c>
      <c r="O88" s="58">
        <v>98.485279575794934</v>
      </c>
      <c r="P88" s="58">
        <v>13.508503946423531</v>
      </c>
      <c r="Q88" s="45">
        <f t="shared" si="10"/>
        <v>33.178389054524644</v>
      </c>
      <c r="R88" s="13">
        <f t="shared" si="11"/>
        <v>444.02439017175317</v>
      </c>
      <c r="S88" s="57"/>
      <c r="T88" s="58">
        <v>24.629000067710876</v>
      </c>
      <c r="U88" s="58">
        <v>8.366999626159668</v>
      </c>
      <c r="V88" s="58">
        <v>29.793000027537346</v>
      </c>
      <c r="W88" s="58">
        <v>72.10999983549118</v>
      </c>
      <c r="X88" s="58">
        <v>201.40500021539629</v>
      </c>
      <c r="Y88" s="27"/>
      <c r="Z88" s="57"/>
      <c r="AA88" s="57"/>
      <c r="AB88" s="58">
        <v>12.66499987244606</v>
      </c>
      <c r="AC88" s="58">
        <v>15.14099994301796</v>
      </c>
      <c r="AD88" s="58">
        <v>5.4010000228881836</v>
      </c>
      <c r="AE88" s="58">
        <v>74.721996784210205</v>
      </c>
      <c r="AF88" s="41">
        <f t="shared" si="7"/>
        <v>444.23299639485776</v>
      </c>
    </row>
    <row r="89" spans="1:32" ht="15" customHeight="1">
      <c r="A89" s="3">
        <v>82</v>
      </c>
      <c r="B89" s="8" t="s">
        <v>107</v>
      </c>
      <c r="C89" s="23" t="s">
        <v>150</v>
      </c>
      <c r="D89" s="41">
        <f t="shared" si="6"/>
        <v>640.10425662017246</v>
      </c>
      <c r="E89" s="57"/>
      <c r="F89" s="58">
        <v>85.059483110666278</v>
      </c>
      <c r="G89" s="58">
        <v>133.14287126463651</v>
      </c>
      <c r="H89" s="58">
        <v>185.99995680403708</v>
      </c>
      <c r="I89" s="58">
        <v>64.850094955474134</v>
      </c>
      <c r="J89" s="45">
        <f t="shared" si="8"/>
        <v>90.058864518429743</v>
      </c>
      <c r="K89" s="13">
        <f t="shared" si="9"/>
        <v>224.31773791026168</v>
      </c>
      <c r="L89" s="57"/>
      <c r="M89" s="57"/>
      <c r="N89" s="58">
        <v>71.977939045310023</v>
      </c>
      <c r="O89" s="57"/>
      <c r="P89" s="57"/>
      <c r="Q89" s="49">
        <f>IF(AE89="","",AE89*R54*0.001)</f>
        <v>9.015046921618632</v>
      </c>
      <c r="R89" s="13" t="str">
        <f t="shared" si="11"/>
        <v/>
      </c>
      <c r="S89" s="57"/>
      <c r="T89" s="58">
        <v>14.068999886512756</v>
      </c>
      <c r="U89" s="58">
        <v>20.430000275373459</v>
      </c>
      <c r="V89" s="58">
        <v>61.455000281333923</v>
      </c>
      <c r="W89" s="58">
        <v>77.33900061249733</v>
      </c>
      <c r="X89" s="58">
        <v>401.47901524603367</v>
      </c>
      <c r="Y89" s="27"/>
      <c r="Z89" s="57"/>
      <c r="AA89" s="57"/>
      <c r="AB89" s="58">
        <v>4.3970000445842743</v>
      </c>
      <c r="AC89" s="57"/>
      <c r="AD89" s="57"/>
      <c r="AE89" s="58">
        <v>17.197999715805054</v>
      </c>
      <c r="AF89" s="41">
        <f t="shared" si="7"/>
        <v>596.36701606214046</v>
      </c>
    </row>
    <row r="90" spans="1:32" ht="15" customHeight="1">
      <c r="A90" s="3">
        <v>83</v>
      </c>
      <c r="B90" s="8" t="s">
        <v>108</v>
      </c>
      <c r="C90" s="23" t="s">
        <v>149</v>
      </c>
      <c r="D90" s="41">
        <f t="shared" si="6"/>
        <v>149.04195687509599</v>
      </c>
      <c r="E90" s="57"/>
      <c r="F90" s="57"/>
      <c r="G90" s="58">
        <v>63.180984082698821</v>
      </c>
      <c r="H90" s="58">
        <v>35.828111025810244</v>
      </c>
      <c r="I90" s="58">
        <v>18.618413613915443</v>
      </c>
      <c r="J90" s="45">
        <f t="shared" si="8"/>
        <v>31.414448152671511</v>
      </c>
      <c r="K90" s="13">
        <f t="shared" si="9"/>
        <v>154.3381381072374</v>
      </c>
      <c r="L90" s="57"/>
      <c r="M90" s="57"/>
      <c r="N90" s="57"/>
      <c r="O90" s="57"/>
      <c r="P90" s="57"/>
      <c r="Q90" s="45" t="str">
        <f t="shared" si="10"/>
        <v/>
      </c>
      <c r="R90" s="13" t="str">
        <f t="shared" si="11"/>
        <v/>
      </c>
      <c r="S90" s="57"/>
      <c r="T90" s="57"/>
      <c r="U90" s="58">
        <v>19.386000633239746</v>
      </c>
      <c r="V90" s="58">
        <v>41.960999757051468</v>
      </c>
      <c r="W90" s="58">
        <v>40.395999670028687</v>
      </c>
      <c r="X90" s="58">
        <v>203.54300329089165</v>
      </c>
      <c r="Y90" s="27"/>
      <c r="Z90" s="57"/>
      <c r="AA90" s="57"/>
      <c r="AB90" s="57"/>
      <c r="AC90" s="57"/>
      <c r="AD90" s="57"/>
      <c r="AE90" s="57"/>
      <c r="AF90" s="41">
        <f t="shared" si="7"/>
        <v>305.28600335121155</v>
      </c>
    </row>
    <row r="91" spans="1:32" ht="15" customHeight="1">
      <c r="A91" s="3">
        <v>84</v>
      </c>
      <c r="B91" s="8" t="s">
        <v>109</v>
      </c>
      <c r="C91" s="23" t="s">
        <v>150</v>
      </c>
      <c r="D91" s="41">
        <f t="shared" si="6"/>
        <v>590.75841870220188</v>
      </c>
      <c r="E91" s="57"/>
      <c r="F91" s="58">
        <v>277.83400708794596</v>
      </c>
      <c r="G91" s="58">
        <v>45.486629450023173</v>
      </c>
      <c r="H91" s="58">
        <v>49.557517974443734</v>
      </c>
      <c r="I91" s="58">
        <v>36.060828661918642</v>
      </c>
      <c r="J91" s="45">
        <f t="shared" si="8"/>
        <v>61.076737735037796</v>
      </c>
      <c r="K91" s="13">
        <f t="shared" si="9"/>
        <v>212.90811643308615</v>
      </c>
      <c r="L91" s="57"/>
      <c r="M91" s="57"/>
      <c r="N91" s="58">
        <v>67.222824653804295</v>
      </c>
      <c r="O91" s="58">
        <v>10.455534194797277</v>
      </c>
      <c r="P91" s="58">
        <v>19.210917960464954</v>
      </c>
      <c r="Q91" s="45">
        <f t="shared" si="10"/>
        <v>23.853420983766107</v>
      </c>
      <c r="R91" s="13">
        <f t="shared" si="11"/>
        <v>484.95375322368722</v>
      </c>
      <c r="S91" s="57"/>
      <c r="T91" s="58">
        <v>21.650999486446381</v>
      </c>
      <c r="U91" s="58">
        <v>17.757999837398529</v>
      </c>
      <c r="V91" s="58">
        <v>24.517999988049269</v>
      </c>
      <c r="W91" s="58">
        <v>46.753000870347023</v>
      </c>
      <c r="X91" s="58">
        <v>286.8689966276288</v>
      </c>
      <c r="Y91" s="27"/>
      <c r="Z91" s="57"/>
      <c r="AA91" s="57"/>
      <c r="AB91" s="58">
        <v>5.378000020980835</v>
      </c>
      <c r="AC91" s="58">
        <v>2.5760000497102737</v>
      </c>
      <c r="AD91" s="58">
        <v>6.6699999794363976</v>
      </c>
      <c r="AE91" s="58">
        <v>49.187001492828131</v>
      </c>
      <c r="AF91" s="41">
        <f t="shared" si="7"/>
        <v>461.35999835282564</v>
      </c>
    </row>
    <row r="92" spans="1:32" ht="15" customHeight="1">
      <c r="A92" s="3">
        <v>85</v>
      </c>
      <c r="B92" s="8" t="s">
        <v>110</v>
      </c>
      <c r="C92" s="23" t="s">
        <v>149</v>
      </c>
      <c r="D92" s="41">
        <f t="shared" si="6"/>
        <v>330.3219302962442</v>
      </c>
      <c r="E92" s="57"/>
      <c r="F92" s="58">
        <v>71.762350702285772</v>
      </c>
      <c r="G92" s="58">
        <v>38.485218376874926</v>
      </c>
      <c r="H92" s="58">
        <v>114.629695951581</v>
      </c>
      <c r="I92" s="58">
        <v>35.764482055082915</v>
      </c>
      <c r="J92" s="45">
        <f t="shared" si="8"/>
        <v>69.6801832104196</v>
      </c>
      <c r="K92" s="13">
        <f t="shared" si="9"/>
        <v>166.06652256850205</v>
      </c>
      <c r="L92" s="57"/>
      <c r="M92" s="57"/>
      <c r="N92" s="57"/>
      <c r="O92" s="57"/>
      <c r="P92" s="57"/>
      <c r="Q92" s="45" t="str">
        <f t="shared" si="10"/>
        <v/>
      </c>
      <c r="R92" s="13" t="str">
        <f t="shared" si="11"/>
        <v/>
      </c>
      <c r="S92" s="57"/>
      <c r="T92" s="58">
        <v>13.802000045776367</v>
      </c>
      <c r="U92" s="58">
        <v>11.719000101089478</v>
      </c>
      <c r="V92" s="58">
        <v>55.031000405550003</v>
      </c>
      <c r="W92" s="58">
        <v>69.013999864459038</v>
      </c>
      <c r="X92" s="58">
        <v>419.59199321269989</v>
      </c>
      <c r="Y92" s="27"/>
      <c r="Z92" s="57"/>
      <c r="AA92" s="57"/>
      <c r="AB92" s="57"/>
      <c r="AC92" s="57"/>
      <c r="AD92" s="57"/>
      <c r="AE92" s="57"/>
      <c r="AF92" s="41">
        <f t="shared" si="7"/>
        <v>569.15799362957478</v>
      </c>
    </row>
    <row r="93" spans="1:32" ht="15" customHeight="1">
      <c r="A93" s="3">
        <v>86</v>
      </c>
      <c r="B93" s="8" t="s">
        <v>111</v>
      </c>
      <c r="C93" s="23" t="s">
        <v>149</v>
      </c>
      <c r="D93" s="41">
        <f t="shared" si="6"/>
        <v>309.02106795093476</v>
      </c>
      <c r="E93" s="57"/>
      <c r="F93" s="57"/>
      <c r="G93" s="57"/>
      <c r="H93" s="58">
        <v>116.84249888364971</v>
      </c>
      <c r="I93" s="58">
        <v>85.864877780050037</v>
      </c>
      <c r="J93" s="45">
        <f t="shared" si="8"/>
        <v>106.31369128723505</v>
      </c>
      <c r="K93" s="13">
        <f t="shared" si="9"/>
        <v>235.41665812770825</v>
      </c>
      <c r="L93" s="57"/>
      <c r="M93" s="57"/>
      <c r="N93" s="57"/>
      <c r="O93" s="57"/>
      <c r="P93" s="57"/>
      <c r="Q93" s="45" t="str">
        <f t="shared" si="10"/>
        <v/>
      </c>
      <c r="R93" s="13" t="str">
        <f t="shared" si="11"/>
        <v/>
      </c>
      <c r="S93" s="57"/>
      <c r="T93" s="57"/>
      <c r="U93" s="57"/>
      <c r="V93" s="58">
        <v>46.907999612390995</v>
      </c>
      <c r="W93" s="58">
        <v>94.784000724554062</v>
      </c>
      <c r="X93" s="58">
        <v>451.59799706935883</v>
      </c>
      <c r="Y93" s="27"/>
      <c r="Z93" s="57"/>
      <c r="AA93" s="57"/>
      <c r="AB93" s="57"/>
      <c r="AC93" s="57"/>
      <c r="AD93" s="57"/>
      <c r="AE93" s="57"/>
      <c r="AF93" s="41">
        <f t="shared" si="7"/>
        <v>593.28999740630388</v>
      </c>
    </row>
    <row r="94" spans="1:32" ht="15" customHeight="1">
      <c r="A94" s="3">
        <v>87</v>
      </c>
      <c r="B94" s="8" t="s">
        <v>112</v>
      </c>
      <c r="C94" s="23" t="s">
        <v>150</v>
      </c>
      <c r="D94" s="41">
        <f t="shared" si="6"/>
        <v>780.15327483247734</v>
      </c>
      <c r="E94" s="58">
        <v>249.12478783607483</v>
      </c>
      <c r="F94" s="57"/>
      <c r="G94" s="58">
        <v>198.05575107598304</v>
      </c>
      <c r="H94" s="58">
        <v>58.524461002230645</v>
      </c>
      <c r="I94" s="58">
        <v>28.679926966905594</v>
      </c>
      <c r="J94" s="45">
        <f t="shared" si="8"/>
        <v>42.148973331470891</v>
      </c>
      <c r="K94" s="13">
        <f t="shared" si="9"/>
        <v>234.02445323558453</v>
      </c>
      <c r="L94" s="57"/>
      <c r="M94" s="57"/>
      <c r="N94" s="58">
        <v>69.02437599778176</v>
      </c>
      <c r="O94" s="58">
        <v>99.434150160819286</v>
      </c>
      <c r="P94" s="58">
        <v>15.544661003615706</v>
      </c>
      <c r="Q94" s="45">
        <f t="shared" si="10"/>
        <v>19.616187457595615</v>
      </c>
      <c r="R94" s="13">
        <f t="shared" si="11"/>
        <v>377.87385832413764</v>
      </c>
      <c r="S94" s="58">
        <v>11.38700008392334</v>
      </c>
      <c r="T94" s="57"/>
      <c r="U94" s="58">
        <v>32.875000238418579</v>
      </c>
      <c r="V94" s="58">
        <v>21.333999663591385</v>
      </c>
      <c r="W94" s="58">
        <v>31.961000204086304</v>
      </c>
      <c r="X94" s="58">
        <v>180.10499650239944</v>
      </c>
      <c r="Y94" s="27"/>
      <c r="Z94" s="57"/>
      <c r="AA94" s="57"/>
      <c r="AB94" s="58">
        <v>4.4709999859333038</v>
      </c>
      <c r="AC94" s="58">
        <v>11.99299992620945</v>
      </c>
      <c r="AD94" s="58">
        <v>8.046000000089407</v>
      </c>
      <c r="AE94" s="58">
        <v>51.911999270319939</v>
      </c>
      <c r="AF94" s="41">
        <f t="shared" si="7"/>
        <v>354.08399587497115</v>
      </c>
    </row>
    <row r="95" spans="1:32" ht="15" customHeight="1">
      <c r="A95" s="3">
        <v>88</v>
      </c>
      <c r="B95" s="8" t="s">
        <v>113</v>
      </c>
      <c r="C95" s="23" t="s">
        <v>149</v>
      </c>
      <c r="D95" s="41">
        <f t="shared" si="6"/>
        <v>408.67703468489407</v>
      </c>
      <c r="E95" s="57"/>
      <c r="F95" s="58">
        <v>29.824559326171876</v>
      </c>
      <c r="G95" s="58">
        <v>183.72415026435257</v>
      </c>
      <c r="H95" s="58">
        <v>59.892251091778277</v>
      </c>
      <c r="I95" s="58">
        <v>59.128365551292895</v>
      </c>
      <c r="J95" s="45">
        <f t="shared" si="8"/>
        <v>76.107708451298436</v>
      </c>
      <c r="K95" s="13">
        <f t="shared" si="9"/>
        <v>183.75825698520654</v>
      </c>
      <c r="L95" s="57"/>
      <c r="M95" s="57"/>
      <c r="N95" s="57"/>
      <c r="O95" s="57"/>
      <c r="P95" s="57"/>
      <c r="Q95" s="45" t="str">
        <f t="shared" si="10"/>
        <v/>
      </c>
      <c r="R95" s="13" t="str">
        <f t="shared" si="11"/>
        <v/>
      </c>
      <c r="S95" s="57"/>
      <c r="T95" s="58">
        <v>5.4029998779296875</v>
      </c>
      <c r="U95" s="58">
        <v>57.116999715566635</v>
      </c>
      <c r="V95" s="58">
        <v>45.93800076842308</v>
      </c>
      <c r="W95" s="58">
        <v>97.03199976682663</v>
      </c>
      <c r="X95" s="58">
        <v>414.17299935221672</v>
      </c>
      <c r="Y95" s="27"/>
      <c r="Z95" s="57"/>
      <c r="AA95" s="57"/>
      <c r="AB95" s="57"/>
      <c r="AC95" s="57"/>
      <c r="AD95" s="57"/>
      <c r="AE95" s="57"/>
      <c r="AF95" s="41">
        <f t="shared" si="7"/>
        <v>619.66299948096275</v>
      </c>
    </row>
    <row r="96" spans="1:32" ht="15" customHeight="1">
      <c r="A96" s="3">
        <v>89</v>
      </c>
      <c r="B96" s="8" t="s">
        <v>114</v>
      </c>
      <c r="C96" s="23" t="s">
        <v>149</v>
      </c>
      <c r="D96" s="41">
        <f t="shared" si="6"/>
        <v>1011.8037036430555</v>
      </c>
      <c r="E96" s="57"/>
      <c r="F96" s="58">
        <v>351.92845149302485</v>
      </c>
      <c r="G96" s="57"/>
      <c r="H96" s="58">
        <v>292.71348481112716</v>
      </c>
      <c r="I96" s="58">
        <v>108.89735732388496</v>
      </c>
      <c r="J96" s="45">
        <f t="shared" si="8"/>
        <v>154.76454340534119</v>
      </c>
      <c r="K96" s="13">
        <f t="shared" si="9"/>
        <v>269.06634565291023</v>
      </c>
      <c r="L96" s="57"/>
      <c r="M96" s="57"/>
      <c r="N96" s="58">
        <v>43.467257351189851</v>
      </c>
      <c r="O96" s="58">
        <v>35.865322260051968</v>
      </c>
      <c r="P96" s="58">
        <v>9.0199790932536121</v>
      </c>
      <c r="Q96" s="45">
        <f t="shared" si="10"/>
        <v>15.147307905181895</v>
      </c>
      <c r="R96" s="13">
        <f t="shared" si="11"/>
        <v>410.26267874979391</v>
      </c>
      <c r="S96" s="57"/>
      <c r="T96" s="58">
        <v>46.235999405384064</v>
      </c>
      <c r="U96" s="57"/>
      <c r="V96" s="58">
        <v>85.767999544739723</v>
      </c>
      <c r="W96" s="58">
        <v>97.066998243331909</v>
      </c>
      <c r="X96" s="58">
        <v>575.1910110861063</v>
      </c>
      <c r="Y96" s="27"/>
      <c r="Z96" s="57"/>
      <c r="AA96" s="57"/>
      <c r="AB96" s="58">
        <v>5.8180000558495522</v>
      </c>
      <c r="AC96" s="58">
        <v>7.0430000573396683</v>
      </c>
      <c r="AD96" s="58">
        <v>4.093000054359436</v>
      </c>
      <c r="AE96" s="58">
        <v>36.920998886227608</v>
      </c>
      <c r="AF96" s="41">
        <f t="shared" si="7"/>
        <v>858.13700733333826</v>
      </c>
    </row>
    <row r="97" spans="1:32" ht="15" customHeight="1">
      <c r="A97" s="3">
        <v>90</v>
      </c>
      <c r="B97" s="8" t="s">
        <v>115</v>
      </c>
      <c r="C97" s="23" t="s">
        <v>150</v>
      </c>
      <c r="D97" s="41">
        <f t="shared" si="6"/>
        <v>1166.1953934686337</v>
      </c>
      <c r="E97" s="57"/>
      <c r="F97" s="58">
        <v>283.18158283996581</v>
      </c>
      <c r="G97" s="58">
        <v>352.18892002677916</v>
      </c>
      <c r="H97" s="58">
        <v>181.36937910115719</v>
      </c>
      <c r="I97" s="58">
        <v>66.479776536673313</v>
      </c>
      <c r="J97" s="45">
        <f t="shared" si="8"/>
        <v>94.555689825528873</v>
      </c>
      <c r="K97" s="13">
        <f t="shared" si="9"/>
        <v>221.98360128255183</v>
      </c>
      <c r="L97" s="57"/>
      <c r="M97" s="57"/>
      <c r="N97" s="58">
        <v>122.59873291188478</v>
      </c>
      <c r="O97" s="58">
        <v>40.839136747181414</v>
      </c>
      <c r="P97" s="58">
        <v>4.9770758807957174</v>
      </c>
      <c r="Q97" s="45">
        <f t="shared" si="10"/>
        <v>20.005099598667442</v>
      </c>
      <c r="R97" s="13">
        <f t="shared" si="11"/>
        <v>312.86321773705481</v>
      </c>
      <c r="S97" s="57"/>
      <c r="T97" s="58">
        <v>30.430000305175781</v>
      </c>
      <c r="U97" s="58">
        <v>40.895000517368317</v>
      </c>
      <c r="V97" s="58">
        <v>84.187001347541809</v>
      </c>
      <c r="W97" s="58">
        <v>80.62099900841713</v>
      </c>
      <c r="X97" s="58">
        <v>425.95799545198679</v>
      </c>
      <c r="Y97" s="27"/>
      <c r="Z97" s="57"/>
      <c r="AA97" s="57"/>
      <c r="AB97" s="58">
        <v>8.4180000275373459</v>
      </c>
      <c r="AC97" s="58">
        <v>4.4149999916553497</v>
      </c>
      <c r="AD97" s="58">
        <v>3.4849999248981476</v>
      </c>
      <c r="AE97" s="58">
        <v>63.941999137401581</v>
      </c>
      <c r="AF97" s="41">
        <f t="shared" si="7"/>
        <v>742.35099571198225</v>
      </c>
    </row>
    <row r="98" spans="1:32" ht="15" customHeight="1">
      <c r="A98" s="3">
        <v>91</v>
      </c>
      <c r="B98" s="8" t="s">
        <v>116</v>
      </c>
      <c r="C98" s="23" t="s">
        <v>149</v>
      </c>
      <c r="D98" s="41">
        <f t="shared" si="6"/>
        <v>159.81881211469994</v>
      </c>
      <c r="E98" s="57"/>
      <c r="F98" s="58">
        <v>58.520948320865628</v>
      </c>
      <c r="G98" s="57"/>
      <c r="H98" s="58">
        <v>55.404240126669407</v>
      </c>
      <c r="I98" s="58">
        <v>15.592708699584007</v>
      </c>
      <c r="J98" s="45">
        <f t="shared" si="8"/>
        <v>30.300914967580894</v>
      </c>
      <c r="K98" s="13">
        <f t="shared" si="9"/>
        <v>130.32932206745281</v>
      </c>
      <c r="L98" s="57"/>
      <c r="M98" s="57"/>
      <c r="N98" s="57"/>
      <c r="O98" s="57"/>
      <c r="P98" s="57"/>
      <c r="Q98" s="45" t="str">
        <f t="shared" si="10"/>
        <v/>
      </c>
      <c r="R98" s="13" t="str">
        <f t="shared" si="11"/>
        <v/>
      </c>
      <c r="S98" s="57"/>
      <c r="T98" s="58">
        <v>12.132000088691711</v>
      </c>
      <c r="U98" s="57"/>
      <c r="V98" s="58">
        <v>30.864000350236893</v>
      </c>
      <c r="W98" s="58">
        <v>44.344999372959137</v>
      </c>
      <c r="X98" s="58">
        <v>232.4949941188097</v>
      </c>
      <c r="Y98" s="27"/>
      <c r="Z98" s="57"/>
      <c r="AA98" s="57"/>
      <c r="AB98" s="57"/>
      <c r="AC98" s="57"/>
      <c r="AD98" s="57"/>
      <c r="AE98" s="57"/>
      <c r="AF98" s="41">
        <f t="shared" si="7"/>
        <v>319.83599393069744</v>
      </c>
    </row>
    <row r="99" spans="1:32" ht="15" customHeight="1">
      <c r="A99" s="3">
        <v>92</v>
      </c>
      <c r="B99" s="8" t="s">
        <v>117</v>
      </c>
      <c r="C99" s="23" t="s">
        <v>149</v>
      </c>
      <c r="D99" s="41">
        <f t="shared" si="6"/>
        <v>925.1057133807393</v>
      </c>
      <c r="E99" s="57"/>
      <c r="F99" s="58">
        <v>364.30445066642761</v>
      </c>
      <c r="G99" s="58">
        <v>82.400431742072101</v>
      </c>
      <c r="H99" s="58">
        <v>294.97944580385087</v>
      </c>
      <c r="I99" s="58">
        <v>56.099007386922835</v>
      </c>
      <c r="J99" s="45">
        <f t="shared" si="8"/>
        <v>127.32237778146592</v>
      </c>
      <c r="K99" s="13">
        <f t="shared" si="9"/>
        <v>184.42574794372527</v>
      </c>
      <c r="L99" s="57"/>
      <c r="M99" s="57"/>
      <c r="N99" s="57"/>
      <c r="O99" s="57"/>
      <c r="P99" s="57"/>
      <c r="Q99" s="45" t="str">
        <f t="shared" si="10"/>
        <v/>
      </c>
      <c r="R99" s="13" t="str">
        <f t="shared" si="11"/>
        <v/>
      </c>
      <c r="S99" s="57"/>
      <c r="T99" s="58">
        <v>46.278999328613281</v>
      </c>
      <c r="U99" s="58">
        <v>7.6690000295639038</v>
      </c>
      <c r="V99" s="58">
        <v>112.11500082910061</v>
      </c>
      <c r="W99" s="58">
        <v>91.528000116348267</v>
      </c>
      <c r="X99" s="58">
        <v>690.37202885746956</v>
      </c>
      <c r="Y99" s="27"/>
      <c r="Z99" s="57"/>
      <c r="AA99" s="57"/>
      <c r="AB99" s="57"/>
      <c r="AC99" s="57"/>
      <c r="AD99" s="57"/>
      <c r="AE99" s="57"/>
      <c r="AF99" s="41">
        <f t="shared" si="7"/>
        <v>947.96302916109562</v>
      </c>
    </row>
    <row r="100" spans="1:32" ht="15" customHeight="1">
      <c r="A100" s="3">
        <v>93</v>
      </c>
      <c r="B100" s="8" t="s">
        <v>118</v>
      </c>
      <c r="C100" s="23" t="s">
        <v>151</v>
      </c>
      <c r="D100" s="41">
        <f t="shared" si="6"/>
        <v>1356.0032743455131</v>
      </c>
      <c r="E100" s="58">
        <v>100.88740141391754</v>
      </c>
      <c r="F100" s="57"/>
      <c r="G100" s="58">
        <v>132.40181981015206</v>
      </c>
      <c r="H100" s="58">
        <v>15.786504796981811</v>
      </c>
      <c r="I100" s="58">
        <v>56.011561474502088</v>
      </c>
      <c r="J100" s="45">
        <f t="shared" si="8"/>
        <v>59.667983790979193</v>
      </c>
      <c r="K100" s="13">
        <f t="shared" si="9"/>
        <v>319.49529419580097</v>
      </c>
      <c r="L100" s="58">
        <v>578.07423656749722</v>
      </c>
      <c r="M100" s="57"/>
      <c r="N100" s="58">
        <v>84.570892462551598</v>
      </c>
      <c r="O100" s="58">
        <v>162.40944449076056</v>
      </c>
      <c r="P100" s="58">
        <v>60.135103691339495</v>
      </c>
      <c r="Q100" s="45">
        <f t="shared" si="10"/>
        <v>106.05832584683154</v>
      </c>
      <c r="R100" s="13">
        <f t="shared" si="11"/>
        <v>528.34204169288148</v>
      </c>
      <c r="S100" s="58">
        <v>2.8580000400543213</v>
      </c>
      <c r="T100" s="57"/>
      <c r="U100" s="58">
        <v>34.142000079154968</v>
      </c>
      <c r="V100" s="58">
        <v>9.2539999485015869</v>
      </c>
      <c r="W100" s="58">
        <v>37.925000220537186</v>
      </c>
      <c r="X100" s="58">
        <v>186.75700354576111</v>
      </c>
      <c r="Y100" s="27"/>
      <c r="Z100" s="58">
        <v>10.553999900817871</v>
      </c>
      <c r="AA100" s="57"/>
      <c r="AB100" s="58">
        <v>7.3600000292062759</v>
      </c>
      <c r="AC100" s="58">
        <v>18.844999760389328</v>
      </c>
      <c r="AD100" s="58">
        <v>18.202999904751778</v>
      </c>
      <c r="AE100" s="58">
        <v>200.73800204694271</v>
      </c>
      <c r="AF100" s="41">
        <f t="shared" si="7"/>
        <v>526.63600547611713</v>
      </c>
    </row>
    <row r="101" spans="1:32" ht="15" customHeight="1">
      <c r="A101" s="3">
        <v>94</v>
      </c>
      <c r="B101" s="8" t="s">
        <v>119</v>
      </c>
      <c r="C101" s="23" t="s">
        <v>149</v>
      </c>
      <c r="D101" s="41">
        <f t="shared" si="6"/>
        <v>237.041492967088</v>
      </c>
      <c r="E101" s="57"/>
      <c r="F101" s="58">
        <v>90.753463227748867</v>
      </c>
      <c r="G101" s="58">
        <v>19.809314070224762</v>
      </c>
      <c r="H101" s="58">
        <v>65.264685713946818</v>
      </c>
      <c r="I101" s="58">
        <v>16.885765247404574</v>
      </c>
      <c r="J101" s="45">
        <f t="shared" si="8"/>
        <v>44.328264707762997</v>
      </c>
      <c r="K101" s="13">
        <f t="shared" si="9"/>
        <v>141.49591338289039</v>
      </c>
      <c r="L101" s="57"/>
      <c r="M101" s="57"/>
      <c r="N101" s="57"/>
      <c r="O101" s="57"/>
      <c r="P101" s="57"/>
      <c r="Q101" s="45" t="str">
        <f t="shared" si="10"/>
        <v/>
      </c>
      <c r="R101" s="13" t="str">
        <f t="shared" si="11"/>
        <v/>
      </c>
      <c r="S101" s="57"/>
      <c r="T101" s="58">
        <v>27.110999703407288</v>
      </c>
      <c r="U101" s="58">
        <v>9.0929999351501465</v>
      </c>
      <c r="V101" s="58">
        <v>84.982999563217163</v>
      </c>
      <c r="W101" s="58">
        <v>42.102000534534454</v>
      </c>
      <c r="X101" s="58">
        <v>313.28300336003304</v>
      </c>
      <c r="Y101" s="27"/>
      <c r="Z101" s="57"/>
      <c r="AA101" s="57"/>
      <c r="AB101" s="57"/>
      <c r="AC101" s="57"/>
      <c r="AD101" s="57"/>
      <c r="AE101" s="57"/>
      <c r="AF101" s="41">
        <f t="shared" si="7"/>
        <v>476.57200309634209</v>
      </c>
    </row>
    <row r="102" spans="1:32" ht="15" customHeight="1">
      <c r="A102" s="3">
        <v>95</v>
      </c>
      <c r="B102" s="8" t="s">
        <v>120</v>
      </c>
      <c r="C102" s="23" t="s">
        <v>149</v>
      </c>
      <c r="D102" s="41">
        <f t="shared" si="6"/>
        <v>114.01133616580704</v>
      </c>
      <c r="E102" s="57"/>
      <c r="F102" s="57"/>
      <c r="G102" s="58">
        <v>18.566278319001199</v>
      </c>
      <c r="H102" s="58">
        <v>52.318942469507455</v>
      </c>
      <c r="I102" s="58">
        <v>13.370945100784303</v>
      </c>
      <c r="J102" s="45">
        <f t="shared" si="8"/>
        <v>29.755170276514075</v>
      </c>
      <c r="K102" s="13">
        <f t="shared" si="9"/>
        <v>120.70524367020865</v>
      </c>
      <c r="L102" s="57"/>
      <c r="M102" s="57"/>
      <c r="N102" s="57"/>
      <c r="O102" s="57"/>
      <c r="P102" s="57"/>
      <c r="Q102" s="45" t="str">
        <f t="shared" si="10"/>
        <v/>
      </c>
      <c r="R102" s="13" t="str">
        <f t="shared" si="11"/>
        <v/>
      </c>
      <c r="S102" s="57"/>
      <c r="T102" s="57"/>
      <c r="U102" s="58">
        <v>5.330000102519989</v>
      </c>
      <c r="V102" s="58">
        <v>50.118000410497189</v>
      </c>
      <c r="W102" s="58">
        <v>42.994000285863876</v>
      </c>
      <c r="X102" s="58">
        <v>246.51099961996078</v>
      </c>
      <c r="Y102" s="27"/>
      <c r="Z102" s="57"/>
      <c r="AA102" s="57"/>
      <c r="AB102" s="57"/>
      <c r="AC102" s="57"/>
      <c r="AD102" s="57"/>
      <c r="AE102" s="57"/>
      <c r="AF102" s="41">
        <f t="shared" si="7"/>
        <v>344.95300041884184</v>
      </c>
    </row>
    <row r="103" spans="1:32" ht="15" customHeight="1">
      <c r="A103" s="3">
        <v>96</v>
      </c>
      <c r="B103" s="8" t="s">
        <v>121</v>
      </c>
      <c r="C103" s="23" t="s">
        <v>149</v>
      </c>
      <c r="D103" s="41">
        <f t="shared" si="6"/>
        <v>316.3466777491011</v>
      </c>
      <c r="E103" s="57"/>
      <c r="F103" s="58">
        <v>148.28330730485916</v>
      </c>
      <c r="G103" s="58">
        <v>8.3023648166656496</v>
      </c>
      <c r="H103" s="58">
        <v>37.165023441553117</v>
      </c>
      <c r="I103" s="58">
        <v>54.124852183222771</v>
      </c>
      <c r="J103" s="45">
        <f t="shared" si="8"/>
        <v>68.471130002800408</v>
      </c>
      <c r="K103" s="13">
        <f t="shared" si="9"/>
        <v>210.48222259546102</v>
      </c>
      <c r="L103" s="57"/>
      <c r="M103" s="57"/>
      <c r="N103" s="57"/>
      <c r="O103" s="57"/>
      <c r="P103" s="57"/>
      <c r="Q103" s="45" t="str">
        <f t="shared" si="10"/>
        <v/>
      </c>
      <c r="R103" s="13" t="str">
        <f t="shared" si="11"/>
        <v/>
      </c>
      <c r="S103" s="57"/>
      <c r="T103" s="58">
        <v>23.679000020027161</v>
      </c>
      <c r="U103" s="58">
        <v>10.364999771118164</v>
      </c>
      <c r="V103" s="58">
        <v>31.414000332355499</v>
      </c>
      <c r="W103" s="58">
        <v>71.472000181674957</v>
      </c>
      <c r="X103" s="58">
        <v>325.30600047111511</v>
      </c>
      <c r="Y103" s="27"/>
      <c r="Z103" s="57"/>
      <c r="AA103" s="57"/>
      <c r="AB103" s="57"/>
      <c r="AC103" s="57"/>
      <c r="AD103" s="57"/>
      <c r="AE103" s="57"/>
      <c r="AF103" s="41">
        <f t="shared" si="7"/>
        <v>462.23600077629089</v>
      </c>
    </row>
    <row r="104" spans="1:32" ht="15" customHeight="1">
      <c r="A104" s="3">
        <v>97</v>
      </c>
      <c r="B104" s="8" t="s">
        <v>122</v>
      </c>
      <c r="C104" s="23" t="s">
        <v>150</v>
      </c>
      <c r="D104" s="41">
        <f t="shared" si="6"/>
        <v>942.57213569760131</v>
      </c>
      <c r="E104" s="57"/>
      <c r="F104" s="58">
        <v>453.21691621780394</v>
      </c>
      <c r="G104" s="58">
        <v>82.551502791941161</v>
      </c>
      <c r="H104" s="58">
        <v>184.78121704572439</v>
      </c>
      <c r="I104" s="58">
        <v>80.964577111780642</v>
      </c>
      <c r="J104" s="45">
        <f t="shared" si="8"/>
        <v>141.05792253035125</v>
      </c>
      <c r="K104" s="13">
        <f t="shared" si="9"/>
        <v>260.63387396936571</v>
      </c>
      <c r="L104" s="57"/>
      <c r="M104" s="57"/>
      <c r="N104" s="57"/>
      <c r="O104" s="57"/>
      <c r="P104" s="57"/>
      <c r="Q104" s="45" t="str">
        <f t="shared" si="10"/>
        <v/>
      </c>
      <c r="R104" s="13" t="str">
        <f t="shared" si="11"/>
        <v/>
      </c>
      <c r="S104" s="57"/>
      <c r="T104" s="58">
        <v>41.193000108003616</v>
      </c>
      <c r="U104" s="58">
        <v>11.75000012665987</v>
      </c>
      <c r="V104" s="58">
        <v>84.493999719619751</v>
      </c>
      <c r="W104" s="58">
        <v>75.94199937582016</v>
      </c>
      <c r="X104" s="58">
        <v>541.21101137809455</v>
      </c>
      <c r="Y104" s="27"/>
      <c r="Z104" s="57"/>
      <c r="AA104" s="57"/>
      <c r="AB104" s="57"/>
      <c r="AC104" s="57"/>
      <c r="AD104" s="57"/>
      <c r="AE104" s="57"/>
      <c r="AF104" s="41">
        <f t="shared" si="7"/>
        <v>754.59001070819795</v>
      </c>
    </row>
    <row r="105" spans="1:32" ht="15" customHeight="1">
      <c r="A105" s="3">
        <v>98</v>
      </c>
      <c r="B105" s="8" t="s">
        <v>123</v>
      </c>
      <c r="C105" s="23" t="s">
        <v>150</v>
      </c>
      <c r="D105" s="41">
        <f t="shared" si="6"/>
        <v>2215.0927502820059</v>
      </c>
      <c r="E105" s="57"/>
      <c r="F105" s="58">
        <v>748.79365684494371</v>
      </c>
      <c r="G105" s="58">
        <v>81.995951807722449</v>
      </c>
      <c r="H105" s="58">
        <v>460.50224372947218</v>
      </c>
      <c r="I105" s="58">
        <v>218.07654742652178</v>
      </c>
      <c r="J105" s="45">
        <f t="shared" si="8"/>
        <v>245.50152234380815</v>
      </c>
      <c r="K105" s="13">
        <f t="shared" si="9"/>
        <v>302.74406519166456</v>
      </c>
      <c r="L105" s="57"/>
      <c r="M105" s="57"/>
      <c r="N105" s="58">
        <v>312.78105043494702</v>
      </c>
      <c r="O105" s="58">
        <v>77.48573617690802</v>
      </c>
      <c r="P105" s="58">
        <v>28.639876766920089</v>
      </c>
      <c r="Q105" s="45">
        <f t="shared" si="10"/>
        <v>41.316164750762432</v>
      </c>
      <c r="R105" s="13">
        <f t="shared" si="11"/>
        <v>687.19398559267779</v>
      </c>
      <c r="S105" s="57"/>
      <c r="T105" s="58">
        <v>72.976999670267105</v>
      </c>
      <c r="U105" s="58">
        <v>22.459999598562717</v>
      </c>
      <c r="V105" s="58">
        <v>144.69899940490723</v>
      </c>
      <c r="W105" s="58">
        <v>160.94999885559082</v>
      </c>
      <c r="X105" s="58">
        <v>810.92100744694471</v>
      </c>
      <c r="Y105" s="27"/>
      <c r="Z105" s="57"/>
      <c r="AA105" s="57"/>
      <c r="AB105" s="58">
        <v>10.917000025510788</v>
      </c>
      <c r="AC105" s="58">
        <v>10.199000179767609</v>
      </c>
      <c r="AD105" s="58">
        <v>5.6919999718666077</v>
      </c>
      <c r="AE105" s="58">
        <v>60.123001098632812</v>
      </c>
      <c r="AF105" s="41">
        <f t="shared" si="7"/>
        <v>1298.9380062520504</v>
      </c>
    </row>
    <row r="106" spans="1:32" ht="15" customHeight="1">
      <c r="A106" s="3">
        <v>99</v>
      </c>
      <c r="B106" s="8" t="s">
        <v>124</v>
      </c>
      <c r="C106" s="23" t="s">
        <v>149</v>
      </c>
      <c r="D106" s="41">
        <f t="shared" si="6"/>
        <v>469.98825751949795</v>
      </c>
      <c r="E106" s="57"/>
      <c r="F106" s="58">
        <v>249.22740801239013</v>
      </c>
      <c r="G106" s="58">
        <v>64.325940290212628</v>
      </c>
      <c r="H106" s="58">
        <v>84.253525597408412</v>
      </c>
      <c r="I106" s="58">
        <v>33.882446561098099</v>
      </c>
      <c r="J106" s="45">
        <f t="shared" si="8"/>
        <v>38.298937058388681</v>
      </c>
      <c r="K106" s="13">
        <f t="shared" si="9"/>
        <v>191.20787154999849</v>
      </c>
      <c r="L106" s="57"/>
      <c r="M106" s="57"/>
      <c r="N106" s="57"/>
      <c r="O106" s="57"/>
      <c r="P106" s="57"/>
      <c r="Q106" s="45" t="str">
        <f t="shared" si="10"/>
        <v/>
      </c>
      <c r="R106" s="13" t="str">
        <f t="shared" si="11"/>
        <v/>
      </c>
      <c r="S106" s="57"/>
      <c r="T106" s="58">
        <v>24.086999893188477</v>
      </c>
      <c r="U106" s="58">
        <v>13.861999690532684</v>
      </c>
      <c r="V106" s="58">
        <v>39.191000588238239</v>
      </c>
      <c r="W106" s="58">
        <v>52.176000237464905</v>
      </c>
      <c r="X106" s="58">
        <v>200.30000202357769</v>
      </c>
      <c r="Y106" s="27"/>
      <c r="Z106" s="57"/>
      <c r="AA106" s="57"/>
      <c r="AB106" s="57"/>
      <c r="AC106" s="57"/>
      <c r="AD106" s="57"/>
      <c r="AE106" s="57"/>
      <c r="AF106" s="41">
        <f t="shared" si="7"/>
        <v>329.616002433002</v>
      </c>
    </row>
    <row r="107" spans="1:32" ht="15" customHeight="1">
      <c r="A107" s="3">
        <v>100</v>
      </c>
      <c r="B107" s="8" t="s">
        <v>125</v>
      </c>
      <c r="C107" s="23" t="s">
        <v>150</v>
      </c>
      <c r="D107" s="41">
        <f t="shared" si="6"/>
        <v>1849.218907705759</v>
      </c>
      <c r="E107" s="57"/>
      <c r="F107" s="58">
        <v>658.4408040978908</v>
      </c>
      <c r="G107" s="58">
        <v>48.737114730179307</v>
      </c>
      <c r="H107" s="58">
        <v>226.97998911045491</v>
      </c>
      <c r="I107" s="58">
        <v>141.93846657893062</v>
      </c>
      <c r="J107" s="45">
        <f t="shared" si="8"/>
        <v>303.24417769122539</v>
      </c>
      <c r="K107" s="13">
        <f t="shared" si="9"/>
        <v>244.839634714715</v>
      </c>
      <c r="L107" s="57"/>
      <c r="M107" s="58">
        <v>10.123050355911255</v>
      </c>
      <c r="N107" s="58">
        <v>248.1180789976716</v>
      </c>
      <c r="O107" s="58">
        <v>101.7271745827198</v>
      </c>
      <c r="P107" s="58">
        <v>38.509400261402128</v>
      </c>
      <c r="Q107" s="45">
        <f t="shared" si="10"/>
        <v>71.400651299373308</v>
      </c>
      <c r="R107" s="13">
        <f t="shared" si="11"/>
        <v>632.99571731603703</v>
      </c>
      <c r="S107" s="57"/>
      <c r="T107" s="58">
        <v>75.060999572277069</v>
      </c>
      <c r="U107" s="58">
        <v>4.168999969959259</v>
      </c>
      <c r="V107" s="58">
        <v>82.954999916255474</v>
      </c>
      <c r="W107" s="58">
        <v>147.14300027489662</v>
      </c>
      <c r="X107" s="58">
        <v>1238.5420279055834</v>
      </c>
      <c r="Y107" s="27"/>
      <c r="Z107" s="57"/>
      <c r="AA107" s="58">
        <v>1.0850000381469727</v>
      </c>
      <c r="AB107" s="58">
        <v>10.251000136137009</v>
      </c>
      <c r="AC107" s="58">
        <v>14.941999964416027</v>
      </c>
      <c r="AD107" s="58">
        <v>8.7290000841021538</v>
      </c>
      <c r="AE107" s="58">
        <v>112.79800059646368</v>
      </c>
      <c r="AF107" s="41">
        <f t="shared" si="7"/>
        <v>1695.6750284582376</v>
      </c>
    </row>
    <row r="108" spans="1:32" ht="15" customHeight="1">
      <c r="A108" s="3">
        <v>101</v>
      </c>
      <c r="B108" s="8" t="s">
        <v>126</v>
      </c>
      <c r="C108" s="23" t="s">
        <v>149</v>
      </c>
      <c r="D108" s="41">
        <f t="shared" si="6"/>
        <v>40.332588748908606</v>
      </c>
      <c r="E108" s="57"/>
      <c r="F108" s="58">
        <v>5.2271639742851255</v>
      </c>
      <c r="G108" s="57"/>
      <c r="H108" s="58">
        <v>22.470842967629434</v>
      </c>
      <c r="I108" s="58">
        <v>2.7463850162029266</v>
      </c>
      <c r="J108" s="45">
        <f t="shared" si="8"/>
        <v>9.8881967907911239</v>
      </c>
      <c r="K108" s="13">
        <f t="shared" si="9"/>
        <v>93.98264899894491</v>
      </c>
      <c r="L108" s="57"/>
      <c r="M108" s="57"/>
      <c r="N108" s="57"/>
      <c r="O108" s="57"/>
      <c r="P108" s="57"/>
      <c r="Q108" s="45" t="str">
        <f t="shared" si="10"/>
        <v/>
      </c>
      <c r="R108" s="13" t="str">
        <f t="shared" si="11"/>
        <v/>
      </c>
      <c r="S108" s="57"/>
      <c r="T108" s="58">
        <v>1.3569999933242798</v>
      </c>
      <c r="U108" s="57"/>
      <c r="V108" s="58">
        <v>32.2190001308918</v>
      </c>
      <c r="W108" s="58">
        <v>13.180999994277954</v>
      </c>
      <c r="X108" s="58">
        <v>105.21300363540649</v>
      </c>
      <c r="Y108" s="27"/>
      <c r="Z108" s="57"/>
      <c r="AA108" s="57"/>
      <c r="AB108" s="57"/>
      <c r="AC108" s="57"/>
      <c r="AD108" s="57"/>
      <c r="AE108" s="57"/>
      <c r="AF108" s="41">
        <f t="shared" si="7"/>
        <v>151.97000375390053</v>
      </c>
    </row>
    <row r="109" spans="1:32" ht="15" customHeight="1">
      <c r="A109" s="3">
        <v>102</v>
      </c>
      <c r="B109" s="8" t="s">
        <v>127</v>
      </c>
      <c r="C109" s="23" t="s">
        <v>149</v>
      </c>
      <c r="D109" s="41">
        <f t="shared" si="6"/>
        <v>1158.2033250259526</v>
      </c>
      <c r="E109" s="58">
        <v>767.5122530269623</v>
      </c>
      <c r="F109" s="58">
        <v>90.240338014483456</v>
      </c>
      <c r="G109" s="58">
        <v>91.845980491787202</v>
      </c>
      <c r="H109" s="58">
        <v>77.486794261649251</v>
      </c>
      <c r="I109" s="58">
        <v>51.338569130539895</v>
      </c>
      <c r="J109" s="45">
        <f t="shared" si="8"/>
        <v>79.779390100530449</v>
      </c>
      <c r="K109" s="13">
        <f t="shared" si="9"/>
        <v>171.32320378751749</v>
      </c>
      <c r="L109" s="57"/>
      <c r="M109" s="57"/>
      <c r="N109" s="57"/>
      <c r="O109" s="57"/>
      <c r="P109" s="57"/>
      <c r="Q109" s="45" t="str">
        <f t="shared" si="10"/>
        <v/>
      </c>
      <c r="R109" s="13" t="str">
        <f t="shared" si="11"/>
        <v/>
      </c>
      <c r="S109" s="58">
        <v>22.640999794006348</v>
      </c>
      <c r="T109" s="58">
        <v>10.182999908924103</v>
      </c>
      <c r="U109" s="58">
        <v>14.248000055551529</v>
      </c>
      <c r="V109" s="58">
        <v>29.584999836981297</v>
      </c>
      <c r="W109" s="58">
        <v>94.246999859809875</v>
      </c>
      <c r="X109" s="58">
        <v>465.66599466279149</v>
      </c>
      <c r="Y109" s="27"/>
      <c r="Z109" s="57"/>
      <c r="AA109" s="57"/>
      <c r="AB109" s="57"/>
      <c r="AC109" s="57"/>
      <c r="AD109" s="57"/>
      <c r="AE109" s="57"/>
      <c r="AF109" s="41">
        <f t="shared" si="7"/>
        <v>636.56999411806464</v>
      </c>
    </row>
    <row r="110" spans="1:32" ht="15" customHeight="1">
      <c r="A110" s="3">
        <v>103</v>
      </c>
      <c r="B110" s="8" t="s">
        <v>128</v>
      </c>
      <c r="C110" s="23" t="s">
        <v>150</v>
      </c>
      <c r="D110" s="41">
        <f t="shared" si="6"/>
        <v>870.367300820943</v>
      </c>
      <c r="E110" s="58">
        <v>296.66175144958498</v>
      </c>
      <c r="F110" s="57"/>
      <c r="G110" s="58">
        <v>91.150199450880294</v>
      </c>
      <c r="H110" s="58">
        <v>185.91071285516023</v>
      </c>
      <c r="I110" s="58">
        <v>39.21497835481167</v>
      </c>
      <c r="J110" s="45">
        <f t="shared" si="8"/>
        <v>94.865377298171268</v>
      </c>
      <c r="K110" s="13">
        <f t="shared" si="9"/>
        <v>259.22406641234704</v>
      </c>
      <c r="L110" s="57"/>
      <c r="M110" s="57"/>
      <c r="N110" s="58">
        <v>77.349594461917874</v>
      </c>
      <c r="O110" s="58">
        <v>53.421156889021397</v>
      </c>
      <c r="P110" s="58">
        <v>3.7108199761807921</v>
      </c>
      <c r="Q110" s="45">
        <f t="shared" si="10"/>
        <v>28.082710085214497</v>
      </c>
      <c r="R110" s="13">
        <f t="shared" si="11"/>
        <v>706.82110128216891</v>
      </c>
      <c r="S110" s="58">
        <v>19.710000038146973</v>
      </c>
      <c r="T110" s="57"/>
      <c r="U110" s="58">
        <v>15.138999968767166</v>
      </c>
      <c r="V110" s="58">
        <v>64.43199910223484</v>
      </c>
      <c r="W110" s="58">
        <v>37.102999925613403</v>
      </c>
      <c r="X110" s="58">
        <v>365.95898911356926</v>
      </c>
      <c r="Y110" s="27"/>
      <c r="Z110" s="57"/>
      <c r="AA110" s="57"/>
      <c r="AB110" s="58">
        <v>3.031000018119812</v>
      </c>
      <c r="AC110" s="58">
        <v>3.7669999897480011</v>
      </c>
      <c r="AD110" s="58">
        <v>0.70499999821186066</v>
      </c>
      <c r="AE110" s="58">
        <v>39.731001287698746</v>
      </c>
      <c r="AF110" s="41">
        <f t="shared" si="7"/>
        <v>549.57698944211006</v>
      </c>
    </row>
    <row r="111" spans="1:32" ht="15" customHeight="1">
      <c r="A111" s="3">
        <v>104</v>
      </c>
      <c r="B111" s="8" t="s">
        <v>129</v>
      </c>
      <c r="C111" s="23" t="s">
        <v>149</v>
      </c>
      <c r="D111" s="41">
        <f t="shared" si="6"/>
        <v>513.95787307756984</v>
      </c>
      <c r="E111" s="57"/>
      <c r="F111" s="58">
        <v>202.91479792249203</v>
      </c>
      <c r="G111" s="57"/>
      <c r="H111" s="58">
        <v>99.374966568887231</v>
      </c>
      <c r="I111" s="58">
        <v>90.255036837607619</v>
      </c>
      <c r="J111" s="45">
        <f t="shared" si="8"/>
        <v>121.41307174858288</v>
      </c>
      <c r="K111" s="13">
        <f t="shared" si="9"/>
        <v>253.15380442477758</v>
      </c>
      <c r="L111" s="57"/>
      <c r="M111" s="57"/>
      <c r="N111" s="57"/>
      <c r="O111" s="57"/>
      <c r="P111" s="57"/>
      <c r="Q111" s="45" t="str">
        <f t="shared" si="10"/>
        <v/>
      </c>
      <c r="R111" s="13" t="str">
        <f t="shared" si="11"/>
        <v/>
      </c>
      <c r="S111" s="57"/>
      <c r="T111" s="58">
        <v>40.50899975001812</v>
      </c>
      <c r="U111" s="57"/>
      <c r="V111" s="58">
        <v>35.866000115871429</v>
      </c>
      <c r="W111" s="58">
        <v>88.695000663399696</v>
      </c>
      <c r="X111" s="58">
        <v>479.60200331360102</v>
      </c>
      <c r="Y111" s="27"/>
      <c r="Z111" s="57"/>
      <c r="AA111" s="57"/>
      <c r="AB111" s="57"/>
      <c r="AC111" s="57"/>
      <c r="AD111" s="57"/>
      <c r="AE111" s="57"/>
      <c r="AF111" s="41">
        <f t="shared" si="7"/>
        <v>644.67200384289026</v>
      </c>
    </row>
    <row r="112" spans="1:32" ht="15" customHeight="1">
      <c r="A112" s="3">
        <v>105</v>
      </c>
      <c r="B112" s="8" t="s">
        <v>130</v>
      </c>
      <c r="C112" s="23" t="s">
        <v>150</v>
      </c>
      <c r="D112" s="41">
        <f t="shared" si="6"/>
        <v>1851.2637630706849</v>
      </c>
      <c r="E112" s="58">
        <v>860.25254530239101</v>
      </c>
      <c r="F112" s="58">
        <v>29.480799770355226</v>
      </c>
      <c r="G112" s="58">
        <v>137.2494926698208</v>
      </c>
      <c r="H112" s="58">
        <v>96.804539544478061</v>
      </c>
      <c r="I112" s="58">
        <v>60.279465371131899</v>
      </c>
      <c r="J112" s="45">
        <f t="shared" si="8"/>
        <v>58.769010127573075</v>
      </c>
      <c r="K112" s="13">
        <f t="shared" si="9"/>
        <v>237.99480729456806</v>
      </c>
      <c r="L112" s="58">
        <v>165.28394732236862</v>
      </c>
      <c r="M112" s="57"/>
      <c r="N112" s="58">
        <v>195.34410539942979</v>
      </c>
      <c r="O112" s="58">
        <v>117.60718288716674</v>
      </c>
      <c r="P112" s="58">
        <v>40.312039893865588</v>
      </c>
      <c r="Q112" s="45">
        <f t="shared" si="10"/>
        <v>89.880634782104124</v>
      </c>
      <c r="R112" s="13">
        <f t="shared" si="11"/>
        <v>720.45717318430752</v>
      </c>
      <c r="S112" s="58">
        <v>22.010000228881836</v>
      </c>
      <c r="T112" s="58">
        <v>1.7139999866485596</v>
      </c>
      <c r="U112" s="58">
        <v>21.999999761581421</v>
      </c>
      <c r="V112" s="58">
        <v>45.737000033259392</v>
      </c>
      <c r="W112" s="58">
        <v>65.391000628471375</v>
      </c>
      <c r="X112" s="58">
        <v>246.93400160968304</v>
      </c>
      <c r="Y112" s="27"/>
      <c r="Z112" s="58">
        <v>4.3309998512268066</v>
      </c>
      <c r="AA112" s="57"/>
      <c r="AB112" s="58">
        <v>13.215999752283096</v>
      </c>
      <c r="AC112" s="58">
        <v>9.5299999266862869</v>
      </c>
      <c r="AD112" s="58">
        <v>7.4279999732971191</v>
      </c>
      <c r="AE112" s="58">
        <v>124.7550001963973</v>
      </c>
      <c r="AF112" s="41">
        <f t="shared" si="7"/>
        <v>563.04600194841623</v>
      </c>
    </row>
    <row r="113" spans="1:32" ht="15" customHeight="1">
      <c r="A113" s="3">
        <v>106</v>
      </c>
      <c r="B113" s="8" t="s">
        <v>131</v>
      </c>
      <c r="C113" s="23" t="s">
        <v>150</v>
      </c>
      <c r="D113" s="41">
        <f t="shared" si="6"/>
        <v>1679.0736772687951</v>
      </c>
      <c r="E113" s="58">
        <v>957.38372487258914</v>
      </c>
      <c r="F113" s="57"/>
      <c r="G113" s="58">
        <v>233.1934590265453</v>
      </c>
      <c r="H113" s="58">
        <v>71.556970041513438</v>
      </c>
      <c r="I113" s="58">
        <v>90.83760564556718</v>
      </c>
      <c r="J113" s="45">
        <f t="shared" si="8"/>
        <v>64.285596321351434</v>
      </c>
      <c r="K113" s="13">
        <f t="shared" si="9"/>
        <v>216.86967921924935</v>
      </c>
      <c r="L113" s="57"/>
      <c r="M113" s="57"/>
      <c r="N113" s="58">
        <v>193.69431704342367</v>
      </c>
      <c r="O113" s="58">
        <v>11.420123786449432</v>
      </c>
      <c r="P113" s="58">
        <v>22.146040794610975</v>
      </c>
      <c r="Q113" s="45">
        <f t="shared" si="10"/>
        <v>34.555839736744289</v>
      </c>
      <c r="R113" s="13">
        <f t="shared" si="11"/>
        <v>472.24205096927972</v>
      </c>
      <c r="S113" s="58">
        <v>22.328999757766724</v>
      </c>
      <c r="T113" s="57"/>
      <c r="U113" s="58">
        <v>50.500000491738319</v>
      </c>
      <c r="V113" s="58">
        <v>35.224000096321106</v>
      </c>
      <c r="W113" s="58">
        <v>114.34700025618076</v>
      </c>
      <c r="X113" s="58">
        <v>296.42500764876604</v>
      </c>
      <c r="Y113" s="27"/>
      <c r="Z113" s="57"/>
      <c r="AA113" s="57"/>
      <c r="AB113" s="58">
        <v>13.016000166535378</v>
      </c>
      <c r="AC113" s="58">
        <v>1.7339999675750732</v>
      </c>
      <c r="AD113" s="58">
        <v>8.022999931126833</v>
      </c>
      <c r="AE113" s="58">
        <v>73.173999786376953</v>
      </c>
      <c r="AF113" s="41">
        <f t="shared" si="7"/>
        <v>614.77200810238719</v>
      </c>
    </row>
    <row r="114" spans="1:32" ht="15" customHeight="1">
      <c r="A114" s="3">
        <v>107</v>
      </c>
      <c r="B114" s="8" t="s">
        <v>132</v>
      </c>
      <c r="C114" s="23" t="s">
        <v>150</v>
      </c>
      <c r="D114" s="41">
        <f t="shared" si="6"/>
        <v>949.59933536149924</v>
      </c>
      <c r="E114" s="58">
        <v>525.06723716783529</v>
      </c>
      <c r="F114" s="57"/>
      <c r="G114" s="58">
        <v>49.943420367240904</v>
      </c>
      <c r="H114" s="58">
        <v>120.41319867134094</v>
      </c>
      <c r="I114" s="58">
        <v>47.146776787519457</v>
      </c>
      <c r="J114" s="45">
        <f t="shared" si="8"/>
        <v>53.22844574557908</v>
      </c>
      <c r="K114" s="13">
        <f t="shared" si="9"/>
        <v>187.10918903566207</v>
      </c>
      <c r="L114" s="57"/>
      <c r="M114" s="57"/>
      <c r="N114" s="57"/>
      <c r="O114" s="58">
        <v>123.93519329184294</v>
      </c>
      <c r="P114" s="58">
        <v>8.9015518793463713</v>
      </c>
      <c r="Q114" s="45">
        <f t="shared" si="10"/>
        <v>20.963511450794151</v>
      </c>
      <c r="R114" s="13">
        <f t="shared" si="11"/>
        <v>334.81083896013115</v>
      </c>
      <c r="S114" s="58">
        <v>13.711000025272369</v>
      </c>
      <c r="T114" s="57"/>
      <c r="U114" s="58">
        <v>4.3190000057220459</v>
      </c>
      <c r="V114" s="58">
        <v>46.563000082969666</v>
      </c>
      <c r="W114" s="58">
        <v>75.164000988006592</v>
      </c>
      <c r="X114" s="58">
        <v>284.4779886007309</v>
      </c>
      <c r="Y114" s="27"/>
      <c r="Z114" s="57"/>
      <c r="AA114" s="57"/>
      <c r="AB114" s="57"/>
      <c r="AC114" s="58">
        <v>19.706000030040741</v>
      </c>
      <c r="AD114" s="58">
        <v>5.5919999033212662</v>
      </c>
      <c r="AE114" s="58">
        <v>62.6130011677742</v>
      </c>
      <c r="AF114" s="41">
        <f t="shared" si="7"/>
        <v>512.14599080383778</v>
      </c>
    </row>
    <row r="115" spans="1:32" ht="15" customHeight="1">
      <c r="A115" s="3">
        <v>108</v>
      </c>
      <c r="B115" s="8" t="s">
        <v>133</v>
      </c>
      <c r="C115" s="23" t="s">
        <v>149</v>
      </c>
      <c r="D115" s="41">
        <f t="shared" si="6"/>
        <v>336.65686656735056</v>
      </c>
      <c r="E115" s="57"/>
      <c r="F115" s="57"/>
      <c r="G115" s="58">
        <v>174.54069051150978</v>
      </c>
      <c r="H115" s="58">
        <v>68.918278314739467</v>
      </c>
      <c r="I115" s="58">
        <v>39.540333006858823</v>
      </c>
      <c r="J115" s="45">
        <f t="shared" si="8"/>
        <v>53.65756473424247</v>
      </c>
      <c r="K115" s="13">
        <f t="shared" si="9"/>
        <v>220.81484240896472</v>
      </c>
      <c r="L115" s="57"/>
      <c r="M115" s="57"/>
      <c r="N115" s="57"/>
      <c r="O115" s="57"/>
      <c r="P115" s="57"/>
      <c r="Q115" s="45" t="str">
        <f t="shared" si="10"/>
        <v/>
      </c>
      <c r="R115" s="13" t="str">
        <f t="shared" si="11"/>
        <v/>
      </c>
      <c r="S115" s="57"/>
      <c r="T115" s="57"/>
      <c r="U115" s="58">
        <v>23.736000733450055</v>
      </c>
      <c r="V115" s="58">
        <v>24.176000487059355</v>
      </c>
      <c r="W115" s="58">
        <v>48.357999980449677</v>
      </c>
      <c r="X115" s="58">
        <v>242.9979984536767</v>
      </c>
      <c r="Y115" s="27"/>
      <c r="Z115" s="57"/>
      <c r="AA115" s="57"/>
      <c r="AB115" s="57"/>
      <c r="AC115" s="57"/>
      <c r="AD115" s="57"/>
      <c r="AE115" s="57"/>
      <c r="AF115" s="41">
        <f t="shared" si="7"/>
        <v>339.26799965463579</v>
      </c>
    </row>
    <row r="116" spans="1:32" ht="15" customHeight="1">
      <c r="A116" s="3">
        <v>109</v>
      </c>
      <c r="B116" s="8" t="s">
        <v>134</v>
      </c>
      <c r="C116" s="23" t="s">
        <v>150</v>
      </c>
      <c r="D116" s="41">
        <f t="shared" si="6"/>
        <v>626.33615144338273</v>
      </c>
      <c r="E116" s="57"/>
      <c r="F116" s="58">
        <v>189.9143489162922</v>
      </c>
      <c r="G116" s="58">
        <v>29.262239856719972</v>
      </c>
      <c r="H116" s="58">
        <v>55.864805763721463</v>
      </c>
      <c r="I116" s="58">
        <v>59.550755681574344</v>
      </c>
      <c r="J116" s="45">
        <f t="shared" si="8"/>
        <v>71.523768806024989</v>
      </c>
      <c r="K116" s="13">
        <f t="shared" si="9"/>
        <v>197.7980372609116</v>
      </c>
      <c r="L116" s="57"/>
      <c r="M116" s="57"/>
      <c r="N116" s="58">
        <v>78.448204744040964</v>
      </c>
      <c r="O116" s="58">
        <v>41.017239996850492</v>
      </c>
      <c r="P116" s="58">
        <v>57.422046901047231</v>
      </c>
      <c r="Q116" s="45">
        <f t="shared" si="10"/>
        <v>43.332740777111169</v>
      </c>
      <c r="R116" s="13">
        <f t="shared" si="11"/>
        <v>617.31948934003663</v>
      </c>
      <c r="S116" s="57"/>
      <c r="T116" s="58">
        <v>29.318000078201294</v>
      </c>
      <c r="U116" s="58">
        <v>3.7799999713897705</v>
      </c>
      <c r="V116" s="58">
        <v>27.291000008583069</v>
      </c>
      <c r="W116" s="58">
        <v>86.861999869346619</v>
      </c>
      <c r="X116" s="58">
        <v>361.59999258071184</v>
      </c>
      <c r="Y116" s="27"/>
      <c r="Z116" s="57"/>
      <c r="AA116" s="57"/>
      <c r="AB116" s="58">
        <v>6.2619998902082443</v>
      </c>
      <c r="AC116" s="58">
        <v>5.3200001418590546</v>
      </c>
      <c r="AD116" s="58">
        <v>13.549000024795532</v>
      </c>
      <c r="AE116" s="58">
        <v>70.194998741149902</v>
      </c>
      <c r="AF116" s="41">
        <f t="shared" si="7"/>
        <v>604.17699130624533</v>
      </c>
    </row>
    <row r="117" spans="1:32" ht="15" customHeight="1">
      <c r="A117" s="3">
        <v>110</v>
      </c>
      <c r="B117" s="8" t="s">
        <v>135</v>
      </c>
      <c r="C117" s="23" t="s">
        <v>149</v>
      </c>
      <c r="D117" s="41">
        <f t="shared" si="6"/>
        <v>330.49778017941645</v>
      </c>
      <c r="E117" s="57"/>
      <c r="F117" s="58">
        <v>61.630219925880432</v>
      </c>
      <c r="G117" s="58">
        <v>61.765840132176876</v>
      </c>
      <c r="H117" s="58">
        <v>109.20067014062404</v>
      </c>
      <c r="I117" s="58">
        <v>38.081024214178321</v>
      </c>
      <c r="J117" s="45">
        <f t="shared" si="8"/>
        <v>59.820025766556753</v>
      </c>
      <c r="K117" s="13">
        <f t="shared" si="9"/>
        <v>151.56550687038663</v>
      </c>
      <c r="L117" s="57"/>
      <c r="M117" s="57"/>
      <c r="N117" s="57"/>
      <c r="O117" s="57"/>
      <c r="P117" s="57"/>
      <c r="Q117" s="45" t="str">
        <f t="shared" si="10"/>
        <v/>
      </c>
      <c r="R117" s="13" t="str">
        <f t="shared" si="11"/>
        <v/>
      </c>
      <c r="S117" s="57"/>
      <c r="T117" s="58">
        <v>14.422000110149384</v>
      </c>
      <c r="U117" s="58">
        <v>23.064000397920609</v>
      </c>
      <c r="V117" s="58">
        <v>62.165000855922699</v>
      </c>
      <c r="W117" s="58">
        <v>85.055998533964157</v>
      </c>
      <c r="X117" s="58">
        <v>394.68099966645241</v>
      </c>
      <c r="Y117" s="27"/>
      <c r="Z117" s="57"/>
      <c r="AA117" s="57"/>
      <c r="AB117" s="57"/>
      <c r="AC117" s="57"/>
      <c r="AD117" s="57"/>
      <c r="AE117" s="57"/>
      <c r="AF117" s="41">
        <f t="shared" si="7"/>
        <v>579.38799956440926</v>
      </c>
    </row>
    <row r="118" spans="1:32" ht="15" customHeight="1">
      <c r="A118" s="3">
        <v>111</v>
      </c>
      <c r="B118" s="8" t="s">
        <v>136</v>
      </c>
      <c r="C118" s="23" t="s">
        <v>149</v>
      </c>
      <c r="D118" s="41">
        <f t="shared" si="6"/>
        <v>596.40950548460512</v>
      </c>
      <c r="E118" s="58">
        <v>215.34126873588562</v>
      </c>
      <c r="F118" s="58">
        <v>138.90404295867683</v>
      </c>
      <c r="G118" s="57"/>
      <c r="H118" s="58">
        <v>53.390755496025086</v>
      </c>
      <c r="I118" s="58">
        <v>64.847588898897172</v>
      </c>
      <c r="J118" s="45">
        <f t="shared" si="8"/>
        <v>123.92584939512042</v>
      </c>
      <c r="K118" s="13">
        <f t="shared" si="9"/>
        <v>193.76220193905144</v>
      </c>
      <c r="L118" s="57"/>
      <c r="M118" s="57"/>
      <c r="N118" s="57"/>
      <c r="O118" s="57"/>
      <c r="P118" s="57"/>
      <c r="Q118" s="45" t="str">
        <f t="shared" si="10"/>
        <v/>
      </c>
      <c r="R118" s="13" t="str">
        <f t="shared" si="11"/>
        <v/>
      </c>
      <c r="S118" s="58">
        <v>12.440999984741211</v>
      </c>
      <c r="T118" s="58">
        <v>28.111999809741974</v>
      </c>
      <c r="U118" s="57"/>
      <c r="V118" s="58">
        <v>55.971001029014587</v>
      </c>
      <c r="W118" s="58">
        <v>97.760999321937561</v>
      </c>
      <c r="X118" s="58">
        <v>639.57700807973742</v>
      </c>
      <c r="Y118" s="27"/>
      <c r="Z118" s="57"/>
      <c r="AA118" s="57"/>
      <c r="AB118" s="57"/>
      <c r="AC118" s="57"/>
      <c r="AD118" s="57"/>
      <c r="AE118" s="57"/>
      <c r="AF118" s="41">
        <f t="shared" si="7"/>
        <v>833.86200822517276</v>
      </c>
    </row>
    <row r="119" spans="1:32" ht="15" customHeight="1">
      <c r="A119" s="3">
        <v>112</v>
      </c>
      <c r="B119" s="8" t="s">
        <v>137</v>
      </c>
      <c r="C119" s="23" t="s">
        <v>149</v>
      </c>
      <c r="D119" s="41">
        <f t="shared" si="6"/>
        <v>201.59248249126074</v>
      </c>
      <c r="E119" s="58">
        <v>19.20520007610321</v>
      </c>
      <c r="F119" s="57"/>
      <c r="G119" s="58">
        <v>74.158630532503125</v>
      </c>
      <c r="H119" s="58">
        <v>56.029099009156226</v>
      </c>
      <c r="I119" s="58">
        <v>22.511691241741179</v>
      </c>
      <c r="J119" s="45">
        <f t="shared" si="8"/>
        <v>29.687861631757006</v>
      </c>
      <c r="K119" s="13">
        <f t="shared" si="9"/>
        <v>166.34744748157945</v>
      </c>
      <c r="L119" s="57"/>
      <c r="M119" s="57"/>
      <c r="N119" s="57"/>
      <c r="O119" s="57"/>
      <c r="P119" s="57"/>
      <c r="Q119" s="45" t="str">
        <f t="shared" si="10"/>
        <v/>
      </c>
      <c r="R119" s="13" t="str">
        <f t="shared" si="11"/>
        <v/>
      </c>
      <c r="S119" s="58">
        <v>0.72200000286102295</v>
      </c>
      <c r="T119" s="57"/>
      <c r="U119" s="58">
        <v>19.368999600410461</v>
      </c>
      <c r="V119" s="58">
        <v>17.692999958992004</v>
      </c>
      <c r="W119" s="58">
        <v>43.323000431060791</v>
      </c>
      <c r="X119" s="58">
        <v>178.46899415180087</v>
      </c>
      <c r="Y119" s="27"/>
      <c r="Z119" s="57"/>
      <c r="AA119" s="57"/>
      <c r="AB119" s="57"/>
      <c r="AC119" s="57"/>
      <c r="AD119" s="57"/>
      <c r="AE119" s="57"/>
      <c r="AF119" s="41">
        <f t="shared" si="7"/>
        <v>259.57599414512515</v>
      </c>
    </row>
    <row r="120" spans="1:32" ht="15" customHeight="1">
      <c r="A120" s="3">
        <v>113</v>
      </c>
      <c r="B120" s="8" t="s">
        <v>138</v>
      </c>
      <c r="C120" s="23" t="s">
        <v>149</v>
      </c>
      <c r="D120" s="41">
        <f t="shared" si="6"/>
        <v>400.04563910676984</v>
      </c>
      <c r="E120" s="57"/>
      <c r="F120" s="58">
        <v>130.93069671213627</v>
      </c>
      <c r="G120" s="58">
        <v>73.79668442082405</v>
      </c>
      <c r="H120" s="58">
        <v>40.508269342899325</v>
      </c>
      <c r="I120" s="58">
        <v>61.950535907745362</v>
      </c>
      <c r="J120" s="45">
        <f t="shared" si="8"/>
        <v>92.859452723164836</v>
      </c>
      <c r="K120" s="13">
        <f t="shared" si="9"/>
        <v>213.98356409438259</v>
      </c>
      <c r="L120" s="57"/>
      <c r="M120" s="57"/>
      <c r="N120" s="57"/>
      <c r="O120" s="57"/>
      <c r="P120" s="57"/>
      <c r="Q120" s="45" t="str">
        <f t="shared" si="10"/>
        <v/>
      </c>
      <c r="R120" s="13" t="str">
        <f t="shared" si="11"/>
        <v/>
      </c>
      <c r="S120" s="57"/>
      <c r="T120" s="58">
        <v>26.344999253749847</v>
      </c>
      <c r="U120" s="58">
        <v>27.234000146389008</v>
      </c>
      <c r="V120" s="58">
        <v>30.482000067830086</v>
      </c>
      <c r="W120" s="58">
        <v>79.673999339342117</v>
      </c>
      <c r="X120" s="58">
        <v>433.95600552856922</v>
      </c>
      <c r="Y120" s="27"/>
      <c r="Z120" s="57"/>
      <c r="AA120" s="57"/>
      <c r="AB120" s="57"/>
      <c r="AC120" s="57"/>
      <c r="AD120" s="57"/>
      <c r="AE120" s="57"/>
      <c r="AF120" s="41">
        <f t="shared" si="7"/>
        <v>597.69100433588028</v>
      </c>
    </row>
    <row r="121" spans="1:32" ht="15" customHeight="1">
      <c r="A121" s="3">
        <v>114</v>
      </c>
      <c r="B121" s="8" t="s">
        <v>139</v>
      </c>
      <c r="C121" s="23" t="s">
        <v>150</v>
      </c>
      <c r="D121" s="41">
        <f t="shared" si="6"/>
        <v>3537.7369225036455</v>
      </c>
      <c r="E121" s="58">
        <v>881.88639869689939</v>
      </c>
      <c r="F121" s="58">
        <v>262.09571009874344</v>
      </c>
      <c r="G121" s="58">
        <v>63.310121192336084</v>
      </c>
      <c r="H121" s="58">
        <v>252.51431283307076</v>
      </c>
      <c r="I121" s="58">
        <v>140.8597928981483</v>
      </c>
      <c r="J121" s="45">
        <f t="shared" si="8"/>
        <v>152.46451981379707</v>
      </c>
      <c r="K121" s="13">
        <f t="shared" si="9"/>
        <v>243.02479177608714</v>
      </c>
      <c r="L121" s="58">
        <v>259.74006747484208</v>
      </c>
      <c r="M121" s="58">
        <v>131.30649210548401</v>
      </c>
      <c r="N121" s="58">
        <v>397.05742494118215</v>
      </c>
      <c r="O121" s="58">
        <v>492.310039141804</v>
      </c>
      <c r="P121" s="58">
        <v>224.527041825369</v>
      </c>
      <c r="Q121" s="45">
        <f t="shared" si="10"/>
        <v>279.66500148196877</v>
      </c>
      <c r="R121" s="13">
        <f t="shared" si="11"/>
        <v>820.81801619952148</v>
      </c>
      <c r="S121" s="58">
        <v>21.680999994277954</v>
      </c>
      <c r="T121" s="58">
        <v>24.026999890804291</v>
      </c>
      <c r="U121" s="58">
        <v>12.300999969244003</v>
      </c>
      <c r="V121" s="58">
        <v>62.783999860286713</v>
      </c>
      <c r="W121" s="58">
        <v>147.77399948239326</v>
      </c>
      <c r="X121" s="58">
        <v>627.36200162768364</v>
      </c>
      <c r="Y121" s="27"/>
      <c r="Z121" s="58">
        <v>7.497999906539917</v>
      </c>
      <c r="AA121" s="58">
        <v>7.4429998397827148</v>
      </c>
      <c r="AB121" s="58">
        <v>19.495000034570694</v>
      </c>
      <c r="AC121" s="58">
        <v>30.885000124573708</v>
      </c>
      <c r="AD121" s="58">
        <v>33.578000232577324</v>
      </c>
      <c r="AE121" s="58">
        <v>340.71498914808035</v>
      </c>
      <c r="AF121" s="41">
        <f t="shared" si="7"/>
        <v>1335.5429901108146</v>
      </c>
    </row>
    <row r="122" spans="1:32" ht="15" customHeight="1">
      <c r="A122" s="3">
        <v>115</v>
      </c>
      <c r="B122" s="8" t="s">
        <v>140</v>
      </c>
      <c r="C122" s="23" t="s">
        <v>149</v>
      </c>
      <c r="D122" s="41">
        <f t="shared" si="6"/>
        <v>378.30974579728996</v>
      </c>
      <c r="E122" s="57"/>
      <c r="F122" s="58">
        <v>156.42983007815479</v>
      </c>
      <c r="G122" s="58">
        <v>100.6541962184012</v>
      </c>
      <c r="H122" s="58">
        <v>50.473250709891317</v>
      </c>
      <c r="I122" s="58">
        <v>28.702340008765461</v>
      </c>
      <c r="J122" s="45">
        <f t="shared" si="8"/>
        <v>42.050128782077181</v>
      </c>
      <c r="K122" s="13">
        <f t="shared" si="9"/>
        <v>142.14432009339205</v>
      </c>
      <c r="L122" s="57"/>
      <c r="M122" s="57"/>
      <c r="N122" s="57"/>
      <c r="O122" s="57"/>
      <c r="P122" s="57"/>
      <c r="Q122" s="45" t="str">
        <f t="shared" si="10"/>
        <v/>
      </c>
      <c r="R122" s="13" t="str">
        <f t="shared" si="11"/>
        <v/>
      </c>
      <c r="S122" s="57"/>
      <c r="T122" s="58">
        <v>24.829000100493431</v>
      </c>
      <c r="U122" s="58">
        <v>20.426999859511852</v>
      </c>
      <c r="V122" s="58">
        <v>43.027999714016914</v>
      </c>
      <c r="W122" s="58">
        <v>71.042999804019928</v>
      </c>
      <c r="X122" s="58">
        <v>295.82700704783201</v>
      </c>
      <c r="Y122" s="27"/>
      <c r="Z122" s="57"/>
      <c r="AA122" s="57"/>
      <c r="AB122" s="57"/>
      <c r="AC122" s="57"/>
      <c r="AD122" s="57"/>
      <c r="AE122" s="57"/>
      <c r="AF122" s="41">
        <f t="shared" si="7"/>
        <v>455.15400652587414</v>
      </c>
    </row>
    <row r="123" spans="1:32" ht="15" customHeight="1">
      <c r="A123" s="3">
        <v>116</v>
      </c>
      <c r="B123" s="8" t="s">
        <v>141</v>
      </c>
      <c r="C123" s="23" t="s">
        <v>150</v>
      </c>
      <c r="D123" s="41">
        <f t="shared" si="6"/>
        <v>520.19121577148462</v>
      </c>
      <c r="E123" s="57"/>
      <c r="F123" s="57"/>
      <c r="G123" s="58">
        <v>167.53367962026596</v>
      </c>
      <c r="H123" s="58">
        <v>24.479495710372923</v>
      </c>
      <c r="I123" s="58">
        <v>89.807709006071093</v>
      </c>
      <c r="J123" s="45">
        <f t="shared" si="8"/>
        <v>89.005128111519127</v>
      </c>
      <c r="K123" s="13">
        <f t="shared" si="9"/>
        <v>193.28057948176419</v>
      </c>
      <c r="L123" s="57"/>
      <c r="M123" s="57"/>
      <c r="N123" s="58">
        <v>59.47020042711496</v>
      </c>
      <c r="O123" s="58">
        <v>64.94322591131926</v>
      </c>
      <c r="P123" s="58">
        <v>8.0391930510103702</v>
      </c>
      <c r="Q123" s="45">
        <f t="shared" si="10"/>
        <v>16.912583933810932</v>
      </c>
      <c r="R123" s="13">
        <f t="shared" si="11"/>
        <v>374.96029340905665</v>
      </c>
      <c r="S123" s="57"/>
      <c r="T123" s="57"/>
      <c r="U123" s="58">
        <v>20.211000204086304</v>
      </c>
      <c r="V123" s="58">
        <v>12.251999855041504</v>
      </c>
      <c r="W123" s="58">
        <v>135.93000030517578</v>
      </c>
      <c r="X123" s="58">
        <v>460.49700570106506</v>
      </c>
      <c r="Y123" s="27"/>
      <c r="Z123" s="57"/>
      <c r="AA123" s="57"/>
      <c r="AB123" s="58">
        <v>5.0239999294281006</v>
      </c>
      <c r="AC123" s="58">
        <v>6.0760000348091125</v>
      </c>
      <c r="AD123" s="58">
        <v>4.213000014424324</v>
      </c>
      <c r="AE123" s="58">
        <v>45.104999732226133</v>
      </c>
      <c r="AF123" s="41">
        <f t="shared" si="7"/>
        <v>689.30800577625632</v>
      </c>
    </row>
    <row r="124" spans="1:32" ht="15" customHeight="1">
      <c r="A124" s="3">
        <v>117</v>
      </c>
      <c r="B124" s="8" t="s">
        <v>142</v>
      </c>
      <c r="C124" s="23" t="s">
        <v>149</v>
      </c>
      <c r="D124" s="41">
        <f t="shared" si="6"/>
        <v>453.80243054968236</v>
      </c>
      <c r="E124" s="57"/>
      <c r="F124" s="58">
        <v>116.18595651626588</v>
      </c>
      <c r="G124" s="58">
        <v>77.026698825955393</v>
      </c>
      <c r="H124" s="58">
        <v>147.13817492103576</v>
      </c>
      <c r="I124" s="58">
        <v>45.706286310523751</v>
      </c>
      <c r="J124" s="45">
        <f t="shared" si="8"/>
        <v>67.745313975901567</v>
      </c>
      <c r="K124" s="13">
        <f t="shared" si="9"/>
        <v>161.11576405756705</v>
      </c>
      <c r="L124" s="57"/>
      <c r="M124" s="57"/>
      <c r="N124" s="57"/>
      <c r="O124" s="57"/>
      <c r="P124" s="57"/>
      <c r="Q124" s="45" t="str">
        <f t="shared" si="10"/>
        <v/>
      </c>
      <c r="R124" s="13" t="str">
        <f t="shared" si="11"/>
        <v/>
      </c>
      <c r="S124" s="57"/>
      <c r="T124" s="58">
        <v>10.302000045776367</v>
      </c>
      <c r="U124" s="58">
        <v>27.700999170541763</v>
      </c>
      <c r="V124" s="58">
        <v>67.11200088262558</v>
      </c>
      <c r="W124" s="58">
        <v>92.576001018285751</v>
      </c>
      <c r="X124" s="58">
        <v>420.47601221501827</v>
      </c>
      <c r="Y124" s="27"/>
      <c r="Z124" s="57"/>
      <c r="AA124" s="57"/>
      <c r="AB124" s="57"/>
      <c r="AC124" s="57"/>
      <c r="AD124" s="57"/>
      <c r="AE124" s="57"/>
      <c r="AF124" s="41">
        <f t="shared" si="7"/>
        <v>618.16701333224773</v>
      </c>
    </row>
    <row r="125" spans="1:32" ht="15" customHeight="1">
      <c r="A125" s="3">
        <v>118</v>
      </c>
      <c r="B125" s="8" t="s">
        <v>143</v>
      </c>
      <c r="C125" s="23" t="s">
        <v>150</v>
      </c>
      <c r="D125" s="41">
        <f t="shared" si="6"/>
        <v>1478.3480844659841</v>
      </c>
      <c r="E125" s="58">
        <v>670.5232414503098</v>
      </c>
      <c r="F125" s="58">
        <v>1.2561299765110017</v>
      </c>
      <c r="G125" s="58">
        <v>62.140008685827254</v>
      </c>
      <c r="H125" s="58">
        <v>210.5100801974535</v>
      </c>
      <c r="I125" s="58">
        <v>60.395951159715651</v>
      </c>
      <c r="J125" s="45">
        <f t="shared" si="8"/>
        <v>129.9150170520542</v>
      </c>
      <c r="K125" s="13">
        <f t="shared" si="9"/>
        <v>223.71869850819724</v>
      </c>
      <c r="L125" s="58">
        <v>118.66073886394501</v>
      </c>
      <c r="M125" s="57"/>
      <c r="N125" s="58">
        <v>36.480599534511569</v>
      </c>
      <c r="O125" s="58">
        <v>129.21128362693636</v>
      </c>
      <c r="P125" s="58">
        <v>30.865927481532097</v>
      </c>
      <c r="Q125" s="45">
        <f t="shared" si="10"/>
        <v>28.389106437187525</v>
      </c>
      <c r="R125" s="13">
        <f t="shared" si="11"/>
        <v>408.10054804387272</v>
      </c>
      <c r="S125" s="58">
        <v>24.357000350952148</v>
      </c>
      <c r="T125" s="58">
        <v>0.15299999713897705</v>
      </c>
      <c r="U125" s="58">
        <v>16.026000082492828</v>
      </c>
      <c r="V125" s="58">
        <v>78.570999711751938</v>
      </c>
      <c r="W125" s="58">
        <v>72.336000323295593</v>
      </c>
      <c r="X125" s="58">
        <v>580.70701250433922</v>
      </c>
      <c r="Y125" s="27"/>
      <c r="Z125" s="58">
        <v>3.5859999656677246</v>
      </c>
      <c r="AA125" s="57"/>
      <c r="AB125" s="58">
        <v>2.9989999532699585</v>
      </c>
      <c r="AC125" s="58">
        <v>15.317999981343746</v>
      </c>
      <c r="AD125" s="58">
        <v>14.125000104308128</v>
      </c>
      <c r="AE125" s="58">
        <v>69.563999786973</v>
      </c>
      <c r="AF125" s="41">
        <f t="shared" si="7"/>
        <v>877.74201276153326</v>
      </c>
    </row>
    <row r="126" spans="1:32" ht="15" customHeight="1">
      <c r="A126" s="3">
        <v>119</v>
      </c>
      <c r="B126" s="8" t="s">
        <v>144</v>
      </c>
      <c r="C126" s="23" t="s">
        <v>149</v>
      </c>
      <c r="D126" s="41">
        <f t="shared" si="6"/>
        <v>298.94912329626152</v>
      </c>
      <c r="E126" s="57"/>
      <c r="F126" s="58">
        <v>166.75243924105166</v>
      </c>
      <c r="G126" s="58">
        <v>14.959044687747955</v>
      </c>
      <c r="H126" s="58">
        <v>63.959452397406103</v>
      </c>
      <c r="I126" s="58">
        <v>20.180099108010531</v>
      </c>
      <c r="J126" s="45">
        <f t="shared" si="8"/>
        <v>33.098087862045254</v>
      </c>
      <c r="K126" s="13">
        <f t="shared" si="9"/>
        <v>136.58101625000816</v>
      </c>
      <c r="L126" s="57"/>
      <c r="M126" s="57"/>
      <c r="N126" s="57"/>
      <c r="O126" s="57"/>
      <c r="P126" s="57"/>
      <c r="Q126" s="45" t="str">
        <f t="shared" si="10"/>
        <v/>
      </c>
      <c r="R126" s="13" t="str">
        <f t="shared" si="11"/>
        <v/>
      </c>
      <c r="S126" s="57"/>
      <c r="T126" s="58">
        <v>32.431999415159225</v>
      </c>
      <c r="U126" s="58">
        <v>7.3539998531341553</v>
      </c>
      <c r="V126" s="58">
        <v>50.114999741315842</v>
      </c>
      <c r="W126" s="58">
        <v>53.245000436902046</v>
      </c>
      <c r="X126" s="58">
        <v>242.33300330303609</v>
      </c>
      <c r="Y126" s="27"/>
      <c r="Z126" s="57"/>
      <c r="AA126" s="57"/>
      <c r="AB126" s="57"/>
      <c r="AC126" s="57"/>
      <c r="AD126" s="57"/>
      <c r="AE126" s="57"/>
      <c r="AF126" s="41">
        <f t="shared" si="7"/>
        <v>385.47900274954736</v>
      </c>
    </row>
    <row r="127" spans="1:32" ht="15" customHeight="1">
      <c r="A127" s="3">
        <v>120</v>
      </c>
      <c r="B127" s="8" t="s">
        <v>145</v>
      </c>
      <c r="C127" s="23" t="s">
        <v>150</v>
      </c>
      <c r="D127" s="41">
        <f t="shared" si="6"/>
        <v>1067.5231227778656</v>
      </c>
      <c r="E127" s="58">
        <v>276.88330688095095</v>
      </c>
      <c r="F127" s="58">
        <v>374.94547016811373</v>
      </c>
      <c r="G127" s="58">
        <v>50.779013536691664</v>
      </c>
      <c r="H127" s="58">
        <v>108.33003729441762</v>
      </c>
      <c r="I127" s="58">
        <v>57.601062829315666</v>
      </c>
      <c r="J127" s="45">
        <f t="shared" si="8"/>
        <v>38.585078926826533</v>
      </c>
      <c r="K127" s="13">
        <f t="shared" si="9"/>
        <v>253.35084064481134</v>
      </c>
      <c r="L127" s="57"/>
      <c r="M127" s="57"/>
      <c r="N127" s="58">
        <v>53.633599185943602</v>
      </c>
      <c r="O127" s="58">
        <v>49.29228371116519</v>
      </c>
      <c r="P127" s="58">
        <v>27.028814665488898</v>
      </c>
      <c r="Q127" s="45">
        <f t="shared" si="10"/>
        <v>30.444455578951846</v>
      </c>
      <c r="R127" s="13">
        <f t="shared" si="11"/>
        <v>581.70043285637382</v>
      </c>
      <c r="S127" s="58">
        <v>7.6750001907348633</v>
      </c>
      <c r="T127" s="58">
        <v>19.718000173568726</v>
      </c>
      <c r="U127" s="58">
        <v>7.7590002715587616</v>
      </c>
      <c r="V127" s="58">
        <v>36.363000236451626</v>
      </c>
      <c r="W127" s="58">
        <v>56.534999325871468</v>
      </c>
      <c r="X127" s="58">
        <v>152.29899702966213</v>
      </c>
      <c r="Y127" s="27"/>
      <c r="Z127" s="57"/>
      <c r="AA127" s="57"/>
      <c r="AB127" s="58">
        <v>2.5079999566078186</v>
      </c>
      <c r="AC127" s="58">
        <v>7.0269999802112579</v>
      </c>
      <c r="AD127" s="58">
        <v>7.0139999054372311</v>
      </c>
      <c r="AE127" s="58">
        <v>52.337000042200089</v>
      </c>
      <c r="AF127" s="41">
        <f t="shared" si="7"/>
        <v>349.23499711230397</v>
      </c>
    </row>
    <row r="128" spans="1:32" s="36" customFormat="1" ht="15.75">
      <c r="A128" s="28"/>
      <c r="B128" s="29"/>
      <c r="C128" s="30"/>
      <c r="D128" s="42"/>
      <c r="E128" s="31"/>
      <c r="F128" s="31"/>
      <c r="G128" s="31"/>
      <c r="H128" s="31"/>
      <c r="I128" s="31"/>
      <c r="J128" s="46"/>
      <c r="K128" s="32"/>
      <c r="L128" s="33"/>
      <c r="M128" s="33"/>
      <c r="N128" s="33"/>
      <c r="O128" s="33"/>
      <c r="P128" s="33"/>
      <c r="Q128" s="46"/>
      <c r="R128" s="32"/>
      <c r="S128" s="34"/>
      <c r="T128" s="34"/>
      <c r="U128" s="34"/>
      <c r="V128" s="34"/>
      <c r="W128" s="34"/>
      <c r="X128" s="35"/>
      <c r="Y128" s="35"/>
      <c r="Z128" s="34"/>
      <c r="AA128" s="34"/>
      <c r="AB128" s="34"/>
      <c r="AC128" s="34"/>
      <c r="AD128" s="34"/>
      <c r="AE128" s="35"/>
      <c r="AF128" s="42"/>
    </row>
    <row r="129" spans="1:32" ht="15.75">
      <c r="A129" s="3"/>
      <c r="B129" s="50" t="s">
        <v>146</v>
      </c>
      <c r="C129" s="51"/>
      <c r="D129" s="41">
        <f t="shared" ref="D129:J129" si="12">SUM(D8:D127)</f>
        <v>129248.94337576143</v>
      </c>
      <c r="E129" s="41">
        <f t="shared" si="12"/>
        <v>17940.139573498545</v>
      </c>
      <c r="F129" s="41">
        <f t="shared" si="12"/>
        <v>19156.419379055282</v>
      </c>
      <c r="G129" s="41">
        <f t="shared" si="12"/>
        <v>7708.9113144380553</v>
      </c>
      <c r="H129" s="41">
        <f t="shared" si="12"/>
        <v>13447.938536754229</v>
      </c>
      <c r="I129" s="41">
        <f t="shared" si="12"/>
        <v>6561.5586452579564</v>
      </c>
      <c r="J129" s="41">
        <f t="shared" si="12"/>
        <v>9505.8499580505559</v>
      </c>
      <c r="K129" s="52">
        <f>1000*J129/X129</f>
        <v>204.63394318735948</v>
      </c>
      <c r="L129" s="41">
        <f t="shared" ref="L129:Q129" si="13">SUM(L8:L127)</f>
        <v>16515.673238027215</v>
      </c>
      <c r="M129" s="41">
        <f t="shared" si="13"/>
        <v>2154.41125547719</v>
      </c>
      <c r="N129" s="41">
        <f t="shared" si="13"/>
        <v>15505.578448195083</v>
      </c>
      <c r="O129" s="41">
        <f t="shared" si="13"/>
        <v>9952.6916496609392</v>
      </c>
      <c r="P129" s="41">
        <f t="shared" si="13"/>
        <v>4590.4244280040048</v>
      </c>
      <c r="Q129" s="41">
        <f t="shared" si="13"/>
        <v>6209.3469493424227</v>
      </c>
      <c r="R129" s="52">
        <f>1000*Q129/AE129</f>
        <v>654.65194766416732</v>
      </c>
      <c r="S129" s="41">
        <f t="shared" ref="S129:AF129" si="14">SUM(S8:S127)</f>
        <v>552.95500108599663</v>
      </c>
      <c r="T129" s="41">
        <f t="shared" si="14"/>
        <v>2357.8359990241006</v>
      </c>
      <c r="U129" s="41">
        <f t="shared" si="14"/>
        <v>1704.0060008745641</v>
      </c>
      <c r="V129" s="41">
        <f t="shared" si="14"/>
        <v>6208.2490096651018</v>
      </c>
      <c r="W129" s="41">
        <f t="shared" si="14"/>
        <v>8936.7929969122633</v>
      </c>
      <c r="X129" s="41">
        <f t="shared" si="14"/>
        <v>46452.948176574777</v>
      </c>
      <c r="Y129" s="41"/>
      <c r="Z129" s="41">
        <f t="shared" si="14"/>
        <v>209.4330005645752</v>
      </c>
      <c r="AA129" s="41">
        <f t="shared" si="14"/>
        <v>67.050999999046326</v>
      </c>
      <c r="AB129" s="41">
        <f t="shared" si="14"/>
        <v>791.11600048840046</v>
      </c>
      <c r="AC129" s="41">
        <f t="shared" si="14"/>
        <v>1013.5869994033128</v>
      </c>
      <c r="AD129" s="41">
        <f t="shared" si="14"/>
        <v>969.43099932267796</v>
      </c>
      <c r="AE129" s="41">
        <f t="shared" si="14"/>
        <v>9484.9591015465558</v>
      </c>
      <c r="AF129" s="41">
        <f t="shared" si="14"/>
        <v>78748.364285461372</v>
      </c>
    </row>
    <row r="130" spans="1:32" ht="12.75" customHeight="1">
      <c r="A130" s="3"/>
      <c r="B130" s="53" t="s">
        <v>159</v>
      </c>
      <c r="C130" s="51"/>
      <c r="D130" s="41"/>
      <c r="E130" s="54">
        <f>E129/$D$129</f>
        <v>0.13880298828704338</v>
      </c>
      <c r="F130" s="54">
        <f t="shared" ref="F130:Q130" si="15">F129/$D$129</f>
        <v>0.14821335384818132</v>
      </c>
      <c r="G130" s="54">
        <f t="shared" si="15"/>
        <v>5.9643902016484403E-2</v>
      </c>
      <c r="H130" s="54">
        <f t="shared" si="15"/>
        <v>0.1040467967127395</v>
      </c>
      <c r="I130" s="54">
        <f t="shared" si="15"/>
        <v>5.0766826202839746E-2</v>
      </c>
      <c r="J130" s="54">
        <f t="shared" si="15"/>
        <v>7.3546829163736324E-2</v>
      </c>
      <c r="K130" s="54"/>
      <c r="L130" s="54">
        <f t="shared" si="15"/>
        <v>0.12778188205385721</v>
      </c>
      <c r="M130" s="54">
        <f t="shared" si="15"/>
        <v>1.6668695303865944E-2</v>
      </c>
      <c r="N130" s="54">
        <f t="shared" si="15"/>
        <v>0.11996677143515361</v>
      </c>
      <c r="O130" s="54">
        <f t="shared" si="15"/>
        <v>7.7004046530003645E-2</v>
      </c>
      <c r="P130" s="54">
        <f t="shared" si="15"/>
        <v>3.5516146655515834E-2</v>
      </c>
      <c r="Q130" s="54">
        <f t="shared" si="15"/>
        <v>4.8041761790579451E-2</v>
      </c>
      <c r="R130" s="55"/>
      <c r="S130" s="54">
        <f>S129/$AF$129</f>
        <v>7.0217966570269947E-3</v>
      </c>
      <c r="T130" s="54">
        <f t="shared" ref="T130:AE130" si="16">T129/$AF$129</f>
        <v>2.9941396502878314E-2</v>
      </c>
      <c r="U130" s="54">
        <f t="shared" si="16"/>
        <v>2.1638620895001369E-2</v>
      </c>
      <c r="V130" s="54">
        <f t="shared" si="16"/>
        <v>7.8836545571414202E-2</v>
      </c>
      <c r="W130" s="54">
        <f t="shared" si="16"/>
        <v>0.11348544287874417</v>
      </c>
      <c r="X130" s="54">
        <f t="shared" si="16"/>
        <v>0.58989095961642701</v>
      </c>
      <c r="Y130" s="54"/>
      <c r="Z130" s="54">
        <f t="shared" si="16"/>
        <v>2.6595219147077698E-3</v>
      </c>
      <c r="AA130" s="54">
        <f t="shared" si="16"/>
        <v>8.5145895546462E-4</v>
      </c>
      <c r="AB130" s="54">
        <f t="shared" si="16"/>
        <v>1.0046126134386988E-2</v>
      </c>
      <c r="AC130" s="54">
        <f t="shared" si="16"/>
        <v>1.2871213371862285E-2</v>
      </c>
      <c r="AD130" s="54">
        <f t="shared" si="16"/>
        <v>1.2310490612967E-2</v>
      </c>
      <c r="AE130" s="54">
        <f t="shared" si="16"/>
        <v>0.12044642688911929</v>
      </c>
      <c r="AF130" s="54"/>
    </row>
  </sheetData>
  <mergeCells count="4">
    <mergeCell ref="Z5:AE5"/>
    <mergeCell ref="E5:J5"/>
    <mergeCell ref="L5:Q5"/>
    <mergeCell ref="S5:X5"/>
  </mergeCells>
  <phoneticPr fontId="18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C5130A0-5E7D-4AE6-9B1D-C60CECA00B38}"/>
</file>

<file path=customXml/itemProps2.xml><?xml version="1.0" encoding="utf-8"?>
<ds:datastoreItem xmlns:ds="http://schemas.openxmlformats.org/officeDocument/2006/customXml" ds:itemID="{0E35BFCB-4A6B-47AB-86F8-58BDF9B360A7}"/>
</file>

<file path=customXml/itemProps3.xml><?xml version="1.0" encoding="utf-8"?>
<ds:datastoreItem xmlns:ds="http://schemas.openxmlformats.org/officeDocument/2006/customXml" ds:itemID="{18998B00-D15E-4BD7-8C5C-09C813D52E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2007-06-27T20:37:27Z</cp:lastPrinted>
  <dcterms:created xsi:type="dcterms:W3CDTF">2000-09-06T17:52:56Z</dcterms:created>
  <dcterms:modified xsi:type="dcterms:W3CDTF">2013-08-20T20:16:35Z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