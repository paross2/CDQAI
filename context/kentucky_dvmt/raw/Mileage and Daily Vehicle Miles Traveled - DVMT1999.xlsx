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6980" windowHeight="12150"/>
  </bookViews>
  <sheets>
    <sheet name="VMT1" sheetId="4" r:id="rId1"/>
  </sheets>
  <definedNames>
    <definedName name="_xlnm._FilterDatabase" localSheetId="0" hidden="1">'VMT1'!$A$1:$AD$126</definedName>
    <definedName name="_xlnm.Print_Titles" localSheetId="0">'VMT1'!$A:$B,'VMT1'!$4:$6</definedName>
    <definedName name="Z_42EEE160_96A8_11D3_9088_00C04FACEB10_.wvu.PrintTitles" localSheetId="0" hidden="1">'VMT1'!$A:$B,'VMT1'!$4:$6</definedName>
    <definedName name="Z_9B35B1A4_5380_11D4_9606_00B0D02CABC0_.wvu.FilterData" localSheetId="0" hidden="1">'VMT1'!$A$1:$AD$126</definedName>
    <definedName name="Z_9B35B1A4_5380_11D4_9606_00B0D02CABC0_.wvu.PrintTitles" localSheetId="0" hidden="1">'VMT1'!$A:$B,'VMT1'!$4:$6</definedName>
  </definedNames>
  <calcPr calcId="125725" fullCalcOnLoad="1"/>
</workbook>
</file>

<file path=xl/calcChain.xml><?xml version="1.0" encoding="utf-8"?>
<calcChain xmlns="http://schemas.openxmlformats.org/spreadsheetml/2006/main">
  <c r="C36" i="4"/>
  <c r="C7"/>
  <c r="AD7"/>
  <c r="AD128" s="1"/>
  <c r="C8"/>
  <c r="AD8"/>
  <c r="C9"/>
  <c r="AD9"/>
  <c r="C10"/>
  <c r="AD10"/>
  <c r="C11"/>
  <c r="AD11"/>
  <c r="C12"/>
  <c r="AD12"/>
  <c r="C13"/>
  <c r="AD13"/>
  <c r="C14"/>
  <c r="AD14"/>
  <c r="C15"/>
  <c r="AD15"/>
  <c r="C16"/>
  <c r="AD16"/>
  <c r="C17"/>
  <c r="AD17"/>
  <c r="C18"/>
  <c r="AD18"/>
  <c r="C19"/>
  <c r="AD19"/>
  <c r="C20"/>
  <c r="AD20"/>
  <c r="C21"/>
  <c r="AD21"/>
  <c r="C22"/>
  <c r="AD22"/>
  <c r="C23"/>
  <c r="AD23"/>
  <c r="C24"/>
  <c r="AD24"/>
  <c r="C25"/>
  <c r="AD25"/>
  <c r="C26"/>
  <c r="AD26"/>
  <c r="C27"/>
  <c r="AD27"/>
  <c r="C28"/>
  <c r="AD28"/>
  <c r="C29"/>
  <c r="AD29"/>
  <c r="C30"/>
  <c r="AD30"/>
  <c r="C31"/>
  <c r="AD31"/>
  <c r="C32"/>
  <c r="AD32"/>
  <c r="C33"/>
  <c r="AD33"/>
  <c r="C34"/>
  <c r="AD34"/>
  <c r="C35"/>
  <c r="AD35"/>
  <c r="AD36"/>
  <c r="C37"/>
  <c r="AD37"/>
  <c r="C38"/>
  <c r="AD38"/>
  <c r="C39"/>
  <c r="AD39"/>
  <c r="C40"/>
  <c r="C128" s="1"/>
  <c r="AD40"/>
  <c r="C41"/>
  <c r="AD41"/>
  <c r="C42"/>
  <c r="AD42"/>
  <c r="C43"/>
  <c r="AD43"/>
  <c r="C44"/>
  <c r="AD44"/>
  <c r="C45"/>
  <c r="AD45"/>
  <c r="C46"/>
  <c r="AD46"/>
  <c r="C47"/>
  <c r="AD47"/>
  <c r="C48"/>
  <c r="AD48"/>
  <c r="C49"/>
  <c r="AD49"/>
  <c r="C50"/>
  <c r="AD50"/>
  <c r="C51"/>
  <c r="AD51"/>
  <c r="C52"/>
  <c r="AD52"/>
  <c r="C53"/>
  <c r="AD53"/>
  <c r="C54"/>
  <c r="AD54"/>
  <c r="C55"/>
  <c r="AD55"/>
  <c r="C56"/>
  <c r="AD56"/>
  <c r="C57"/>
  <c r="AD57"/>
  <c r="C58"/>
  <c r="AD58"/>
  <c r="C59"/>
  <c r="AD59"/>
  <c r="C60"/>
  <c r="AD60"/>
  <c r="C61"/>
  <c r="AD61"/>
  <c r="C62"/>
  <c r="AD62"/>
  <c r="C63"/>
  <c r="AD63"/>
  <c r="C64"/>
  <c r="AD64"/>
  <c r="C65"/>
  <c r="AD65"/>
  <c r="C66"/>
  <c r="AD66"/>
  <c r="C67"/>
  <c r="AD67"/>
  <c r="C68"/>
  <c r="AD68"/>
  <c r="C69"/>
  <c r="AD69"/>
  <c r="C70"/>
  <c r="AD70"/>
  <c r="C71"/>
  <c r="AD71"/>
  <c r="C72"/>
  <c r="AD72"/>
  <c r="C73"/>
  <c r="AD73"/>
  <c r="C74"/>
  <c r="AD74"/>
  <c r="C75"/>
  <c r="AD75"/>
  <c r="C76"/>
  <c r="AD76"/>
  <c r="C77"/>
  <c r="AD77"/>
  <c r="C78"/>
  <c r="AD78"/>
  <c r="C79"/>
  <c r="AD79"/>
  <c r="C80"/>
  <c r="AD80"/>
  <c r="C81"/>
  <c r="AD81"/>
  <c r="C82"/>
  <c r="AD82"/>
  <c r="C83"/>
  <c r="AD83"/>
  <c r="C84"/>
  <c r="AD84"/>
  <c r="C85"/>
  <c r="AD85"/>
  <c r="C86"/>
  <c r="AD86"/>
  <c r="C87"/>
  <c r="AD87"/>
  <c r="C88"/>
  <c r="AD88"/>
  <c r="C89"/>
  <c r="AD89"/>
  <c r="C90"/>
  <c r="AD90"/>
  <c r="C91"/>
  <c r="AD91"/>
  <c r="C92"/>
  <c r="AD92"/>
  <c r="C93"/>
  <c r="AD93"/>
  <c r="C94"/>
  <c r="AD94"/>
  <c r="C95"/>
  <c r="AD95"/>
  <c r="C96"/>
  <c r="AD96"/>
  <c r="C97"/>
  <c r="AD97"/>
  <c r="C98"/>
  <c r="AD98"/>
  <c r="C99"/>
  <c r="AD99"/>
  <c r="C100"/>
  <c r="AD100"/>
  <c r="C101"/>
  <c r="AD101"/>
  <c r="C102"/>
  <c r="AD102"/>
  <c r="C103"/>
  <c r="AD103"/>
  <c r="C104"/>
  <c r="AD104"/>
  <c r="C105"/>
  <c r="AD105"/>
  <c r="C106"/>
  <c r="AD106"/>
  <c r="C107"/>
  <c r="AD107"/>
  <c r="C108"/>
  <c r="AD108"/>
  <c r="C109"/>
  <c r="AD109"/>
  <c r="C110"/>
  <c r="AD110"/>
  <c r="C111"/>
  <c r="AD111"/>
  <c r="C112"/>
  <c r="AD112"/>
  <c r="C113"/>
  <c r="AD113"/>
  <c r="C114"/>
  <c r="AD114"/>
  <c r="C115"/>
  <c r="AD115"/>
  <c r="C116"/>
  <c r="AD116"/>
  <c r="C117"/>
  <c r="AD117"/>
  <c r="C118"/>
  <c r="AD118"/>
  <c r="C119"/>
  <c r="AD119"/>
  <c r="C120"/>
  <c r="AD120"/>
  <c r="C121"/>
  <c r="AD121"/>
  <c r="C122"/>
  <c r="AD122"/>
  <c r="C123"/>
  <c r="AD123"/>
  <c r="C124"/>
  <c r="AD124"/>
  <c r="C125"/>
  <c r="AD125"/>
  <c r="C126"/>
  <c r="AD126"/>
  <c r="D128"/>
  <c r="E128"/>
  <c r="F128"/>
  <c r="G128"/>
  <c r="H128"/>
  <c r="I128"/>
  <c r="K128"/>
  <c r="L128"/>
  <c r="M128"/>
  <c r="N128"/>
  <c r="O128"/>
  <c r="P128"/>
  <c r="R128"/>
  <c r="S128"/>
  <c r="T128"/>
  <c r="U128"/>
  <c r="V128"/>
  <c r="W128"/>
  <c r="X128"/>
  <c r="Y128"/>
  <c r="Z128"/>
  <c r="AA128"/>
  <c r="AB128"/>
  <c r="AC128"/>
</calcChain>
</file>

<file path=xl/sharedStrings.xml><?xml version="1.0" encoding="utf-8"?>
<sst xmlns="http://schemas.openxmlformats.org/spreadsheetml/2006/main" count="1408" uniqueCount="157">
  <si>
    <t>1999 DVMT (in thousands) and Mileage by County and Functional Class</t>
  </si>
  <si>
    <t>with Local DVMT's  adjusted using (Minor) Collector ratios:  Loc. DVMT = Loc. Miles * percentage * (Coll. DVMT / Coll. Miles)</t>
  </si>
  <si>
    <t>August 14, 2000</t>
  </si>
  <si>
    <t>Rev. 1999</t>
  </si>
  <si>
    <t>Rural DVMT (x1,000)</t>
  </si>
  <si>
    <t>Loc/</t>
  </si>
  <si>
    <t>Urban DVMT (x1,000)</t>
  </si>
  <si>
    <t>Rural Miles</t>
  </si>
  <si>
    <t>Urban Miles</t>
  </si>
  <si>
    <t>County</t>
  </si>
  <si>
    <t>Tot. DVMT</t>
  </si>
  <si>
    <t>INTER.</t>
  </si>
  <si>
    <t>PR.ART</t>
  </si>
  <si>
    <t>MN.ART</t>
  </si>
  <si>
    <t>MJ.COL</t>
  </si>
  <si>
    <t>MN.COL</t>
  </si>
  <si>
    <t>LOCAL</t>
  </si>
  <si>
    <t>MnC</t>
  </si>
  <si>
    <t>EXPR.</t>
  </si>
  <si>
    <t>COLL.</t>
  </si>
  <si>
    <t>Coll.</t>
  </si>
  <si>
    <t>TOTAL</t>
  </si>
  <si>
    <t>1</t>
  </si>
  <si>
    <t>2</t>
  </si>
  <si>
    <t>6</t>
  </si>
  <si>
    <t>7</t>
  </si>
  <si>
    <t>8</t>
  </si>
  <si>
    <t>(Revised)</t>
  </si>
  <si>
    <t>11</t>
  </si>
  <si>
    <t>12</t>
  </si>
  <si>
    <t>14</t>
  </si>
  <si>
    <t>16</t>
  </si>
  <si>
    <t>17</t>
  </si>
  <si>
    <t>9</t>
  </si>
  <si>
    <t>19</t>
  </si>
  <si>
    <t>ADAIR</t>
  </si>
  <si>
    <t/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</si>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</sst>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0"/>
      <name val="Arial"/>
    </font>
    <font>
      <sz val="10"/>
      <color indexed="8"/>
      <name val="MS Sans Serif"/>
    </font>
    <font>
      <sz val="12"/>
      <name val="Arial"/>
      <family val="2"/>
    </font>
    <font>
      <sz val="10"/>
      <color indexed="8"/>
      <name val="Arial"/>
    </font>
    <font>
      <sz val="12"/>
      <color indexed="8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3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5" fontId="2" fillId="0" borderId="0" xfId="0" quotePrefix="1" applyNumberFormat="1" applyFont="1"/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0" fontId="3" fillId="2" borderId="1" xfId="1" applyFont="1" applyFill="1" applyBorder="1" applyAlignment="1">
      <alignment horizontal="center"/>
    </xf>
    <xf numFmtId="1" fontId="4" fillId="2" borderId="1" xfId="1" applyNumberFormat="1" applyFont="1" applyFill="1" applyBorder="1" applyAlignment="1">
      <alignment horizontal="center"/>
    </xf>
    <xf numFmtId="1" fontId="4" fillId="0" borderId="2" xfId="1" applyNumberFormat="1" applyFont="1" applyFill="1" applyBorder="1" applyAlignment="1">
      <alignment horizontal="right" wrapText="1"/>
    </xf>
    <xf numFmtId="3" fontId="4" fillId="0" borderId="2" xfId="1" applyNumberFormat="1" applyFont="1" applyFill="1" applyBorder="1" applyAlignment="1">
      <alignment horizontal="right" wrapText="1"/>
    </xf>
    <xf numFmtId="3" fontId="0" fillId="0" borderId="0" xfId="0" applyNumberFormat="1"/>
    <xf numFmtId="0" fontId="3" fillId="0" borderId="2" xfId="1" applyFont="1" applyFill="1" applyBorder="1" applyAlignment="1">
      <alignment horizontal="right" wrapText="1"/>
    </xf>
    <xf numFmtId="164" fontId="0" fillId="0" borderId="0" xfId="0" applyNumberFormat="1"/>
    <xf numFmtId="0" fontId="2" fillId="0" borderId="0" xfId="0" applyFont="1" applyAlignment="1">
      <alignment horizontal="center"/>
    </xf>
  </cellXfs>
  <cellStyles count="2">
    <cellStyle name="Normal" xfId="0" builtinId="0"/>
    <cellStyle name="Normal_VM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28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8" sqref="A8"/>
      <selection pane="bottomRight" sqref="A1:IV1"/>
    </sheetView>
  </sheetViews>
  <sheetFormatPr defaultRowHeight="12.75"/>
  <cols>
    <col min="1" max="1" width="5.140625" customWidth="1"/>
    <col min="2" max="2" width="21.7109375" customWidth="1"/>
    <col min="3" max="3" width="11.5703125" style="18" customWidth="1"/>
    <col min="4" max="4" width="8.28515625" bestFit="1" customWidth="1"/>
    <col min="5" max="5" width="9.42578125" bestFit="1" customWidth="1"/>
    <col min="6" max="6" width="9.7109375" bestFit="1" customWidth="1"/>
    <col min="7" max="7" width="9.5703125" bestFit="1" customWidth="1"/>
    <col min="8" max="8" width="10" bestFit="1" customWidth="1"/>
    <col min="9" max="9" width="9.7109375" style="18" customWidth="1"/>
    <col min="10" max="10" width="7.140625" customWidth="1"/>
    <col min="16" max="16" width="10.85546875" style="18" bestFit="1" customWidth="1"/>
    <col min="17" max="17" width="9.5703125" style="20" bestFit="1" customWidth="1"/>
  </cols>
  <sheetData>
    <row r="1" spans="1:30" ht="15">
      <c r="A1" s="2" t="s">
        <v>0</v>
      </c>
      <c r="B1" s="2"/>
      <c r="C1" s="1"/>
      <c r="D1" s="2"/>
      <c r="E1" s="2"/>
      <c r="F1" s="2"/>
      <c r="G1" s="2"/>
      <c r="H1" s="2"/>
      <c r="I1" s="1"/>
      <c r="J1" s="2"/>
      <c r="K1" s="2"/>
      <c r="L1" s="2"/>
      <c r="M1" s="2"/>
      <c r="N1" s="2"/>
      <c r="O1" s="2"/>
      <c r="P1" s="1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5">
      <c r="A2" s="2" t="s">
        <v>1</v>
      </c>
      <c r="B2" s="2"/>
      <c r="C2" s="1"/>
      <c r="D2" s="2"/>
      <c r="E2" s="2"/>
      <c r="F2" s="2"/>
      <c r="G2" s="2"/>
      <c r="H2" s="2"/>
      <c r="I2" s="1"/>
      <c r="J2" s="2"/>
      <c r="K2" s="2"/>
      <c r="L2" s="2"/>
      <c r="M2" s="2"/>
      <c r="N2" s="2"/>
      <c r="O2" s="2"/>
      <c r="P2" s="1"/>
      <c r="Q2" s="3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5">
      <c r="A3" s="2"/>
      <c r="B3" s="4" t="s">
        <v>2</v>
      </c>
      <c r="C3" s="1"/>
      <c r="D3" s="2"/>
      <c r="E3" s="2"/>
      <c r="F3" s="2"/>
      <c r="G3" s="2"/>
      <c r="H3" s="2"/>
      <c r="I3" s="1"/>
      <c r="J3" s="2"/>
      <c r="K3" s="2"/>
      <c r="L3" s="2"/>
      <c r="M3" s="2"/>
      <c r="N3" s="2"/>
      <c r="O3" s="2"/>
      <c r="P3" s="1"/>
      <c r="Q3" s="3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5">
      <c r="A4" s="2"/>
      <c r="B4" s="2"/>
      <c r="C4" s="5" t="s">
        <v>3</v>
      </c>
      <c r="D4" s="21" t="s">
        <v>4</v>
      </c>
      <c r="E4" s="21"/>
      <c r="F4" s="21"/>
      <c r="G4" s="21"/>
      <c r="H4" s="21"/>
      <c r="I4" s="21"/>
      <c r="J4" s="6" t="s">
        <v>5</v>
      </c>
      <c r="K4" s="21" t="s">
        <v>6</v>
      </c>
      <c r="L4" s="21"/>
      <c r="M4" s="21"/>
      <c r="N4" s="21"/>
      <c r="O4" s="21"/>
      <c r="P4" s="21"/>
      <c r="Q4" s="7" t="s">
        <v>5</v>
      </c>
      <c r="R4" s="21" t="s">
        <v>7</v>
      </c>
      <c r="S4" s="21"/>
      <c r="T4" s="21"/>
      <c r="U4" s="21"/>
      <c r="V4" s="21"/>
      <c r="W4" s="21"/>
      <c r="X4" s="21" t="s">
        <v>8</v>
      </c>
      <c r="Y4" s="21"/>
      <c r="Z4" s="21"/>
      <c r="AA4" s="21"/>
      <c r="AB4" s="21"/>
      <c r="AC4" s="21"/>
      <c r="AD4" s="2"/>
    </row>
    <row r="5" spans="1:30" s="12" customFormat="1" ht="15">
      <c r="A5" s="8"/>
      <c r="B5" s="9" t="s">
        <v>9</v>
      </c>
      <c r="C5" s="10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10" t="s">
        <v>16</v>
      </c>
      <c r="J5" s="8" t="s">
        <v>17</v>
      </c>
      <c r="K5" s="8" t="s">
        <v>11</v>
      </c>
      <c r="L5" s="8" t="s">
        <v>18</v>
      </c>
      <c r="M5" s="8" t="s">
        <v>12</v>
      </c>
      <c r="N5" s="8" t="s">
        <v>13</v>
      </c>
      <c r="O5" s="8" t="s">
        <v>19</v>
      </c>
      <c r="P5" s="10" t="s">
        <v>16</v>
      </c>
      <c r="Q5" s="11" t="s">
        <v>20</v>
      </c>
      <c r="R5" s="8" t="s">
        <v>11</v>
      </c>
      <c r="S5" s="8" t="s">
        <v>12</v>
      </c>
      <c r="T5" s="8" t="s">
        <v>13</v>
      </c>
      <c r="U5" s="8" t="s">
        <v>14</v>
      </c>
      <c r="V5" s="8" t="s">
        <v>15</v>
      </c>
      <c r="W5" s="8" t="s">
        <v>16</v>
      </c>
      <c r="X5" s="8" t="s">
        <v>11</v>
      </c>
      <c r="Y5" s="8" t="s">
        <v>18</v>
      </c>
      <c r="Z5" s="8" t="s">
        <v>12</v>
      </c>
      <c r="AA5" s="8" t="s">
        <v>13</v>
      </c>
      <c r="AB5" s="8" t="s">
        <v>19</v>
      </c>
      <c r="AC5" s="8" t="s">
        <v>16</v>
      </c>
      <c r="AD5" s="8" t="s">
        <v>21</v>
      </c>
    </row>
    <row r="6" spans="1:30" ht="15">
      <c r="A6" s="2"/>
      <c r="B6" s="13"/>
      <c r="C6" s="1"/>
      <c r="D6" s="14" t="s">
        <v>22</v>
      </c>
      <c r="E6" s="14" t="s">
        <v>23</v>
      </c>
      <c r="F6" s="14" t="s">
        <v>24</v>
      </c>
      <c r="G6" s="14" t="s">
        <v>25</v>
      </c>
      <c r="H6" s="14" t="s">
        <v>26</v>
      </c>
      <c r="I6" s="10" t="s">
        <v>27</v>
      </c>
      <c r="J6" s="2"/>
      <c r="K6" s="15" t="s">
        <v>28</v>
      </c>
      <c r="L6" s="15" t="s">
        <v>29</v>
      </c>
      <c r="M6" s="15" t="s">
        <v>30</v>
      </c>
      <c r="N6" s="15" t="s">
        <v>31</v>
      </c>
      <c r="O6" s="15" t="s">
        <v>32</v>
      </c>
      <c r="P6" s="10" t="s">
        <v>27</v>
      </c>
      <c r="Q6" s="3"/>
      <c r="R6" s="14" t="s">
        <v>22</v>
      </c>
      <c r="S6" s="14" t="s">
        <v>23</v>
      </c>
      <c r="T6" s="14" t="s">
        <v>24</v>
      </c>
      <c r="U6" s="14" t="s">
        <v>25</v>
      </c>
      <c r="V6" s="14" t="s">
        <v>26</v>
      </c>
      <c r="W6" s="14" t="s">
        <v>33</v>
      </c>
      <c r="X6" s="14" t="s">
        <v>28</v>
      </c>
      <c r="Y6" s="14" t="s">
        <v>29</v>
      </c>
      <c r="Z6" s="14" t="s">
        <v>30</v>
      </c>
      <c r="AA6" s="14" t="s">
        <v>31</v>
      </c>
      <c r="AB6" s="14" t="s">
        <v>32</v>
      </c>
      <c r="AC6" s="14" t="s">
        <v>34</v>
      </c>
      <c r="AD6" s="2"/>
    </row>
    <row r="7" spans="1:30" ht="15">
      <c r="A7" s="2">
        <v>1</v>
      </c>
      <c r="B7" s="13" t="s">
        <v>35</v>
      </c>
      <c r="C7" s="1">
        <f t="shared" ref="C7:C36" si="0">SUM(D7:I7)+SUM(K7:P7)</f>
        <v>490.38464160688875</v>
      </c>
      <c r="D7" s="16" t="s">
        <v>36</v>
      </c>
      <c r="E7" s="16">
        <v>175.16551500000003</v>
      </c>
      <c r="F7" s="16">
        <v>23.233784</v>
      </c>
      <c r="G7" s="16">
        <v>175.36748400000002</v>
      </c>
      <c r="H7" s="16">
        <v>45.551231000000008</v>
      </c>
      <c r="I7" s="1">
        <v>71.066627606888702</v>
      </c>
      <c r="J7" s="3">
        <v>0.33</v>
      </c>
      <c r="K7" s="16" t="s">
        <v>36</v>
      </c>
      <c r="L7" s="16" t="s">
        <v>36</v>
      </c>
      <c r="M7" s="16" t="s">
        <v>36</v>
      </c>
      <c r="N7" s="16" t="s">
        <v>36</v>
      </c>
      <c r="O7" s="16" t="s">
        <v>36</v>
      </c>
      <c r="P7" s="1">
        <v>0</v>
      </c>
      <c r="Q7" s="3">
        <v>0.12</v>
      </c>
      <c r="R7" s="17" t="s">
        <v>36</v>
      </c>
      <c r="S7" s="17">
        <v>30.669</v>
      </c>
      <c r="T7" s="17">
        <v>9.2560000000000002</v>
      </c>
      <c r="U7" s="17">
        <v>85.44</v>
      </c>
      <c r="V7" s="17">
        <v>100.444</v>
      </c>
      <c r="W7" s="17">
        <v>474.87099999999987</v>
      </c>
      <c r="X7" s="17" t="s">
        <v>36</v>
      </c>
      <c r="Y7" s="17" t="s">
        <v>36</v>
      </c>
      <c r="Z7" s="17" t="s">
        <v>36</v>
      </c>
      <c r="AA7" s="17" t="s">
        <v>36</v>
      </c>
      <c r="AB7" s="17" t="s">
        <v>36</v>
      </c>
      <c r="AC7" s="17" t="s">
        <v>36</v>
      </c>
      <c r="AD7" s="1">
        <f t="shared" ref="AD7:AD38" si="1">SUM(R7:AC7)</f>
        <v>700.67999999999984</v>
      </c>
    </row>
    <row r="8" spans="1:30" ht="15">
      <c r="A8" s="2">
        <v>2</v>
      </c>
      <c r="B8" s="13" t="s">
        <v>37</v>
      </c>
      <c r="C8" s="1">
        <f t="shared" si="0"/>
        <v>424.74474887012354</v>
      </c>
      <c r="D8" s="16" t="s">
        <v>36</v>
      </c>
      <c r="E8" s="16">
        <v>87.52016900000001</v>
      </c>
      <c r="F8" s="16">
        <v>47.186396000000002</v>
      </c>
      <c r="G8" s="16">
        <v>131.36638100000002</v>
      </c>
      <c r="H8" s="16">
        <v>58.848062999999996</v>
      </c>
      <c r="I8" s="1">
        <v>99.823739870123489</v>
      </c>
      <c r="J8" s="3">
        <v>0.33</v>
      </c>
      <c r="K8" s="16" t="s">
        <v>36</v>
      </c>
      <c r="L8" s="16" t="s">
        <v>36</v>
      </c>
      <c r="M8" s="16" t="s">
        <v>36</v>
      </c>
      <c r="N8" s="16" t="s">
        <v>36</v>
      </c>
      <c r="O8" s="16" t="s">
        <v>36</v>
      </c>
      <c r="P8" s="1">
        <v>0</v>
      </c>
      <c r="Q8" s="3">
        <v>0.12</v>
      </c>
      <c r="R8" s="17" t="s">
        <v>36</v>
      </c>
      <c r="S8" s="17">
        <v>17.684999999999999</v>
      </c>
      <c r="T8" s="17">
        <v>10.579000000000001</v>
      </c>
      <c r="U8" s="17">
        <v>64.206999999999994</v>
      </c>
      <c r="V8" s="17">
        <v>87.631999999999991</v>
      </c>
      <c r="W8" s="17">
        <v>450.45400000000001</v>
      </c>
      <c r="X8" s="17" t="s">
        <v>36</v>
      </c>
      <c r="Y8" s="17" t="s">
        <v>36</v>
      </c>
      <c r="Z8" s="17" t="s">
        <v>36</v>
      </c>
      <c r="AA8" s="17" t="s">
        <v>36</v>
      </c>
      <c r="AB8" s="17" t="s">
        <v>36</v>
      </c>
      <c r="AC8" s="17" t="s">
        <v>36</v>
      </c>
      <c r="AD8" s="1">
        <f t="shared" si="1"/>
        <v>630.55700000000002</v>
      </c>
    </row>
    <row r="9" spans="1:30" ht="15">
      <c r="A9" s="2">
        <v>3</v>
      </c>
      <c r="B9" s="13" t="s">
        <v>38</v>
      </c>
      <c r="C9" s="1">
        <f t="shared" si="0"/>
        <v>559.14182200838945</v>
      </c>
      <c r="D9" s="16" t="s">
        <v>36</v>
      </c>
      <c r="E9" s="16">
        <v>280.77718299999998</v>
      </c>
      <c r="F9" s="16">
        <v>24.435976000000004</v>
      </c>
      <c r="G9" s="16">
        <v>63.740633000000003</v>
      </c>
      <c r="H9" s="16">
        <v>39.618003999999985</v>
      </c>
      <c r="I9" s="1">
        <v>44.543277910487326</v>
      </c>
      <c r="J9" s="3">
        <v>0.33</v>
      </c>
      <c r="K9" s="16" t="s">
        <v>36</v>
      </c>
      <c r="L9" s="16" t="s">
        <v>36</v>
      </c>
      <c r="M9" s="16">
        <v>32.426187999999996</v>
      </c>
      <c r="N9" s="16">
        <v>30.84779</v>
      </c>
      <c r="O9" s="16">
        <v>23.140220000000003</v>
      </c>
      <c r="P9" s="1">
        <v>19.612550097902101</v>
      </c>
      <c r="Q9" s="3">
        <v>0.12</v>
      </c>
      <c r="R9" s="17" t="s">
        <v>36</v>
      </c>
      <c r="S9" s="17">
        <v>22.443999999999999</v>
      </c>
      <c r="T9" s="17">
        <v>4.5869999999999997</v>
      </c>
      <c r="U9" s="17">
        <v>44.495999999999995</v>
      </c>
      <c r="V9" s="17">
        <v>54.5</v>
      </c>
      <c r="W9" s="17">
        <v>185.68299999999999</v>
      </c>
      <c r="X9" s="17" t="s">
        <v>36</v>
      </c>
      <c r="Y9" s="17" t="s">
        <v>36</v>
      </c>
      <c r="Z9" s="17">
        <v>2.1379999999999999</v>
      </c>
      <c r="AA9" s="17">
        <v>3.4480000000000004</v>
      </c>
      <c r="AB9" s="17">
        <v>4.29</v>
      </c>
      <c r="AC9" s="17">
        <v>30.3</v>
      </c>
      <c r="AD9" s="1">
        <f t="shared" si="1"/>
        <v>351.88599999999997</v>
      </c>
    </row>
    <row r="10" spans="1:30" ht="15">
      <c r="A10" s="2">
        <v>4</v>
      </c>
      <c r="B10" s="13" t="s">
        <v>39</v>
      </c>
      <c r="C10" s="1">
        <f t="shared" si="0"/>
        <v>251.78649665421128</v>
      </c>
      <c r="D10" s="16" t="s">
        <v>36</v>
      </c>
      <c r="E10" s="16">
        <v>129.932614</v>
      </c>
      <c r="F10" s="16">
        <v>15.231812000000001</v>
      </c>
      <c r="G10" s="16">
        <v>59.359841000000003</v>
      </c>
      <c r="H10" s="16">
        <v>19.834290000000003</v>
      </c>
      <c r="I10" s="1">
        <v>27.427939654211269</v>
      </c>
      <c r="J10" s="3">
        <v>0.33</v>
      </c>
      <c r="K10" s="16" t="s">
        <v>36</v>
      </c>
      <c r="L10" s="16" t="s">
        <v>36</v>
      </c>
      <c r="M10" s="16" t="s">
        <v>36</v>
      </c>
      <c r="N10" s="16" t="s">
        <v>36</v>
      </c>
      <c r="O10" s="16" t="s">
        <v>36</v>
      </c>
      <c r="P10" s="1">
        <v>0</v>
      </c>
      <c r="Q10" s="3">
        <v>0.12</v>
      </c>
      <c r="R10" s="17" t="s">
        <v>36</v>
      </c>
      <c r="S10" s="17">
        <v>25.233999999999998</v>
      </c>
      <c r="T10" s="17">
        <v>8.609</v>
      </c>
      <c r="U10" s="17">
        <v>40.571999999999996</v>
      </c>
      <c r="V10" s="17">
        <v>62.403999999999996</v>
      </c>
      <c r="W10" s="17">
        <v>261.50199999999995</v>
      </c>
      <c r="X10" s="17" t="s">
        <v>36</v>
      </c>
      <c r="Y10" s="17" t="s">
        <v>36</v>
      </c>
      <c r="Z10" s="17" t="s">
        <v>36</v>
      </c>
      <c r="AA10" s="17" t="s">
        <v>36</v>
      </c>
      <c r="AB10" s="17" t="s">
        <v>36</v>
      </c>
      <c r="AC10" s="17" t="s">
        <v>36</v>
      </c>
      <c r="AD10" s="1">
        <f t="shared" si="1"/>
        <v>398.32099999999991</v>
      </c>
    </row>
    <row r="11" spans="1:30" ht="15">
      <c r="A11" s="2">
        <v>5</v>
      </c>
      <c r="B11" s="13" t="s">
        <v>40</v>
      </c>
      <c r="C11" s="1">
        <f t="shared" si="0"/>
        <v>1303.4998600558681</v>
      </c>
      <c r="D11" s="16">
        <v>270.16953400000006</v>
      </c>
      <c r="E11" s="16">
        <v>118.99104000000001</v>
      </c>
      <c r="F11" s="16">
        <v>191.60807800000001</v>
      </c>
      <c r="G11" s="16">
        <v>210.28591200000002</v>
      </c>
      <c r="H11" s="16">
        <v>74.467095</v>
      </c>
      <c r="I11" s="1">
        <v>116.50935178556567</v>
      </c>
      <c r="J11" s="3">
        <v>0.33</v>
      </c>
      <c r="K11" s="16" t="s">
        <v>36</v>
      </c>
      <c r="L11" s="16">
        <v>34.675839999999994</v>
      </c>
      <c r="M11" s="16">
        <v>123.047414</v>
      </c>
      <c r="N11" s="16">
        <v>119.525791</v>
      </c>
      <c r="O11" s="16">
        <v>33.666928999999996</v>
      </c>
      <c r="P11" s="1">
        <v>10.55287527030243</v>
      </c>
      <c r="Q11" s="3">
        <v>0.12</v>
      </c>
      <c r="R11" s="17">
        <v>8.4380000000000006</v>
      </c>
      <c r="S11" s="17">
        <v>18.306000000000001</v>
      </c>
      <c r="T11" s="17">
        <v>29.801999999999992</v>
      </c>
      <c r="U11" s="17">
        <v>96.743000000000038</v>
      </c>
      <c r="V11" s="17">
        <v>127.45700000000004</v>
      </c>
      <c r="W11" s="17">
        <v>604.29099999999994</v>
      </c>
      <c r="X11" s="17" t="s">
        <v>36</v>
      </c>
      <c r="Y11" s="17">
        <v>4.0510000000000002</v>
      </c>
      <c r="Z11" s="17">
        <v>8.575999999999997</v>
      </c>
      <c r="AA11" s="17">
        <v>16.854000000000003</v>
      </c>
      <c r="AB11" s="17">
        <v>10.118</v>
      </c>
      <c r="AC11" s="17">
        <v>26.428999999999998</v>
      </c>
      <c r="AD11" s="1">
        <f t="shared" si="1"/>
        <v>951.06500000000017</v>
      </c>
    </row>
    <row r="12" spans="1:30" ht="15">
      <c r="A12" s="2">
        <v>6</v>
      </c>
      <c r="B12" s="13" t="s">
        <v>41</v>
      </c>
      <c r="C12" s="1">
        <f t="shared" si="0"/>
        <v>463.2963518623975</v>
      </c>
      <c r="D12" s="16">
        <v>239.75438500000001</v>
      </c>
      <c r="E12" s="16" t="s">
        <v>36</v>
      </c>
      <c r="F12" s="16">
        <v>32.176374000000003</v>
      </c>
      <c r="G12" s="16">
        <v>128.30851899999999</v>
      </c>
      <c r="H12" s="16">
        <v>25.695309000000002</v>
      </c>
      <c r="I12" s="1">
        <v>37.36176486239745</v>
      </c>
      <c r="J12" s="3">
        <v>0.33</v>
      </c>
      <c r="K12" s="16" t="s">
        <v>36</v>
      </c>
      <c r="L12" s="16" t="s">
        <v>36</v>
      </c>
      <c r="M12" s="16" t="s">
        <v>36</v>
      </c>
      <c r="N12" s="16" t="s">
        <v>36</v>
      </c>
      <c r="O12" s="16" t="s">
        <v>36</v>
      </c>
      <c r="P12" s="1">
        <v>0</v>
      </c>
      <c r="Q12" s="3">
        <v>0.12</v>
      </c>
      <c r="R12" s="17">
        <v>13.308</v>
      </c>
      <c r="S12" s="17" t="s">
        <v>36</v>
      </c>
      <c r="T12" s="17">
        <v>12.749000000000001</v>
      </c>
      <c r="U12" s="17">
        <v>66.655000000000001</v>
      </c>
      <c r="V12" s="17">
        <v>51.68</v>
      </c>
      <c r="W12" s="17">
        <v>227.71</v>
      </c>
      <c r="X12" s="17" t="s">
        <v>36</v>
      </c>
      <c r="Y12" s="17" t="s">
        <v>36</v>
      </c>
      <c r="Z12" s="17" t="s">
        <v>36</v>
      </c>
      <c r="AA12" s="17" t="s">
        <v>36</v>
      </c>
      <c r="AB12" s="17" t="s">
        <v>36</v>
      </c>
      <c r="AC12" s="17" t="s">
        <v>36</v>
      </c>
      <c r="AD12" s="1">
        <f t="shared" si="1"/>
        <v>372.10199999999998</v>
      </c>
    </row>
    <row r="13" spans="1:30" ht="15">
      <c r="A13" s="2">
        <v>7</v>
      </c>
      <c r="B13" s="13" t="s">
        <v>42</v>
      </c>
      <c r="C13" s="1">
        <f t="shared" si="0"/>
        <v>845.2763846095803</v>
      </c>
      <c r="D13" s="16" t="s">
        <v>36</v>
      </c>
      <c r="E13" s="16">
        <v>379.27630199999993</v>
      </c>
      <c r="F13" s="16" t="s">
        <v>36</v>
      </c>
      <c r="G13" s="16">
        <v>144.96746799999997</v>
      </c>
      <c r="H13" s="16">
        <v>46.094569</v>
      </c>
      <c r="I13" s="1">
        <v>69.772550221386453</v>
      </c>
      <c r="J13" s="3">
        <v>0.33</v>
      </c>
      <c r="K13" s="16" t="s">
        <v>36</v>
      </c>
      <c r="L13" s="16" t="s">
        <v>36</v>
      </c>
      <c r="M13" s="16">
        <v>65.93034200000001</v>
      </c>
      <c r="N13" s="16">
        <v>82.43444599999998</v>
      </c>
      <c r="O13" s="16">
        <v>37.384368000000002</v>
      </c>
      <c r="P13" s="1">
        <v>19.416339388193961</v>
      </c>
      <c r="Q13" s="3">
        <v>0.12</v>
      </c>
      <c r="R13" s="17" t="s">
        <v>36</v>
      </c>
      <c r="S13" s="17">
        <v>31.611999999999995</v>
      </c>
      <c r="T13" s="17" t="s">
        <v>36</v>
      </c>
      <c r="U13" s="17">
        <v>99.129000000000019</v>
      </c>
      <c r="V13" s="17">
        <v>53.597000000000001</v>
      </c>
      <c r="W13" s="17">
        <v>245.845</v>
      </c>
      <c r="X13" s="17" t="s">
        <v>36</v>
      </c>
      <c r="Y13" s="17" t="s">
        <v>36</v>
      </c>
      <c r="Z13" s="17">
        <v>2.855</v>
      </c>
      <c r="AA13" s="17">
        <v>9.5280000000000005</v>
      </c>
      <c r="AB13" s="17">
        <v>10.93</v>
      </c>
      <c r="AC13" s="17">
        <v>47.305999999999997</v>
      </c>
      <c r="AD13" s="1">
        <f t="shared" si="1"/>
        <v>500.80200000000002</v>
      </c>
    </row>
    <row r="14" spans="1:30" ht="15">
      <c r="A14" s="2">
        <v>8</v>
      </c>
      <c r="B14" s="13" t="s">
        <v>43</v>
      </c>
      <c r="C14" s="1">
        <f t="shared" si="0"/>
        <v>4781.7755861767682</v>
      </c>
      <c r="D14" s="16">
        <v>803.66011199999991</v>
      </c>
      <c r="E14" s="16" t="s">
        <v>36</v>
      </c>
      <c r="F14" s="16" t="s">
        <v>36</v>
      </c>
      <c r="G14" s="16">
        <v>177.64301600000002</v>
      </c>
      <c r="H14" s="16">
        <v>56.507710000000003</v>
      </c>
      <c r="I14" s="1">
        <v>83.341033424125442</v>
      </c>
      <c r="J14" s="3">
        <v>0.33</v>
      </c>
      <c r="K14" s="16">
        <v>1263.8036459999998</v>
      </c>
      <c r="L14" s="16" t="s">
        <v>36</v>
      </c>
      <c r="M14" s="16" t="s">
        <v>36</v>
      </c>
      <c r="N14" s="16">
        <v>684.60046299999999</v>
      </c>
      <c r="O14" s="16">
        <v>306.90263900000002</v>
      </c>
      <c r="P14" s="1">
        <v>1405.3169667526427</v>
      </c>
      <c r="Q14" s="3">
        <v>0.28000000000000003</v>
      </c>
      <c r="R14" s="17">
        <v>19.41</v>
      </c>
      <c r="S14" s="17" t="s">
        <v>36</v>
      </c>
      <c r="T14" s="17" t="s">
        <v>36</v>
      </c>
      <c r="U14" s="17">
        <v>56.023999999999994</v>
      </c>
      <c r="V14" s="17">
        <v>54.714000000000006</v>
      </c>
      <c r="W14" s="17">
        <v>244.53199999999995</v>
      </c>
      <c r="X14" s="17">
        <v>14.573</v>
      </c>
      <c r="Y14" s="17" t="s">
        <v>36</v>
      </c>
      <c r="Z14" s="17" t="s">
        <v>36</v>
      </c>
      <c r="AA14" s="17">
        <v>45.895000000000003</v>
      </c>
      <c r="AB14" s="17">
        <v>33.756</v>
      </c>
      <c r="AC14" s="17">
        <v>552.03499999999997</v>
      </c>
      <c r="AD14" s="1">
        <f t="shared" si="1"/>
        <v>1020.9389999999999</v>
      </c>
    </row>
    <row r="15" spans="1:30" ht="15">
      <c r="A15" s="2">
        <v>9</v>
      </c>
      <c r="B15" s="13" t="s">
        <v>44</v>
      </c>
      <c r="C15" s="1">
        <f t="shared" si="0"/>
        <v>565.22743548523545</v>
      </c>
      <c r="D15" s="16" t="s">
        <v>36</v>
      </c>
      <c r="E15" s="16">
        <v>119.83625000000001</v>
      </c>
      <c r="F15" s="16">
        <v>113.15505400000002</v>
      </c>
      <c r="G15" s="16">
        <v>39.628955999999995</v>
      </c>
      <c r="H15" s="16">
        <v>54.617125999999992</v>
      </c>
      <c r="I15" s="1">
        <v>49.964839003562751</v>
      </c>
      <c r="J15" s="3">
        <v>0.33</v>
      </c>
      <c r="K15" s="16" t="s">
        <v>36</v>
      </c>
      <c r="L15" s="16" t="s">
        <v>36</v>
      </c>
      <c r="M15" s="16">
        <v>105.28092799999999</v>
      </c>
      <c r="N15" s="16">
        <v>55.754533000000002</v>
      </c>
      <c r="O15" s="16">
        <v>18.768989999999999</v>
      </c>
      <c r="P15" s="1">
        <v>8.2207594816726903</v>
      </c>
      <c r="Q15" s="3">
        <v>0.12</v>
      </c>
      <c r="R15" s="17" t="s">
        <v>36</v>
      </c>
      <c r="S15" s="17">
        <v>12.625</v>
      </c>
      <c r="T15" s="17">
        <v>35.676000000000009</v>
      </c>
      <c r="U15" s="17">
        <v>25.718999999999998</v>
      </c>
      <c r="V15" s="17">
        <v>64.332000000000008</v>
      </c>
      <c r="W15" s="17">
        <v>178.34</v>
      </c>
      <c r="X15" s="17" t="s">
        <v>36</v>
      </c>
      <c r="Y15" s="17" t="s">
        <v>36</v>
      </c>
      <c r="Z15" s="17">
        <v>9.83</v>
      </c>
      <c r="AA15" s="17">
        <v>8.3559999999999981</v>
      </c>
      <c r="AB15" s="17">
        <v>7.7480000000000002</v>
      </c>
      <c r="AC15" s="17">
        <v>28.28</v>
      </c>
      <c r="AD15" s="1">
        <f t="shared" si="1"/>
        <v>370.90599999999995</v>
      </c>
    </row>
    <row r="16" spans="1:30" ht="15">
      <c r="A16" s="2">
        <v>10</v>
      </c>
      <c r="B16" s="13" t="s">
        <v>45</v>
      </c>
      <c r="C16" s="1">
        <f t="shared" si="0"/>
        <v>1533.4545142410345</v>
      </c>
      <c r="D16" s="16">
        <v>194.52288999999996</v>
      </c>
      <c r="E16" s="16">
        <v>122.78687199999999</v>
      </c>
      <c r="F16" s="16" t="s">
        <v>36</v>
      </c>
      <c r="G16" s="16">
        <v>109.91186300000001</v>
      </c>
      <c r="H16" s="16">
        <v>18.554539999999996</v>
      </c>
      <c r="I16" s="1">
        <v>14.444120586977139</v>
      </c>
      <c r="J16" s="3">
        <v>0.33</v>
      </c>
      <c r="K16" s="16" t="s">
        <v>36</v>
      </c>
      <c r="L16" s="16" t="s">
        <v>36</v>
      </c>
      <c r="M16" s="16">
        <v>462.42072999999999</v>
      </c>
      <c r="N16" s="16">
        <v>137.43128999999999</v>
      </c>
      <c r="O16" s="16">
        <v>120.30209800000002</v>
      </c>
      <c r="P16" s="1">
        <v>353.08011065405742</v>
      </c>
      <c r="Q16" s="3">
        <v>0.28000000000000003</v>
      </c>
      <c r="R16" s="17">
        <v>10.695</v>
      </c>
      <c r="S16" s="17">
        <v>11.318000000000003</v>
      </c>
      <c r="T16" s="17" t="s">
        <v>36</v>
      </c>
      <c r="U16" s="17">
        <v>38.951999999999998</v>
      </c>
      <c r="V16" s="17">
        <v>35.215000000000003</v>
      </c>
      <c r="W16" s="17">
        <v>83.072000000000003</v>
      </c>
      <c r="X16" s="17" t="s">
        <v>36</v>
      </c>
      <c r="Y16" s="17" t="s">
        <v>36</v>
      </c>
      <c r="Z16" s="17">
        <v>21.618000000000002</v>
      </c>
      <c r="AA16" s="17">
        <v>18.395999999999997</v>
      </c>
      <c r="AB16" s="17">
        <v>31.880999999999997</v>
      </c>
      <c r="AC16" s="17">
        <v>334.17500000000001</v>
      </c>
      <c r="AD16" s="1">
        <f t="shared" si="1"/>
        <v>585.322</v>
      </c>
    </row>
    <row r="17" spans="1:30" ht="15">
      <c r="A17" s="2">
        <v>11</v>
      </c>
      <c r="B17" s="13" t="s">
        <v>46</v>
      </c>
      <c r="C17" s="1">
        <f t="shared" si="0"/>
        <v>693.93768929388386</v>
      </c>
      <c r="D17" s="16" t="s">
        <v>36</v>
      </c>
      <c r="E17" s="16">
        <v>125.168334</v>
      </c>
      <c r="F17" s="16">
        <v>83.501660000000001</v>
      </c>
      <c r="G17" s="16">
        <v>61.132307000000011</v>
      </c>
      <c r="H17" s="16">
        <v>33.975294000000005</v>
      </c>
      <c r="I17" s="1">
        <v>35.615106784850191</v>
      </c>
      <c r="J17" s="3">
        <v>0.33</v>
      </c>
      <c r="K17" s="16" t="s">
        <v>36</v>
      </c>
      <c r="L17" s="16" t="s">
        <v>36</v>
      </c>
      <c r="M17" s="16">
        <v>237.59387700000002</v>
      </c>
      <c r="N17" s="16">
        <v>49.465005000000005</v>
      </c>
      <c r="O17" s="16">
        <v>36.927677000000003</v>
      </c>
      <c r="P17" s="1">
        <v>30.558428509033618</v>
      </c>
      <c r="Q17" s="3">
        <v>0.12</v>
      </c>
      <c r="R17" s="17" t="s">
        <v>36</v>
      </c>
      <c r="S17" s="17">
        <v>11.77</v>
      </c>
      <c r="T17" s="17">
        <v>16.583000000000002</v>
      </c>
      <c r="U17" s="17">
        <v>30.716000000000005</v>
      </c>
      <c r="V17" s="17">
        <v>52.525999999999989</v>
      </c>
      <c r="W17" s="17">
        <v>166.85200000000003</v>
      </c>
      <c r="X17" s="17" t="s">
        <v>36</v>
      </c>
      <c r="Y17" s="17" t="s">
        <v>36</v>
      </c>
      <c r="Z17" s="17">
        <v>16.836000000000002</v>
      </c>
      <c r="AA17" s="17">
        <v>9.2040000000000006</v>
      </c>
      <c r="AB17" s="17">
        <v>9.52</v>
      </c>
      <c r="AC17" s="17">
        <v>65.650000000000006</v>
      </c>
      <c r="AD17" s="1">
        <f t="shared" si="1"/>
        <v>379.65700000000004</v>
      </c>
    </row>
    <row r="18" spans="1:30" ht="15">
      <c r="A18" s="2">
        <v>12</v>
      </c>
      <c r="B18" s="13" t="s">
        <v>47</v>
      </c>
      <c r="C18" s="1">
        <f t="shared" si="0"/>
        <v>274.8608146055206</v>
      </c>
      <c r="D18" s="16" t="s">
        <v>36</v>
      </c>
      <c r="E18" s="16">
        <v>140.38898999999998</v>
      </c>
      <c r="F18" s="16" t="s">
        <v>36</v>
      </c>
      <c r="G18" s="16">
        <v>83.741767999999993</v>
      </c>
      <c r="H18" s="16">
        <v>20.700081000000001</v>
      </c>
      <c r="I18" s="1">
        <v>30.029975605520637</v>
      </c>
      <c r="J18" s="3">
        <v>0.33</v>
      </c>
      <c r="K18" s="16" t="s">
        <v>36</v>
      </c>
      <c r="L18" s="16" t="s">
        <v>36</v>
      </c>
      <c r="M18" s="16" t="s">
        <v>36</v>
      </c>
      <c r="N18" s="16" t="s">
        <v>36</v>
      </c>
      <c r="O18" s="16" t="s">
        <v>36</v>
      </c>
      <c r="P18" s="1">
        <v>0</v>
      </c>
      <c r="Q18" s="3">
        <v>0.12</v>
      </c>
      <c r="R18" s="17" t="s">
        <v>36</v>
      </c>
      <c r="S18" s="17">
        <v>19.856999999999999</v>
      </c>
      <c r="T18" s="17" t="s">
        <v>36</v>
      </c>
      <c r="U18" s="17">
        <v>69.153000000000006</v>
      </c>
      <c r="V18" s="17">
        <v>45.348000000000006</v>
      </c>
      <c r="W18" s="17">
        <v>199.35499999999999</v>
      </c>
      <c r="X18" s="17" t="s">
        <v>36</v>
      </c>
      <c r="Y18" s="17" t="s">
        <v>36</v>
      </c>
      <c r="Z18" s="17" t="s">
        <v>36</v>
      </c>
      <c r="AA18" s="17" t="s">
        <v>36</v>
      </c>
      <c r="AB18" s="17" t="s">
        <v>36</v>
      </c>
      <c r="AC18" s="17" t="s">
        <v>36</v>
      </c>
      <c r="AD18" s="1">
        <f t="shared" si="1"/>
        <v>333.71299999999997</v>
      </c>
    </row>
    <row r="19" spans="1:30" ht="15">
      <c r="A19" s="2">
        <v>13</v>
      </c>
      <c r="B19" s="13" t="s">
        <v>48</v>
      </c>
      <c r="C19" s="1">
        <f t="shared" si="0"/>
        <v>422.91559091690175</v>
      </c>
      <c r="D19" s="16" t="s">
        <v>36</v>
      </c>
      <c r="E19" s="16">
        <v>207.63663199999999</v>
      </c>
      <c r="F19" s="16" t="s">
        <v>36</v>
      </c>
      <c r="G19" s="16">
        <v>97.976573999999999</v>
      </c>
      <c r="H19" s="16">
        <v>69.534567999999979</v>
      </c>
      <c r="I19" s="1">
        <v>47.767816916901779</v>
      </c>
      <c r="J19" s="3">
        <v>0.33</v>
      </c>
      <c r="K19" s="16" t="s">
        <v>36</v>
      </c>
      <c r="L19" s="16" t="s">
        <v>36</v>
      </c>
      <c r="M19" s="16" t="s">
        <v>36</v>
      </c>
      <c r="N19" s="16" t="s">
        <v>36</v>
      </c>
      <c r="O19" s="16" t="s">
        <v>36</v>
      </c>
      <c r="P19" s="1">
        <v>0</v>
      </c>
      <c r="Q19" s="3">
        <v>0.12</v>
      </c>
      <c r="R19" s="17" t="s">
        <v>36</v>
      </c>
      <c r="S19" s="17">
        <v>27.504999999999999</v>
      </c>
      <c r="T19" s="17" t="s">
        <v>36</v>
      </c>
      <c r="U19" s="17">
        <v>76.194999999999993</v>
      </c>
      <c r="V19" s="17">
        <v>142.34100000000001</v>
      </c>
      <c r="W19" s="17">
        <v>296.31299999999993</v>
      </c>
      <c r="X19" s="17" t="s">
        <v>36</v>
      </c>
      <c r="Y19" s="17" t="s">
        <v>36</v>
      </c>
      <c r="Z19" s="17" t="s">
        <v>36</v>
      </c>
      <c r="AA19" s="17" t="s">
        <v>36</v>
      </c>
      <c r="AB19" s="17" t="s">
        <v>36</v>
      </c>
      <c r="AC19" s="17" t="s">
        <v>36</v>
      </c>
      <c r="AD19" s="1">
        <f t="shared" si="1"/>
        <v>542.35399999999993</v>
      </c>
    </row>
    <row r="20" spans="1:30" ht="15">
      <c r="A20" s="2">
        <v>14</v>
      </c>
      <c r="B20" s="13" t="s">
        <v>49</v>
      </c>
      <c r="C20" s="1">
        <f t="shared" si="0"/>
        <v>417.04474305020403</v>
      </c>
      <c r="D20" s="16" t="s">
        <v>36</v>
      </c>
      <c r="E20" s="16">
        <v>139.39789800000003</v>
      </c>
      <c r="F20" s="16">
        <v>42.709569999999999</v>
      </c>
      <c r="G20" s="16">
        <v>92.384106000000003</v>
      </c>
      <c r="H20" s="16">
        <v>58.878097999999994</v>
      </c>
      <c r="I20" s="1">
        <v>83.675071050203968</v>
      </c>
      <c r="J20" s="3">
        <v>0.33</v>
      </c>
      <c r="K20" s="16" t="s">
        <v>36</v>
      </c>
      <c r="L20" s="16" t="s">
        <v>36</v>
      </c>
      <c r="M20" s="16" t="s">
        <v>36</v>
      </c>
      <c r="N20" s="16" t="s">
        <v>36</v>
      </c>
      <c r="O20" s="16" t="s">
        <v>36</v>
      </c>
      <c r="P20" s="1">
        <v>0</v>
      </c>
      <c r="Q20" s="3">
        <v>0.12</v>
      </c>
      <c r="R20" s="17" t="s">
        <v>36</v>
      </c>
      <c r="S20" s="17">
        <v>31.494</v>
      </c>
      <c r="T20" s="17">
        <v>17.597000000000001</v>
      </c>
      <c r="U20" s="17">
        <v>77.272000000000006</v>
      </c>
      <c r="V20" s="17">
        <v>144.25899999999999</v>
      </c>
      <c r="W20" s="17">
        <v>621.25699999999972</v>
      </c>
      <c r="X20" s="17" t="s">
        <v>36</v>
      </c>
      <c r="Y20" s="17" t="s">
        <v>36</v>
      </c>
      <c r="Z20" s="17" t="s">
        <v>36</v>
      </c>
      <c r="AA20" s="17" t="s">
        <v>36</v>
      </c>
      <c r="AB20" s="17" t="s">
        <v>36</v>
      </c>
      <c r="AC20" s="17" t="s">
        <v>36</v>
      </c>
      <c r="AD20" s="1">
        <f t="shared" si="1"/>
        <v>891.87899999999968</v>
      </c>
    </row>
    <row r="21" spans="1:30" ht="15">
      <c r="A21" s="2">
        <v>15</v>
      </c>
      <c r="B21" s="13" t="s">
        <v>50</v>
      </c>
      <c r="C21" s="1">
        <f t="shared" si="0"/>
        <v>2111.0796807347647</v>
      </c>
      <c r="D21" s="16">
        <v>887.43520699999999</v>
      </c>
      <c r="E21" s="16">
        <v>18.813568</v>
      </c>
      <c r="F21" s="16">
        <v>61.460084000000002</v>
      </c>
      <c r="G21" s="16">
        <v>319.06415500000003</v>
      </c>
      <c r="H21" s="16">
        <v>74.261259999999993</v>
      </c>
      <c r="I21" s="1">
        <v>126.71117358989916</v>
      </c>
      <c r="J21" s="3">
        <v>0.33</v>
      </c>
      <c r="K21" s="16">
        <v>313.07008000000002</v>
      </c>
      <c r="L21" s="16" t="s">
        <v>36</v>
      </c>
      <c r="M21" s="16">
        <v>76.647907000000004</v>
      </c>
      <c r="N21" s="16">
        <v>74.50353299999999</v>
      </c>
      <c r="O21" s="16">
        <v>52.207865000000005</v>
      </c>
      <c r="P21" s="1">
        <v>106.90484814486548</v>
      </c>
      <c r="Q21" s="3">
        <v>0.28000000000000003</v>
      </c>
      <c r="R21" s="17">
        <v>15.68</v>
      </c>
      <c r="S21" s="17">
        <v>1.427</v>
      </c>
      <c r="T21" s="17">
        <v>6.6280000000000001</v>
      </c>
      <c r="U21" s="17">
        <v>59.803999999999988</v>
      </c>
      <c r="V21" s="17">
        <v>60.332000000000008</v>
      </c>
      <c r="W21" s="17">
        <v>311.95099999999991</v>
      </c>
      <c r="X21" s="17">
        <v>4.1920000000000002</v>
      </c>
      <c r="Y21" s="17" t="s">
        <v>36</v>
      </c>
      <c r="Z21" s="17">
        <v>5.4060000000000006</v>
      </c>
      <c r="AA21" s="17">
        <v>9.8529999999999998</v>
      </c>
      <c r="AB21" s="17">
        <v>9.2899999999999991</v>
      </c>
      <c r="AC21" s="17">
        <v>67.939000000000007</v>
      </c>
      <c r="AD21" s="1">
        <f t="shared" si="1"/>
        <v>552.50199999999995</v>
      </c>
    </row>
    <row r="22" spans="1:30" ht="15">
      <c r="A22" s="2">
        <v>16</v>
      </c>
      <c r="B22" s="13" t="s">
        <v>51</v>
      </c>
      <c r="C22" s="1">
        <f t="shared" si="0"/>
        <v>447.31074738097971</v>
      </c>
      <c r="D22" s="16" t="s">
        <v>36</v>
      </c>
      <c r="E22" s="16">
        <v>151.53935999999999</v>
      </c>
      <c r="F22" s="16" t="s">
        <v>36</v>
      </c>
      <c r="G22" s="16">
        <v>192.420603</v>
      </c>
      <c r="H22" s="16">
        <v>50.424424000000009</v>
      </c>
      <c r="I22" s="1">
        <v>52.926360380979702</v>
      </c>
      <c r="J22" s="3">
        <v>0.33</v>
      </c>
      <c r="K22" s="16" t="s">
        <v>36</v>
      </c>
      <c r="L22" s="16" t="s">
        <v>36</v>
      </c>
      <c r="M22" s="16" t="s">
        <v>36</v>
      </c>
      <c r="N22" s="16" t="s">
        <v>36</v>
      </c>
      <c r="O22" s="16" t="s">
        <v>36</v>
      </c>
      <c r="P22" s="1">
        <v>0</v>
      </c>
      <c r="Q22" s="3">
        <v>0.12</v>
      </c>
      <c r="R22" s="17" t="s">
        <v>36</v>
      </c>
      <c r="S22" s="17">
        <v>17.968</v>
      </c>
      <c r="T22" s="17" t="s">
        <v>36</v>
      </c>
      <c r="U22" s="17">
        <v>91.137</v>
      </c>
      <c r="V22" s="17">
        <v>120.95700000000001</v>
      </c>
      <c r="W22" s="17">
        <v>384.72300000000001</v>
      </c>
      <c r="X22" s="17" t="s">
        <v>36</v>
      </c>
      <c r="Y22" s="17" t="s">
        <v>36</v>
      </c>
      <c r="Z22" s="17" t="s">
        <v>36</v>
      </c>
      <c r="AA22" s="17" t="s">
        <v>36</v>
      </c>
      <c r="AB22" s="17" t="s">
        <v>36</v>
      </c>
      <c r="AC22" s="17" t="s">
        <v>36</v>
      </c>
      <c r="AD22" s="1">
        <f t="shared" si="1"/>
        <v>614.78500000000008</v>
      </c>
    </row>
    <row r="23" spans="1:30" ht="15">
      <c r="A23" s="2">
        <v>17</v>
      </c>
      <c r="B23" s="13" t="s">
        <v>52</v>
      </c>
      <c r="C23" s="1">
        <f t="shared" si="0"/>
        <v>520.53803275595237</v>
      </c>
      <c r="D23" s="16">
        <v>39.340961999999998</v>
      </c>
      <c r="E23" s="16">
        <v>152.79060800000002</v>
      </c>
      <c r="F23" s="16">
        <v>15.459010000000001</v>
      </c>
      <c r="G23" s="16">
        <v>115.06081700000001</v>
      </c>
      <c r="H23" s="16">
        <v>27.161208999999999</v>
      </c>
      <c r="I23" s="1">
        <v>39.676331066394674</v>
      </c>
      <c r="J23" s="3">
        <v>0.33</v>
      </c>
      <c r="K23" s="16" t="s">
        <v>36</v>
      </c>
      <c r="L23" s="16" t="s">
        <v>36</v>
      </c>
      <c r="M23" s="16">
        <v>5.8922699999999999</v>
      </c>
      <c r="N23" s="16">
        <v>105.77485699999998</v>
      </c>
      <c r="O23" s="16">
        <v>10.518509</v>
      </c>
      <c r="P23" s="1">
        <v>8.8634596895577289</v>
      </c>
      <c r="Q23" s="3">
        <v>0.12</v>
      </c>
      <c r="R23" s="17">
        <v>2.5470000000000002</v>
      </c>
      <c r="S23" s="17">
        <v>15.562999999999999</v>
      </c>
      <c r="T23" s="17">
        <v>4.6289999999999996</v>
      </c>
      <c r="U23" s="17">
        <v>73.457000000000008</v>
      </c>
      <c r="V23" s="17">
        <v>76.745000000000005</v>
      </c>
      <c r="W23" s="17">
        <v>339.7179999999999</v>
      </c>
      <c r="X23" s="17" t="s">
        <v>36</v>
      </c>
      <c r="Y23" s="17" t="s">
        <v>36</v>
      </c>
      <c r="Z23" s="17">
        <v>0.59099999999999997</v>
      </c>
      <c r="AA23" s="17">
        <v>16.605</v>
      </c>
      <c r="AB23" s="17">
        <v>5.1100000000000003</v>
      </c>
      <c r="AC23" s="17">
        <v>35.883000000000003</v>
      </c>
      <c r="AD23" s="1">
        <f t="shared" si="1"/>
        <v>570.84799999999996</v>
      </c>
    </row>
    <row r="24" spans="1:30" ht="15">
      <c r="A24" s="2">
        <v>18</v>
      </c>
      <c r="B24" s="13" t="s">
        <v>53</v>
      </c>
      <c r="C24" s="1">
        <f t="shared" si="0"/>
        <v>802.27057649075914</v>
      </c>
      <c r="D24" s="16" t="s">
        <v>36</v>
      </c>
      <c r="E24" s="16">
        <v>190.91172700000001</v>
      </c>
      <c r="F24" s="16">
        <v>61.909967999999992</v>
      </c>
      <c r="G24" s="16">
        <v>88.644692000000006</v>
      </c>
      <c r="H24" s="16">
        <v>57.973570000000002</v>
      </c>
      <c r="I24" s="1">
        <v>152.54753754932173</v>
      </c>
      <c r="J24" s="3">
        <v>0.33</v>
      </c>
      <c r="K24" s="16" t="s">
        <v>36</v>
      </c>
      <c r="L24" s="16" t="s">
        <v>36</v>
      </c>
      <c r="M24" s="16">
        <v>80.548642000000001</v>
      </c>
      <c r="N24" s="16">
        <v>85.792092000000011</v>
      </c>
      <c r="O24" s="16">
        <v>51.241520999999999</v>
      </c>
      <c r="P24" s="1">
        <v>32.700826941437469</v>
      </c>
      <c r="Q24" s="3">
        <v>0.12</v>
      </c>
      <c r="R24" s="17" t="s">
        <v>36</v>
      </c>
      <c r="S24" s="17">
        <v>22.423999999999999</v>
      </c>
      <c r="T24" s="17">
        <v>13.135999999999999</v>
      </c>
      <c r="U24" s="17">
        <v>42.346000000000004</v>
      </c>
      <c r="V24" s="17">
        <v>91.187000000000012</v>
      </c>
      <c r="W24" s="17">
        <v>727.1</v>
      </c>
      <c r="X24" s="17" t="s">
        <v>36</v>
      </c>
      <c r="Y24" s="17" t="s">
        <v>36</v>
      </c>
      <c r="Z24" s="17">
        <v>5.1009999999999991</v>
      </c>
      <c r="AA24" s="17">
        <v>9.963000000000001</v>
      </c>
      <c r="AB24" s="17">
        <v>13.008999999999999</v>
      </c>
      <c r="AC24" s="17">
        <v>69.182999999999993</v>
      </c>
      <c r="AD24" s="1">
        <f t="shared" si="1"/>
        <v>993.44899999999996</v>
      </c>
    </row>
    <row r="25" spans="1:30" ht="15">
      <c r="A25" s="2">
        <v>19</v>
      </c>
      <c r="B25" s="13" t="s">
        <v>54</v>
      </c>
      <c r="C25" s="1">
        <f t="shared" si="0"/>
        <v>2557.2410063407397</v>
      </c>
      <c r="D25" s="16" t="s">
        <v>36</v>
      </c>
      <c r="E25" s="16">
        <v>77.004435000000015</v>
      </c>
      <c r="F25" s="16">
        <v>63.908910000000006</v>
      </c>
      <c r="G25" s="16">
        <v>26.050444999999996</v>
      </c>
      <c r="H25" s="16">
        <v>18.067487</v>
      </c>
      <c r="I25" s="1">
        <v>38.776480739779629</v>
      </c>
      <c r="J25" s="3">
        <v>0.33</v>
      </c>
      <c r="K25" s="16">
        <v>848.213525</v>
      </c>
      <c r="L25" s="16">
        <v>28.199199999999998</v>
      </c>
      <c r="M25" s="16">
        <v>524.62631500000009</v>
      </c>
      <c r="N25" s="16">
        <v>180.01159400000003</v>
      </c>
      <c r="O25" s="16">
        <v>150.09782299999995</v>
      </c>
      <c r="P25" s="1">
        <v>602.28479160095981</v>
      </c>
      <c r="Q25" s="3">
        <v>0.28000000000000003</v>
      </c>
      <c r="R25" s="17" t="s">
        <v>36</v>
      </c>
      <c r="S25" s="17">
        <v>7.7889999999999997</v>
      </c>
      <c r="T25" s="17">
        <v>8.9450000000000003</v>
      </c>
      <c r="U25" s="17">
        <v>20.574999999999999</v>
      </c>
      <c r="V25" s="17">
        <v>33.488</v>
      </c>
      <c r="W25" s="17">
        <v>217.79400000000001</v>
      </c>
      <c r="X25" s="17">
        <v>9.5340000000000007</v>
      </c>
      <c r="Y25" s="17">
        <v>0.69799999999999995</v>
      </c>
      <c r="Z25" s="17">
        <v>32.877999999999993</v>
      </c>
      <c r="AA25" s="17">
        <v>35.295999999999999</v>
      </c>
      <c r="AB25" s="17">
        <v>30.667999999999999</v>
      </c>
      <c r="AC25" s="17">
        <v>439.49600000000004</v>
      </c>
      <c r="AD25" s="1">
        <f t="shared" si="1"/>
        <v>837.16100000000006</v>
      </c>
    </row>
    <row r="26" spans="1:30" ht="15">
      <c r="A26" s="2">
        <v>20</v>
      </c>
      <c r="B26" s="13" t="s">
        <v>55</v>
      </c>
      <c r="C26" s="1">
        <f t="shared" si="0"/>
        <v>150.86033718439495</v>
      </c>
      <c r="D26" s="16" t="s">
        <v>36</v>
      </c>
      <c r="E26" s="16">
        <v>37.486139999999999</v>
      </c>
      <c r="F26" s="16">
        <v>24.960745000000003</v>
      </c>
      <c r="G26" s="16">
        <v>59.354600999999995</v>
      </c>
      <c r="H26" s="16">
        <v>10.738753999999998</v>
      </c>
      <c r="I26" s="1">
        <v>18.320097184394971</v>
      </c>
      <c r="J26" s="3">
        <v>0.33</v>
      </c>
      <c r="K26" s="16" t="s">
        <v>36</v>
      </c>
      <c r="L26" s="16" t="s">
        <v>36</v>
      </c>
      <c r="M26" s="16" t="s">
        <v>36</v>
      </c>
      <c r="N26" s="16" t="s">
        <v>36</v>
      </c>
      <c r="O26" s="16" t="s">
        <v>36</v>
      </c>
      <c r="P26" s="1">
        <v>0</v>
      </c>
      <c r="Q26" s="3">
        <v>0.12</v>
      </c>
      <c r="R26" s="17" t="s">
        <v>36</v>
      </c>
      <c r="S26" s="17">
        <v>12.526999999999999</v>
      </c>
      <c r="T26" s="17">
        <v>19.190000000000001</v>
      </c>
      <c r="U26" s="17">
        <v>38.978999999999999</v>
      </c>
      <c r="V26" s="17">
        <v>41.147000000000006</v>
      </c>
      <c r="W26" s="17">
        <v>212.715</v>
      </c>
      <c r="X26" s="17" t="s">
        <v>36</v>
      </c>
      <c r="Y26" s="17" t="s">
        <v>36</v>
      </c>
      <c r="Z26" s="17" t="s">
        <v>36</v>
      </c>
      <c r="AA26" s="17" t="s">
        <v>36</v>
      </c>
      <c r="AB26" s="17" t="s">
        <v>36</v>
      </c>
      <c r="AC26" s="17" t="s">
        <v>36</v>
      </c>
      <c r="AD26" s="1">
        <f t="shared" si="1"/>
        <v>324.55799999999999</v>
      </c>
    </row>
    <row r="27" spans="1:30" ht="15">
      <c r="A27" s="2">
        <v>21</v>
      </c>
      <c r="B27" s="13" t="s">
        <v>56</v>
      </c>
      <c r="C27" s="1">
        <f t="shared" si="0"/>
        <v>630.61211941288093</v>
      </c>
      <c r="D27" s="16">
        <v>385.00312500000001</v>
      </c>
      <c r="E27" s="16" t="s">
        <v>36</v>
      </c>
      <c r="F27" s="16" t="s">
        <v>36</v>
      </c>
      <c r="G27" s="16">
        <v>209.54815600000001</v>
      </c>
      <c r="H27" s="16">
        <v>14.384812999999999</v>
      </c>
      <c r="I27" s="1">
        <v>21.676025412880893</v>
      </c>
      <c r="J27" s="3">
        <v>0.33</v>
      </c>
      <c r="K27" s="16" t="s">
        <v>36</v>
      </c>
      <c r="L27" s="16" t="s">
        <v>36</v>
      </c>
      <c r="M27" s="16" t="s">
        <v>36</v>
      </c>
      <c r="N27" s="16" t="s">
        <v>36</v>
      </c>
      <c r="O27" s="16" t="s">
        <v>36</v>
      </c>
      <c r="P27" s="1">
        <v>0</v>
      </c>
      <c r="Q27" s="3">
        <v>0.12</v>
      </c>
      <c r="R27" s="17">
        <v>14.625</v>
      </c>
      <c r="S27" s="17" t="s">
        <v>36</v>
      </c>
      <c r="T27" s="17" t="s">
        <v>36</v>
      </c>
      <c r="U27" s="17">
        <v>62.768999999999998</v>
      </c>
      <c r="V27" s="17">
        <v>30.678000000000004</v>
      </c>
      <c r="W27" s="17">
        <v>140.08400000000003</v>
      </c>
      <c r="X27" s="17" t="s">
        <v>36</v>
      </c>
      <c r="Y27" s="17" t="s">
        <v>36</v>
      </c>
      <c r="Z27" s="17" t="s">
        <v>36</v>
      </c>
      <c r="AA27" s="17" t="s">
        <v>36</v>
      </c>
      <c r="AB27" s="17" t="s">
        <v>36</v>
      </c>
      <c r="AC27" s="17" t="s">
        <v>36</v>
      </c>
      <c r="AD27" s="1">
        <f t="shared" si="1"/>
        <v>248.15600000000003</v>
      </c>
    </row>
    <row r="28" spans="1:30" ht="15">
      <c r="A28" s="2">
        <v>22</v>
      </c>
      <c r="B28" s="13" t="s">
        <v>57</v>
      </c>
      <c r="C28" s="1">
        <f t="shared" si="0"/>
        <v>1084.3610458522105</v>
      </c>
      <c r="D28" s="16">
        <v>477.32943999999992</v>
      </c>
      <c r="E28" s="16">
        <v>66.407769000000002</v>
      </c>
      <c r="F28" s="16">
        <v>59.259041000000003</v>
      </c>
      <c r="G28" s="16">
        <v>253.51311999999993</v>
      </c>
      <c r="H28" s="16">
        <v>84.795472000000004</v>
      </c>
      <c r="I28" s="1">
        <v>143.05620385221061</v>
      </c>
      <c r="J28" s="3">
        <v>0.33</v>
      </c>
      <c r="K28" s="16" t="s">
        <v>36</v>
      </c>
      <c r="L28" s="16" t="s">
        <v>36</v>
      </c>
      <c r="M28" s="16" t="s">
        <v>36</v>
      </c>
      <c r="N28" s="16" t="s">
        <v>36</v>
      </c>
      <c r="O28" s="16" t="s">
        <v>36</v>
      </c>
      <c r="P28" s="1">
        <v>0</v>
      </c>
      <c r="Q28" s="3">
        <v>0.12</v>
      </c>
      <c r="R28" s="17">
        <v>32.146999999999998</v>
      </c>
      <c r="S28" s="17">
        <v>18.768999999999998</v>
      </c>
      <c r="T28" s="17">
        <v>11.646000000000001</v>
      </c>
      <c r="U28" s="17">
        <v>85.411000000000001</v>
      </c>
      <c r="V28" s="17">
        <v>111.995</v>
      </c>
      <c r="W28" s="17">
        <v>572.55700000000024</v>
      </c>
      <c r="X28" s="17" t="s">
        <v>36</v>
      </c>
      <c r="Y28" s="17" t="s">
        <v>36</v>
      </c>
      <c r="Z28" s="17" t="s">
        <v>36</v>
      </c>
      <c r="AA28" s="17" t="s">
        <v>36</v>
      </c>
      <c r="AB28" s="17" t="s">
        <v>36</v>
      </c>
      <c r="AC28" s="17" t="s">
        <v>36</v>
      </c>
      <c r="AD28" s="1">
        <f t="shared" si="1"/>
        <v>832.52500000000032</v>
      </c>
    </row>
    <row r="29" spans="1:30" ht="15">
      <c r="A29" s="2">
        <v>23</v>
      </c>
      <c r="B29" s="13" t="s">
        <v>58</v>
      </c>
      <c r="C29" s="1">
        <f t="shared" si="0"/>
        <v>381.59645368769822</v>
      </c>
      <c r="D29" s="16" t="s">
        <v>36</v>
      </c>
      <c r="E29" s="16">
        <v>100.55511899999999</v>
      </c>
      <c r="F29" s="16" t="s">
        <v>36</v>
      </c>
      <c r="G29" s="16">
        <v>135.34715700000001</v>
      </c>
      <c r="H29" s="16">
        <v>53.018387000000004</v>
      </c>
      <c r="I29" s="1">
        <v>92.67579068769821</v>
      </c>
      <c r="J29" s="3">
        <v>0.33</v>
      </c>
      <c r="K29" s="16" t="s">
        <v>36</v>
      </c>
      <c r="L29" s="16" t="s">
        <v>36</v>
      </c>
      <c r="M29" s="16" t="s">
        <v>36</v>
      </c>
      <c r="N29" s="16" t="s">
        <v>36</v>
      </c>
      <c r="O29" s="16" t="s">
        <v>36</v>
      </c>
      <c r="P29" s="1">
        <v>0</v>
      </c>
      <c r="Q29" s="3">
        <v>0.12</v>
      </c>
      <c r="R29" s="17" t="s">
        <v>36</v>
      </c>
      <c r="S29" s="17">
        <v>23.715</v>
      </c>
      <c r="T29" s="17" t="s">
        <v>36</v>
      </c>
      <c r="U29" s="17">
        <v>95.60799999999999</v>
      </c>
      <c r="V29" s="17">
        <v>95.793999999999997</v>
      </c>
      <c r="W29" s="17">
        <v>507.41600000000005</v>
      </c>
      <c r="X29" s="17" t="s">
        <v>36</v>
      </c>
      <c r="Y29" s="17" t="s">
        <v>36</v>
      </c>
      <c r="Z29" s="17" t="s">
        <v>36</v>
      </c>
      <c r="AA29" s="17" t="s">
        <v>36</v>
      </c>
      <c r="AB29" s="17" t="s">
        <v>36</v>
      </c>
      <c r="AC29" s="17" t="s">
        <v>36</v>
      </c>
      <c r="AD29" s="1">
        <f t="shared" si="1"/>
        <v>722.53300000000002</v>
      </c>
    </row>
    <row r="30" spans="1:30" ht="15">
      <c r="A30" s="2">
        <v>24</v>
      </c>
      <c r="B30" s="13" t="s">
        <v>59</v>
      </c>
      <c r="C30" s="1">
        <f t="shared" si="0"/>
        <v>2188.2678923135973</v>
      </c>
      <c r="D30" s="16">
        <v>317.03430799999995</v>
      </c>
      <c r="E30" s="16">
        <v>460.17644899999999</v>
      </c>
      <c r="F30" s="16">
        <v>37.986539999999998</v>
      </c>
      <c r="G30" s="16">
        <v>181.95974200000003</v>
      </c>
      <c r="H30" s="16">
        <v>99.299739000000002</v>
      </c>
      <c r="I30" s="1">
        <v>115.91283654274021</v>
      </c>
      <c r="J30" s="3">
        <v>0.33</v>
      </c>
      <c r="K30" s="16">
        <v>93.673306999999994</v>
      </c>
      <c r="L30" s="16">
        <v>66.462550000000007</v>
      </c>
      <c r="M30" s="16">
        <v>275.49917499999998</v>
      </c>
      <c r="N30" s="16">
        <v>341.31292400000012</v>
      </c>
      <c r="O30" s="16">
        <v>105.514741</v>
      </c>
      <c r="P30" s="1">
        <v>93.435580770856731</v>
      </c>
      <c r="Q30" s="3">
        <v>0.12</v>
      </c>
      <c r="R30" s="17">
        <v>19.63</v>
      </c>
      <c r="S30" s="17">
        <v>46.322000000000003</v>
      </c>
      <c r="T30" s="17">
        <v>7.9270000000000005</v>
      </c>
      <c r="U30" s="17">
        <v>98.987000000000023</v>
      </c>
      <c r="V30" s="17">
        <v>163.53100000000003</v>
      </c>
      <c r="W30" s="17">
        <v>578.45500000000004</v>
      </c>
      <c r="X30" s="17">
        <v>3.9129999999999998</v>
      </c>
      <c r="Y30" s="17">
        <v>4.6970000000000001</v>
      </c>
      <c r="Z30" s="17">
        <v>23.7</v>
      </c>
      <c r="AA30" s="17">
        <v>46.213000000000015</v>
      </c>
      <c r="AB30" s="17">
        <v>23.811999999999998</v>
      </c>
      <c r="AC30" s="17">
        <v>175.71700000000004</v>
      </c>
      <c r="AD30" s="1">
        <f t="shared" si="1"/>
        <v>1192.9040000000002</v>
      </c>
    </row>
    <row r="31" spans="1:30" ht="15">
      <c r="A31" s="2">
        <v>25</v>
      </c>
      <c r="B31" s="13" t="s">
        <v>60</v>
      </c>
      <c r="C31" s="1">
        <f t="shared" si="0"/>
        <v>1221.1550388761309</v>
      </c>
      <c r="D31" s="16">
        <v>388.36250999999999</v>
      </c>
      <c r="E31" s="16">
        <v>205.86032899999998</v>
      </c>
      <c r="F31" s="16">
        <v>22.113695999999997</v>
      </c>
      <c r="G31" s="16">
        <v>132.09360000000001</v>
      </c>
      <c r="H31" s="16">
        <v>52.825994999999992</v>
      </c>
      <c r="I31" s="1">
        <v>61.300103168317882</v>
      </c>
      <c r="J31" s="3">
        <v>0.33</v>
      </c>
      <c r="K31" s="16">
        <v>99.325853999999993</v>
      </c>
      <c r="L31" s="16" t="s">
        <v>36</v>
      </c>
      <c r="M31" s="16">
        <v>63.278196999999999</v>
      </c>
      <c r="N31" s="16">
        <v>146.396063</v>
      </c>
      <c r="O31" s="16">
        <v>31.240730000000003</v>
      </c>
      <c r="P31" s="1">
        <v>18.35796170781293</v>
      </c>
      <c r="Q31" s="3">
        <v>0.12</v>
      </c>
      <c r="R31" s="17">
        <v>12.263</v>
      </c>
      <c r="S31" s="17">
        <v>17.629000000000001</v>
      </c>
      <c r="T31" s="17">
        <v>5.6269999999999989</v>
      </c>
      <c r="U31" s="17">
        <v>45.222000000000001</v>
      </c>
      <c r="V31" s="17">
        <v>64.043999999999997</v>
      </c>
      <c r="W31" s="17">
        <v>225.20500000000001</v>
      </c>
      <c r="X31" s="17">
        <v>2.5169999999999999</v>
      </c>
      <c r="Y31" s="17" t="s">
        <v>36</v>
      </c>
      <c r="Z31" s="17">
        <v>3.5270000000000001</v>
      </c>
      <c r="AA31" s="17">
        <v>13.74</v>
      </c>
      <c r="AB31" s="17">
        <v>11.096999999999998</v>
      </c>
      <c r="AC31" s="17">
        <v>54.341000000000001</v>
      </c>
      <c r="AD31" s="1">
        <f t="shared" si="1"/>
        <v>455.21199999999999</v>
      </c>
    </row>
    <row r="32" spans="1:30" ht="15">
      <c r="A32" s="2">
        <v>26</v>
      </c>
      <c r="B32" s="13" t="s">
        <v>61</v>
      </c>
      <c r="C32" s="1">
        <f t="shared" si="0"/>
        <v>712.52429432016424</v>
      </c>
      <c r="D32" s="16" t="s">
        <v>36</v>
      </c>
      <c r="E32" s="16">
        <v>193.58758599999999</v>
      </c>
      <c r="F32" s="16">
        <v>122.16747400000001</v>
      </c>
      <c r="G32" s="16">
        <v>191.11961700000001</v>
      </c>
      <c r="H32" s="16">
        <v>78.579655000000017</v>
      </c>
      <c r="I32" s="1">
        <v>127.06996232016418</v>
      </c>
      <c r="J32" s="3">
        <v>0.33</v>
      </c>
      <c r="K32" s="16" t="s">
        <v>36</v>
      </c>
      <c r="L32" s="16" t="s">
        <v>36</v>
      </c>
      <c r="M32" s="16" t="s">
        <v>36</v>
      </c>
      <c r="N32" s="16" t="s">
        <v>36</v>
      </c>
      <c r="O32" s="16" t="s">
        <v>36</v>
      </c>
      <c r="P32" s="1">
        <v>0</v>
      </c>
      <c r="Q32" s="3">
        <v>0.12</v>
      </c>
      <c r="R32" s="17" t="s">
        <v>36</v>
      </c>
      <c r="S32" s="17">
        <v>25.336000000000002</v>
      </c>
      <c r="T32" s="17">
        <v>16.161999999999999</v>
      </c>
      <c r="U32" s="17">
        <v>92.406000000000006</v>
      </c>
      <c r="V32" s="17">
        <v>89.55</v>
      </c>
      <c r="W32" s="17">
        <v>438.81799999999998</v>
      </c>
      <c r="X32" s="17" t="s">
        <v>36</v>
      </c>
      <c r="Y32" s="17" t="s">
        <v>36</v>
      </c>
      <c r="Z32" s="17" t="s">
        <v>36</v>
      </c>
      <c r="AA32" s="17" t="s">
        <v>36</v>
      </c>
      <c r="AB32" s="17" t="s">
        <v>36</v>
      </c>
      <c r="AC32" s="17" t="s">
        <v>36</v>
      </c>
      <c r="AD32" s="1">
        <f t="shared" si="1"/>
        <v>662.27199999999993</v>
      </c>
    </row>
    <row r="33" spans="1:30" ht="15">
      <c r="A33" s="2">
        <v>27</v>
      </c>
      <c r="B33" s="13" t="s">
        <v>62</v>
      </c>
      <c r="C33" s="1">
        <f t="shared" si="0"/>
        <v>270.7733135036579</v>
      </c>
      <c r="D33" s="16" t="s">
        <v>36</v>
      </c>
      <c r="E33" s="16">
        <v>91.532499999999999</v>
      </c>
      <c r="F33" s="16">
        <v>45.275318000000006</v>
      </c>
      <c r="G33" s="16">
        <v>42.381748000000002</v>
      </c>
      <c r="H33" s="16">
        <v>43.102619999999995</v>
      </c>
      <c r="I33" s="1">
        <v>48.481127503657888</v>
      </c>
      <c r="J33" s="3">
        <v>0.33</v>
      </c>
      <c r="K33" s="16" t="s">
        <v>36</v>
      </c>
      <c r="L33" s="16" t="s">
        <v>36</v>
      </c>
      <c r="M33" s="16" t="s">
        <v>36</v>
      </c>
      <c r="N33" s="16" t="s">
        <v>36</v>
      </c>
      <c r="O33" s="16" t="s">
        <v>36</v>
      </c>
      <c r="P33" s="1">
        <v>0</v>
      </c>
      <c r="Q33" s="3">
        <v>0.12</v>
      </c>
      <c r="R33" s="17" t="s">
        <v>36</v>
      </c>
      <c r="S33" s="17">
        <v>21.308</v>
      </c>
      <c r="T33" s="17">
        <v>12.816000000000001</v>
      </c>
      <c r="U33" s="17">
        <v>21.256</v>
      </c>
      <c r="V33" s="17">
        <v>68.400000000000006</v>
      </c>
      <c r="W33" s="17">
        <v>233.13699999999997</v>
      </c>
      <c r="X33" s="17" t="s">
        <v>36</v>
      </c>
      <c r="Y33" s="17" t="s">
        <v>36</v>
      </c>
      <c r="Z33" s="17" t="s">
        <v>36</v>
      </c>
      <c r="AA33" s="17" t="s">
        <v>36</v>
      </c>
      <c r="AB33" s="17" t="s">
        <v>36</v>
      </c>
      <c r="AC33" s="17" t="s">
        <v>36</v>
      </c>
      <c r="AD33" s="1">
        <f t="shared" si="1"/>
        <v>356.91699999999997</v>
      </c>
    </row>
    <row r="34" spans="1:30" ht="15">
      <c r="A34" s="2">
        <v>28</v>
      </c>
      <c r="B34" s="13" t="s">
        <v>63</v>
      </c>
      <c r="C34" s="1">
        <f t="shared" si="0"/>
        <v>221.69185230993253</v>
      </c>
      <c r="D34" s="16" t="s">
        <v>36</v>
      </c>
      <c r="E34" s="16" t="s">
        <v>36</v>
      </c>
      <c r="F34" s="16">
        <v>114.05408899999999</v>
      </c>
      <c r="G34" s="16">
        <v>48.859894999999995</v>
      </c>
      <c r="H34" s="16">
        <v>22.339749999999999</v>
      </c>
      <c r="I34" s="1">
        <v>36.438118309932563</v>
      </c>
      <c r="J34" s="3">
        <v>0.33</v>
      </c>
      <c r="K34" s="16" t="s">
        <v>36</v>
      </c>
      <c r="L34" s="16" t="s">
        <v>36</v>
      </c>
      <c r="M34" s="16" t="s">
        <v>36</v>
      </c>
      <c r="N34" s="16" t="s">
        <v>36</v>
      </c>
      <c r="O34" s="16" t="s">
        <v>36</v>
      </c>
      <c r="P34" s="1">
        <v>0</v>
      </c>
      <c r="Q34" s="3">
        <v>0.12</v>
      </c>
      <c r="R34" s="17" t="s">
        <v>36</v>
      </c>
      <c r="S34" s="17" t="s">
        <v>36</v>
      </c>
      <c r="T34" s="17">
        <v>30.512</v>
      </c>
      <c r="U34" s="17">
        <v>57.156999999999996</v>
      </c>
      <c r="V34" s="17">
        <v>73.394999999999996</v>
      </c>
      <c r="W34" s="17">
        <v>362.76900000000012</v>
      </c>
      <c r="X34" s="17" t="s">
        <v>36</v>
      </c>
      <c r="Y34" s="17" t="s">
        <v>36</v>
      </c>
      <c r="Z34" s="17" t="s">
        <v>36</v>
      </c>
      <c r="AA34" s="17" t="s">
        <v>36</v>
      </c>
      <c r="AB34" s="17" t="s">
        <v>36</v>
      </c>
      <c r="AC34" s="17" t="s">
        <v>36</v>
      </c>
      <c r="AD34" s="1">
        <f t="shared" si="1"/>
        <v>523.83300000000008</v>
      </c>
    </row>
    <row r="35" spans="1:30" ht="15">
      <c r="A35" s="2">
        <v>29</v>
      </c>
      <c r="B35" s="13" t="s">
        <v>64</v>
      </c>
      <c r="C35" s="1">
        <f t="shared" si="0"/>
        <v>206.1652621573665</v>
      </c>
      <c r="D35" s="16" t="s">
        <v>36</v>
      </c>
      <c r="E35" s="16" t="s">
        <v>36</v>
      </c>
      <c r="F35" s="16">
        <v>119.62531800000001</v>
      </c>
      <c r="G35" s="16">
        <v>24.809921000000003</v>
      </c>
      <c r="H35" s="16">
        <v>28.158963000000004</v>
      </c>
      <c r="I35" s="1">
        <v>33.571060157366482</v>
      </c>
      <c r="J35" s="3">
        <v>0.33</v>
      </c>
      <c r="K35" s="16" t="s">
        <v>36</v>
      </c>
      <c r="L35" s="16" t="s">
        <v>36</v>
      </c>
      <c r="M35" s="16" t="s">
        <v>36</v>
      </c>
      <c r="N35" s="16" t="s">
        <v>36</v>
      </c>
      <c r="O35" s="16" t="s">
        <v>36</v>
      </c>
      <c r="P35" s="1">
        <v>0</v>
      </c>
      <c r="Q35" s="3">
        <v>0.12</v>
      </c>
      <c r="R35" s="17" t="s">
        <v>36</v>
      </c>
      <c r="S35" s="17" t="s">
        <v>36</v>
      </c>
      <c r="T35" s="17">
        <v>36.235999999999997</v>
      </c>
      <c r="U35" s="17">
        <v>20.968</v>
      </c>
      <c r="V35" s="17">
        <v>80.322000000000003</v>
      </c>
      <c r="W35" s="17">
        <v>290.18100000000004</v>
      </c>
      <c r="X35" s="17" t="s">
        <v>36</v>
      </c>
      <c r="Y35" s="17" t="s">
        <v>36</v>
      </c>
      <c r="Z35" s="17" t="s">
        <v>36</v>
      </c>
      <c r="AA35" s="17" t="s">
        <v>36</v>
      </c>
      <c r="AB35" s="17" t="s">
        <v>36</v>
      </c>
      <c r="AC35" s="17" t="s">
        <v>36</v>
      </c>
      <c r="AD35" s="1">
        <f t="shared" si="1"/>
        <v>427.70700000000005</v>
      </c>
    </row>
    <row r="36" spans="1:30" ht="15">
      <c r="A36" s="2">
        <v>30</v>
      </c>
      <c r="B36" s="13" t="s">
        <v>65</v>
      </c>
      <c r="C36" s="1">
        <f t="shared" si="0"/>
        <v>2264.831423983514</v>
      </c>
      <c r="D36" s="16" t="s">
        <v>36</v>
      </c>
      <c r="E36" s="16">
        <v>275.92148199999997</v>
      </c>
      <c r="F36" s="16">
        <v>129.83474799999999</v>
      </c>
      <c r="G36" s="16">
        <v>256.07471600000002</v>
      </c>
      <c r="H36" s="16">
        <v>88.550313000000003</v>
      </c>
      <c r="I36" s="1">
        <v>156.9103506677944</v>
      </c>
      <c r="J36" s="3">
        <v>0.33</v>
      </c>
      <c r="K36" s="16" t="s">
        <v>36</v>
      </c>
      <c r="L36" s="16">
        <v>235.44374599999998</v>
      </c>
      <c r="M36" s="16">
        <v>452.94457499999993</v>
      </c>
      <c r="N36" s="16">
        <v>281.83244299999996</v>
      </c>
      <c r="O36" s="16">
        <v>177.14104399999994</v>
      </c>
      <c r="P36" s="1">
        <v>210.1780063157199</v>
      </c>
      <c r="Q36" s="3">
        <v>0.28000000000000003</v>
      </c>
      <c r="R36" s="17" t="s">
        <v>36</v>
      </c>
      <c r="S36" s="17">
        <v>28.222000000000001</v>
      </c>
      <c r="T36" s="17">
        <v>20.855999999999998</v>
      </c>
      <c r="U36" s="17">
        <v>68.34399999999998</v>
      </c>
      <c r="V36" s="17">
        <v>121.37600000000002</v>
      </c>
      <c r="W36" s="17">
        <v>651.74900000000014</v>
      </c>
      <c r="X36" s="17" t="s">
        <v>36</v>
      </c>
      <c r="Y36" s="17">
        <v>15.266</v>
      </c>
      <c r="Z36" s="17">
        <v>30.990999999999996</v>
      </c>
      <c r="AA36" s="17">
        <v>34.306000000000004</v>
      </c>
      <c r="AB36" s="17">
        <v>43.270999999999994</v>
      </c>
      <c r="AC36" s="17">
        <v>183.36099999999996</v>
      </c>
      <c r="AD36" s="1">
        <f t="shared" si="1"/>
        <v>1197.742</v>
      </c>
    </row>
    <row r="37" spans="1:30" ht="15">
      <c r="A37" s="2">
        <v>31</v>
      </c>
      <c r="B37" s="13" t="s">
        <v>66</v>
      </c>
      <c r="C37" s="1">
        <f t="shared" ref="C37:C68" si="2">SUM(D37:I37)+SUM(K37:P37)</f>
        <v>328.11994876177425</v>
      </c>
      <c r="D37" s="16">
        <v>83.307600000000008</v>
      </c>
      <c r="E37" s="16" t="s">
        <v>36</v>
      </c>
      <c r="F37" s="16">
        <v>81.935002000000011</v>
      </c>
      <c r="G37" s="16">
        <v>67.125556000000032</v>
      </c>
      <c r="H37" s="16">
        <v>40.667467000000002</v>
      </c>
      <c r="I37" s="1">
        <v>55.084323761774243</v>
      </c>
      <c r="J37" s="3">
        <v>0.33</v>
      </c>
      <c r="K37" s="16" t="s">
        <v>36</v>
      </c>
      <c r="L37" s="16" t="s">
        <v>36</v>
      </c>
      <c r="M37" s="16" t="s">
        <v>36</v>
      </c>
      <c r="N37" s="16" t="s">
        <v>36</v>
      </c>
      <c r="O37" s="16" t="s">
        <v>36</v>
      </c>
      <c r="P37" s="1">
        <v>0</v>
      </c>
      <c r="Q37" s="3">
        <v>0.12</v>
      </c>
      <c r="R37" s="17">
        <v>2.6280000000000001</v>
      </c>
      <c r="S37" s="17" t="s">
        <v>36</v>
      </c>
      <c r="T37" s="17">
        <v>20.03</v>
      </c>
      <c r="U37" s="17">
        <v>54.576999999999984</v>
      </c>
      <c r="V37" s="17">
        <v>72.272000000000034</v>
      </c>
      <c r="W37" s="17">
        <v>296.64499999999998</v>
      </c>
      <c r="X37" s="17" t="s">
        <v>36</v>
      </c>
      <c r="Y37" s="17" t="s">
        <v>36</v>
      </c>
      <c r="Z37" s="17" t="s">
        <v>36</v>
      </c>
      <c r="AA37" s="17" t="s">
        <v>36</v>
      </c>
      <c r="AB37" s="17" t="s">
        <v>36</v>
      </c>
      <c r="AC37" s="17" t="s">
        <v>36</v>
      </c>
      <c r="AD37" s="1">
        <f t="shared" si="1"/>
        <v>446.15199999999999</v>
      </c>
    </row>
    <row r="38" spans="1:30" ht="15">
      <c r="A38" s="2">
        <v>32</v>
      </c>
      <c r="B38" s="13" t="s">
        <v>67</v>
      </c>
      <c r="C38" s="1">
        <f t="shared" si="2"/>
        <v>125.07170431810091</v>
      </c>
      <c r="D38" s="16" t="s">
        <v>36</v>
      </c>
      <c r="E38" s="16" t="s">
        <v>36</v>
      </c>
      <c r="F38" s="16">
        <v>43.855805000000004</v>
      </c>
      <c r="G38" s="16">
        <v>29.795347</v>
      </c>
      <c r="H38" s="16">
        <v>20.045023</v>
      </c>
      <c r="I38" s="1">
        <v>31.375529318100916</v>
      </c>
      <c r="J38" s="3">
        <v>0.33</v>
      </c>
      <c r="K38" s="16" t="s">
        <v>36</v>
      </c>
      <c r="L38" s="16" t="s">
        <v>36</v>
      </c>
      <c r="M38" s="16" t="s">
        <v>36</v>
      </c>
      <c r="N38" s="16" t="s">
        <v>36</v>
      </c>
      <c r="O38" s="16" t="s">
        <v>36</v>
      </c>
      <c r="P38" s="1">
        <v>0</v>
      </c>
      <c r="Q38" s="3">
        <v>0.12</v>
      </c>
      <c r="R38" s="17" t="s">
        <v>36</v>
      </c>
      <c r="S38" s="17" t="s">
        <v>36</v>
      </c>
      <c r="T38" s="17">
        <v>18.873999999999995</v>
      </c>
      <c r="U38" s="17">
        <v>50.640999999999998</v>
      </c>
      <c r="V38" s="17">
        <v>54.005000000000003</v>
      </c>
      <c r="W38" s="17">
        <v>256.15600000000001</v>
      </c>
      <c r="X38" s="17" t="s">
        <v>36</v>
      </c>
      <c r="Y38" s="17" t="s">
        <v>36</v>
      </c>
      <c r="Z38" s="17" t="s">
        <v>36</v>
      </c>
      <c r="AA38" s="17" t="s">
        <v>36</v>
      </c>
      <c r="AB38" s="17" t="s">
        <v>36</v>
      </c>
      <c r="AC38" s="17" t="s">
        <v>36</v>
      </c>
      <c r="AD38" s="1">
        <f t="shared" si="1"/>
        <v>379.67599999999999</v>
      </c>
    </row>
    <row r="39" spans="1:30" ht="15">
      <c r="A39" s="2">
        <v>33</v>
      </c>
      <c r="B39" s="13" t="s">
        <v>68</v>
      </c>
      <c r="C39" s="1">
        <f t="shared" si="2"/>
        <v>336.67991428283875</v>
      </c>
      <c r="D39" s="16" t="s">
        <v>36</v>
      </c>
      <c r="E39" s="16" t="s">
        <v>36</v>
      </c>
      <c r="F39" s="16" t="s">
        <v>36</v>
      </c>
      <c r="G39" s="16">
        <v>197.96848399999999</v>
      </c>
      <c r="H39" s="16">
        <v>54.854889</v>
      </c>
      <c r="I39" s="1">
        <v>83.856541282838762</v>
      </c>
      <c r="J39" s="3">
        <v>0.33</v>
      </c>
      <c r="K39" s="16" t="s">
        <v>36</v>
      </c>
      <c r="L39" s="16" t="s">
        <v>36</v>
      </c>
      <c r="M39" s="16" t="s">
        <v>36</v>
      </c>
      <c r="N39" s="16" t="s">
        <v>36</v>
      </c>
      <c r="O39" s="16" t="s">
        <v>36</v>
      </c>
      <c r="P39" s="1">
        <v>0</v>
      </c>
      <c r="Q39" s="3">
        <v>0.12</v>
      </c>
      <c r="R39" s="17" t="s">
        <v>36</v>
      </c>
      <c r="S39" s="17" t="s">
        <v>36</v>
      </c>
      <c r="T39" s="17" t="s">
        <v>36</v>
      </c>
      <c r="U39" s="17">
        <v>59.432000000000002</v>
      </c>
      <c r="V39" s="17">
        <v>67.057000000000002</v>
      </c>
      <c r="W39" s="17">
        <v>310.63599999999991</v>
      </c>
      <c r="X39" s="17" t="s">
        <v>36</v>
      </c>
      <c r="Y39" s="17" t="s">
        <v>36</v>
      </c>
      <c r="Z39" s="17" t="s">
        <v>36</v>
      </c>
      <c r="AA39" s="17" t="s">
        <v>36</v>
      </c>
      <c r="AB39" s="17" t="s">
        <v>36</v>
      </c>
      <c r="AC39" s="17" t="s">
        <v>36</v>
      </c>
      <c r="AD39" s="1">
        <f t="shared" ref="AD39:AD70" si="3">SUM(R39:AC39)</f>
        <v>437.12499999999989</v>
      </c>
    </row>
    <row r="40" spans="1:30" ht="15">
      <c r="A40" s="2">
        <v>34</v>
      </c>
      <c r="B40" s="13" t="s">
        <v>69</v>
      </c>
      <c r="C40" s="1">
        <f t="shared" si="2"/>
        <v>7594.1604209960333</v>
      </c>
      <c r="D40" s="16" t="s">
        <v>36</v>
      </c>
      <c r="E40" s="16" t="s">
        <v>36</v>
      </c>
      <c r="F40" s="16" t="s">
        <v>36</v>
      </c>
      <c r="G40" s="16" t="s">
        <v>36</v>
      </c>
      <c r="H40" s="16" t="s">
        <v>36</v>
      </c>
      <c r="I40" s="1">
        <v>0</v>
      </c>
      <c r="J40" s="3">
        <v>0.33</v>
      </c>
      <c r="K40" s="16">
        <v>1854.1899090000002</v>
      </c>
      <c r="L40" s="16">
        <v>870.43878000000007</v>
      </c>
      <c r="M40" s="16">
        <v>1671.5947449999999</v>
      </c>
      <c r="N40" s="16">
        <v>1690.022332</v>
      </c>
      <c r="O40" s="16">
        <v>654.30948100000012</v>
      </c>
      <c r="P40" s="1">
        <v>853.6051739960327</v>
      </c>
      <c r="Q40" s="3">
        <v>0.28000000000000003</v>
      </c>
      <c r="R40" s="17" t="s">
        <v>36</v>
      </c>
      <c r="S40" s="17" t="s">
        <v>36</v>
      </c>
      <c r="T40" s="17" t="s">
        <v>36</v>
      </c>
      <c r="U40" s="17" t="s">
        <v>36</v>
      </c>
      <c r="V40" s="17" t="s">
        <v>36</v>
      </c>
      <c r="W40" s="17" t="s">
        <v>36</v>
      </c>
      <c r="X40" s="17">
        <v>35.420999999999992</v>
      </c>
      <c r="Y40" s="17">
        <v>13.763999999999999</v>
      </c>
      <c r="Z40" s="17">
        <v>56.441999999999979</v>
      </c>
      <c r="AA40" s="17">
        <v>141.72999999999999</v>
      </c>
      <c r="AB40" s="17">
        <v>158.78099999999998</v>
      </c>
      <c r="AC40" s="17">
        <v>739.8</v>
      </c>
      <c r="AD40" s="1">
        <f t="shared" si="3"/>
        <v>1145.9379999999999</v>
      </c>
    </row>
    <row r="41" spans="1:30" ht="15">
      <c r="A41" s="2">
        <v>35</v>
      </c>
      <c r="B41" s="13" t="s">
        <v>70</v>
      </c>
      <c r="C41" s="1">
        <f t="shared" si="2"/>
        <v>343.61252571046225</v>
      </c>
      <c r="D41" s="16" t="s">
        <v>36</v>
      </c>
      <c r="E41" s="16">
        <v>15.303608000000001</v>
      </c>
      <c r="F41" s="16">
        <v>131.31182299999998</v>
      </c>
      <c r="G41" s="16">
        <v>97.897423999999987</v>
      </c>
      <c r="H41" s="16">
        <v>37.990652000000004</v>
      </c>
      <c r="I41" s="1">
        <v>61.109018710462273</v>
      </c>
      <c r="J41" s="3">
        <v>0.33</v>
      </c>
      <c r="K41" s="16" t="s">
        <v>36</v>
      </c>
      <c r="L41" s="16" t="s">
        <v>36</v>
      </c>
      <c r="M41" s="16" t="s">
        <v>36</v>
      </c>
      <c r="N41" s="16" t="s">
        <v>36</v>
      </c>
      <c r="O41" s="16" t="s">
        <v>36</v>
      </c>
      <c r="P41" s="1">
        <v>0</v>
      </c>
      <c r="Q41" s="3">
        <v>0.12</v>
      </c>
      <c r="R41" s="17" t="s">
        <v>36</v>
      </c>
      <c r="S41" s="17">
        <v>5.423</v>
      </c>
      <c r="T41" s="17">
        <v>34.783000000000001</v>
      </c>
      <c r="U41" s="17">
        <v>51.638999999999996</v>
      </c>
      <c r="V41" s="17">
        <v>70.905999999999992</v>
      </c>
      <c r="W41" s="17">
        <v>345.61899999999974</v>
      </c>
      <c r="X41" s="17" t="s">
        <v>36</v>
      </c>
      <c r="Y41" s="17" t="s">
        <v>36</v>
      </c>
      <c r="Z41" s="17" t="s">
        <v>36</v>
      </c>
      <c r="AA41" s="17" t="s">
        <v>36</v>
      </c>
      <c r="AB41" s="17" t="s">
        <v>36</v>
      </c>
      <c r="AC41" s="17" t="s">
        <v>36</v>
      </c>
      <c r="AD41" s="1">
        <f t="shared" si="3"/>
        <v>508.36999999999972</v>
      </c>
    </row>
    <row r="42" spans="1:30" ht="15">
      <c r="A42" s="2">
        <v>36</v>
      </c>
      <c r="B42" s="13" t="s">
        <v>71</v>
      </c>
      <c r="C42" s="1">
        <f t="shared" si="2"/>
        <v>1554.8694828435487</v>
      </c>
      <c r="D42" s="16" t="s">
        <v>36</v>
      </c>
      <c r="E42" s="16">
        <v>723.0176449999999</v>
      </c>
      <c r="F42" s="16">
        <v>26.216694</v>
      </c>
      <c r="G42" s="16">
        <v>333.07857000000001</v>
      </c>
      <c r="H42" s="16">
        <v>214.09276800000006</v>
      </c>
      <c r="I42" s="1">
        <v>258.46380584354904</v>
      </c>
      <c r="J42" s="3">
        <v>0.33</v>
      </c>
      <c r="K42" s="16" t="s">
        <v>36</v>
      </c>
      <c r="L42" s="16" t="s">
        <v>36</v>
      </c>
      <c r="M42" s="16" t="s">
        <v>36</v>
      </c>
      <c r="N42" s="16" t="s">
        <v>36</v>
      </c>
      <c r="O42" s="16" t="s">
        <v>36</v>
      </c>
      <c r="P42" s="1">
        <v>0</v>
      </c>
      <c r="Q42" s="3">
        <v>0.12</v>
      </c>
      <c r="R42" s="17" t="s">
        <v>36</v>
      </c>
      <c r="S42" s="17">
        <v>47.598999999999997</v>
      </c>
      <c r="T42" s="17">
        <v>4.585</v>
      </c>
      <c r="U42" s="17">
        <v>100.99299999999998</v>
      </c>
      <c r="V42" s="17">
        <v>122.785</v>
      </c>
      <c r="W42" s="17">
        <v>449.18899999999996</v>
      </c>
      <c r="X42" s="17" t="s">
        <v>36</v>
      </c>
      <c r="Y42" s="17" t="s">
        <v>36</v>
      </c>
      <c r="Z42" s="17" t="s">
        <v>36</v>
      </c>
      <c r="AA42" s="17" t="s">
        <v>36</v>
      </c>
      <c r="AB42" s="17" t="s">
        <v>36</v>
      </c>
      <c r="AC42" s="17" t="s">
        <v>36</v>
      </c>
      <c r="AD42" s="1">
        <f t="shared" si="3"/>
        <v>725.15099999999995</v>
      </c>
    </row>
    <row r="43" spans="1:30" ht="15">
      <c r="A43" s="2">
        <v>37</v>
      </c>
      <c r="B43" s="13" t="s">
        <v>72</v>
      </c>
      <c r="C43" s="1">
        <f t="shared" si="2"/>
        <v>1533.936187849687</v>
      </c>
      <c r="D43" s="16">
        <v>474.855906</v>
      </c>
      <c r="E43" s="16">
        <v>100.10179099999999</v>
      </c>
      <c r="F43" s="16">
        <v>122.588443</v>
      </c>
      <c r="G43" s="16">
        <v>11.399198000000002</v>
      </c>
      <c r="H43" s="16">
        <v>66.983485999999999</v>
      </c>
      <c r="I43" s="1">
        <v>66.280101934592849</v>
      </c>
      <c r="J43" s="3">
        <v>0.33</v>
      </c>
      <c r="K43" s="16" t="s">
        <v>36</v>
      </c>
      <c r="L43" s="16" t="s">
        <v>36</v>
      </c>
      <c r="M43" s="16">
        <v>409.552998</v>
      </c>
      <c r="N43" s="16">
        <v>158.75735599999996</v>
      </c>
      <c r="O43" s="16">
        <v>73.11001499999999</v>
      </c>
      <c r="P43" s="1">
        <v>50.306892915094238</v>
      </c>
      <c r="Q43" s="3">
        <v>0.12</v>
      </c>
      <c r="R43" s="17">
        <v>13.128</v>
      </c>
      <c r="S43" s="17">
        <v>5.4290000000000003</v>
      </c>
      <c r="T43" s="17">
        <v>33.751999999999995</v>
      </c>
      <c r="U43" s="17">
        <v>2.93</v>
      </c>
      <c r="V43" s="17">
        <v>75.77</v>
      </c>
      <c r="W43" s="17">
        <v>227.19499999999999</v>
      </c>
      <c r="X43" s="17" t="s">
        <v>36</v>
      </c>
      <c r="Y43" s="17" t="s">
        <v>36</v>
      </c>
      <c r="Z43" s="17">
        <v>18.769000000000002</v>
      </c>
      <c r="AA43" s="17">
        <v>16.931999999999995</v>
      </c>
      <c r="AB43" s="17">
        <v>19.895</v>
      </c>
      <c r="AC43" s="17">
        <v>114.081</v>
      </c>
      <c r="AD43" s="1">
        <f t="shared" si="3"/>
        <v>527.88099999999997</v>
      </c>
    </row>
    <row r="44" spans="1:30" ht="15">
      <c r="A44" s="2">
        <v>38</v>
      </c>
      <c r="B44" s="13" t="s">
        <v>73</v>
      </c>
      <c r="C44" s="1">
        <f t="shared" si="2"/>
        <v>205.26962966770441</v>
      </c>
      <c r="D44" s="16" t="s">
        <v>36</v>
      </c>
      <c r="E44" s="16">
        <v>40.705207000000009</v>
      </c>
      <c r="F44" s="16">
        <v>27.649926000000001</v>
      </c>
      <c r="G44" s="16">
        <v>80.530521000000007</v>
      </c>
      <c r="H44" s="16">
        <v>26.116992000000003</v>
      </c>
      <c r="I44" s="1">
        <v>30.266983667704384</v>
      </c>
      <c r="J44" s="3">
        <v>0.33</v>
      </c>
      <c r="K44" s="16" t="s">
        <v>36</v>
      </c>
      <c r="L44" s="16" t="s">
        <v>36</v>
      </c>
      <c r="M44" s="16" t="s">
        <v>36</v>
      </c>
      <c r="N44" s="16" t="s">
        <v>36</v>
      </c>
      <c r="O44" s="16" t="s">
        <v>36</v>
      </c>
      <c r="P44" s="1">
        <v>0</v>
      </c>
      <c r="Q44" s="3">
        <v>0.12</v>
      </c>
      <c r="R44" s="17" t="s">
        <v>36</v>
      </c>
      <c r="S44" s="17">
        <v>8.8840000000000003</v>
      </c>
      <c r="T44" s="17">
        <v>25.109000000000002</v>
      </c>
      <c r="U44" s="17">
        <v>42.747</v>
      </c>
      <c r="V44" s="17">
        <v>62.149000000000015</v>
      </c>
      <c r="W44" s="17">
        <v>218.25599999999997</v>
      </c>
      <c r="X44" s="17" t="s">
        <v>36</v>
      </c>
      <c r="Y44" s="17" t="s">
        <v>36</v>
      </c>
      <c r="Z44" s="17" t="s">
        <v>36</v>
      </c>
      <c r="AA44" s="17" t="s">
        <v>36</v>
      </c>
      <c r="AB44" s="17" t="s">
        <v>36</v>
      </c>
      <c r="AC44" s="17" t="s">
        <v>36</v>
      </c>
      <c r="AD44" s="1">
        <f t="shared" si="3"/>
        <v>357.14499999999998</v>
      </c>
    </row>
    <row r="45" spans="1:30" ht="15">
      <c r="A45" s="2">
        <v>39</v>
      </c>
      <c r="B45" s="13" t="s">
        <v>74</v>
      </c>
      <c r="C45" s="1">
        <f t="shared" si="2"/>
        <v>595.73473195476936</v>
      </c>
      <c r="D45" s="16">
        <v>429.34667300000001</v>
      </c>
      <c r="E45" s="16" t="s">
        <v>36</v>
      </c>
      <c r="F45" s="16">
        <v>4.8390719999999998</v>
      </c>
      <c r="G45" s="16">
        <v>119.27579</v>
      </c>
      <c r="H45" s="16">
        <v>20.765509000000002</v>
      </c>
      <c r="I45" s="1">
        <v>21.50768795476942</v>
      </c>
      <c r="J45" s="3">
        <v>0.33</v>
      </c>
      <c r="K45" s="16" t="s">
        <v>36</v>
      </c>
      <c r="L45" s="16" t="s">
        <v>36</v>
      </c>
      <c r="M45" s="16" t="s">
        <v>36</v>
      </c>
      <c r="N45" s="16" t="s">
        <v>36</v>
      </c>
      <c r="O45" s="16" t="s">
        <v>36</v>
      </c>
      <c r="P45" s="1">
        <v>0</v>
      </c>
      <c r="Q45" s="3">
        <v>0.12</v>
      </c>
      <c r="R45" s="17">
        <v>16.457000000000001</v>
      </c>
      <c r="S45" s="17" t="s">
        <v>36</v>
      </c>
      <c r="T45" s="17">
        <v>2.1280000000000001</v>
      </c>
      <c r="U45" s="17">
        <v>40.501999999999995</v>
      </c>
      <c r="V45" s="17">
        <v>34.132000000000005</v>
      </c>
      <c r="W45" s="17">
        <v>107.127</v>
      </c>
      <c r="X45" s="17" t="s">
        <v>36</v>
      </c>
      <c r="Y45" s="17" t="s">
        <v>36</v>
      </c>
      <c r="Z45" s="17" t="s">
        <v>36</v>
      </c>
      <c r="AA45" s="17" t="s">
        <v>36</v>
      </c>
      <c r="AB45" s="17" t="s">
        <v>36</v>
      </c>
      <c r="AC45" s="17" t="s">
        <v>36</v>
      </c>
      <c r="AD45" s="1">
        <f t="shared" si="3"/>
        <v>200.346</v>
      </c>
    </row>
    <row r="46" spans="1:30" ht="15">
      <c r="A46" s="2">
        <v>40</v>
      </c>
      <c r="B46" s="13" t="s">
        <v>75</v>
      </c>
      <c r="C46" s="1">
        <f t="shared" si="2"/>
        <v>351.91042530576539</v>
      </c>
      <c r="D46" s="16" t="s">
        <v>36</v>
      </c>
      <c r="E46" s="16">
        <v>188.58036099999998</v>
      </c>
      <c r="F46" s="16">
        <v>63.839054999999995</v>
      </c>
      <c r="G46" s="16">
        <v>29.047619999999995</v>
      </c>
      <c r="H46" s="16">
        <v>28.406185000000004</v>
      </c>
      <c r="I46" s="1">
        <v>42.037204305765371</v>
      </c>
      <c r="J46" s="3">
        <v>0.33</v>
      </c>
      <c r="K46" s="16" t="s">
        <v>36</v>
      </c>
      <c r="L46" s="16" t="s">
        <v>36</v>
      </c>
      <c r="M46" s="16" t="s">
        <v>36</v>
      </c>
      <c r="N46" s="16" t="s">
        <v>36</v>
      </c>
      <c r="O46" s="16" t="s">
        <v>36</v>
      </c>
      <c r="P46" s="1">
        <v>0</v>
      </c>
      <c r="Q46" s="3">
        <v>0.12</v>
      </c>
      <c r="R46" s="17" t="s">
        <v>36</v>
      </c>
      <c r="S46" s="17">
        <v>18.12</v>
      </c>
      <c r="T46" s="17">
        <v>27.968</v>
      </c>
      <c r="U46" s="17">
        <v>23.602</v>
      </c>
      <c r="V46" s="17">
        <v>52.72</v>
      </c>
      <c r="W46" s="17">
        <v>236.41900000000001</v>
      </c>
      <c r="X46" s="17" t="s">
        <v>36</v>
      </c>
      <c r="Y46" s="17" t="s">
        <v>36</v>
      </c>
      <c r="Z46" s="17" t="s">
        <v>36</v>
      </c>
      <c r="AA46" s="17" t="s">
        <v>36</v>
      </c>
      <c r="AB46" s="17" t="s">
        <v>36</v>
      </c>
      <c r="AC46" s="17" t="s">
        <v>36</v>
      </c>
      <c r="AD46" s="1">
        <f t="shared" si="3"/>
        <v>358.82900000000001</v>
      </c>
    </row>
    <row r="47" spans="1:30" ht="15">
      <c r="A47" s="2">
        <v>41</v>
      </c>
      <c r="B47" s="13" t="s">
        <v>76</v>
      </c>
      <c r="C47" s="1">
        <f t="shared" si="2"/>
        <v>1293.6311674931831</v>
      </c>
      <c r="D47" s="16">
        <v>916.66228000000001</v>
      </c>
      <c r="E47" s="16" t="s">
        <v>36</v>
      </c>
      <c r="F47" s="16" t="s">
        <v>36</v>
      </c>
      <c r="G47" s="16">
        <v>215.84325300000003</v>
      </c>
      <c r="H47" s="16">
        <v>53.124547000000007</v>
      </c>
      <c r="I47" s="1">
        <v>108.00108749318318</v>
      </c>
      <c r="J47" s="3">
        <v>0.33</v>
      </c>
      <c r="K47" s="16" t="s">
        <v>36</v>
      </c>
      <c r="L47" s="16" t="s">
        <v>36</v>
      </c>
      <c r="M47" s="16" t="s">
        <v>36</v>
      </c>
      <c r="N47" s="16" t="s">
        <v>36</v>
      </c>
      <c r="O47" s="16" t="s">
        <v>36</v>
      </c>
      <c r="P47" s="1">
        <v>0</v>
      </c>
      <c r="Q47" s="3">
        <v>0.12</v>
      </c>
      <c r="R47" s="17">
        <v>23.024000000000001</v>
      </c>
      <c r="S47" s="17" t="s">
        <v>36</v>
      </c>
      <c r="T47" s="17" t="s">
        <v>36</v>
      </c>
      <c r="U47" s="17">
        <v>71.778999999999996</v>
      </c>
      <c r="V47" s="17">
        <v>56.714000000000006</v>
      </c>
      <c r="W47" s="17">
        <v>349.38900000000001</v>
      </c>
      <c r="X47" s="17" t="s">
        <v>36</v>
      </c>
      <c r="Y47" s="17" t="s">
        <v>36</v>
      </c>
      <c r="Z47" s="17" t="s">
        <v>36</v>
      </c>
      <c r="AA47" s="17" t="s">
        <v>36</v>
      </c>
      <c r="AB47" s="17" t="s">
        <v>36</v>
      </c>
      <c r="AC47" s="17" t="s">
        <v>36</v>
      </c>
      <c r="AD47" s="1">
        <f t="shared" si="3"/>
        <v>500.90600000000001</v>
      </c>
    </row>
    <row r="48" spans="1:30" ht="15">
      <c r="A48" s="2">
        <v>42</v>
      </c>
      <c r="B48" s="13" t="s">
        <v>77</v>
      </c>
      <c r="C48" s="1">
        <f t="shared" si="2"/>
        <v>1168.2481823318785</v>
      </c>
      <c r="D48" s="16" t="s">
        <v>36</v>
      </c>
      <c r="E48" s="16">
        <v>371.30932999999993</v>
      </c>
      <c r="F48" s="16">
        <v>63.544475000000006</v>
      </c>
      <c r="G48" s="16">
        <v>184.74143199999997</v>
      </c>
      <c r="H48" s="16">
        <v>134.23528300000001</v>
      </c>
      <c r="I48" s="1">
        <v>211.4151797155759</v>
      </c>
      <c r="J48" s="3">
        <v>0.33</v>
      </c>
      <c r="K48" s="16" t="s">
        <v>36</v>
      </c>
      <c r="L48" s="16">
        <v>48.182717999999994</v>
      </c>
      <c r="M48" s="16">
        <v>79.267696999999998</v>
      </c>
      <c r="N48" s="16">
        <v>35.531123000000001</v>
      </c>
      <c r="O48" s="16">
        <v>25.088922999999998</v>
      </c>
      <c r="P48" s="1">
        <v>14.932021616302686</v>
      </c>
      <c r="Q48" s="3">
        <v>0.12</v>
      </c>
      <c r="R48" s="17" t="s">
        <v>36</v>
      </c>
      <c r="S48" s="17">
        <v>43.556000000000004</v>
      </c>
      <c r="T48" s="17">
        <v>19.29</v>
      </c>
      <c r="U48" s="17">
        <v>106.22899999999998</v>
      </c>
      <c r="V48" s="17">
        <v>157.61600000000001</v>
      </c>
      <c r="W48" s="17">
        <v>752.23900000000003</v>
      </c>
      <c r="X48" s="17" t="s">
        <v>36</v>
      </c>
      <c r="Y48" s="17">
        <v>3.7889999999999997</v>
      </c>
      <c r="Z48" s="17">
        <v>8.0500000000000007</v>
      </c>
      <c r="AA48" s="17">
        <v>8.1959999999999997</v>
      </c>
      <c r="AB48" s="17">
        <v>8.113999999999999</v>
      </c>
      <c r="AC48" s="17">
        <v>40.243000000000002</v>
      </c>
      <c r="AD48" s="1">
        <f t="shared" si="3"/>
        <v>1147.3219999999999</v>
      </c>
    </row>
    <row r="49" spans="1:30" ht="15">
      <c r="A49" s="2">
        <v>43</v>
      </c>
      <c r="B49" s="13" t="s">
        <v>78</v>
      </c>
      <c r="C49" s="1">
        <f t="shared" si="2"/>
        <v>967.70108248183783</v>
      </c>
      <c r="D49" s="16" t="s">
        <v>36</v>
      </c>
      <c r="E49" s="16">
        <v>354.58485999999999</v>
      </c>
      <c r="F49" s="16">
        <v>90.434467999999995</v>
      </c>
      <c r="G49" s="16">
        <v>240.63967399999996</v>
      </c>
      <c r="H49" s="16">
        <v>95.402874999999995</v>
      </c>
      <c r="I49" s="1">
        <v>186.63920548183793</v>
      </c>
      <c r="J49" s="3">
        <v>0.33</v>
      </c>
      <c r="K49" s="16" t="s">
        <v>36</v>
      </c>
      <c r="L49" s="16" t="s">
        <v>36</v>
      </c>
      <c r="M49" s="16" t="s">
        <v>36</v>
      </c>
      <c r="N49" s="16" t="s">
        <v>36</v>
      </c>
      <c r="O49" s="16" t="s">
        <v>36</v>
      </c>
      <c r="P49" s="1">
        <v>0</v>
      </c>
      <c r="Q49" s="3">
        <v>0.12</v>
      </c>
      <c r="R49" s="17" t="s">
        <v>36</v>
      </c>
      <c r="S49" s="17">
        <v>31.216000000000001</v>
      </c>
      <c r="T49" s="17">
        <v>22.023</v>
      </c>
      <c r="U49" s="17">
        <v>107.11199999999997</v>
      </c>
      <c r="V49" s="17">
        <v>103.113</v>
      </c>
      <c r="W49" s="17">
        <v>611.28100000000006</v>
      </c>
      <c r="X49" s="17" t="s">
        <v>36</v>
      </c>
      <c r="Y49" s="17" t="s">
        <v>36</v>
      </c>
      <c r="Z49" s="17" t="s">
        <v>36</v>
      </c>
      <c r="AA49" s="17" t="s">
        <v>36</v>
      </c>
      <c r="AB49" s="17" t="s">
        <v>36</v>
      </c>
      <c r="AC49" s="17" t="s">
        <v>36</v>
      </c>
      <c r="AD49" s="1">
        <f t="shared" si="3"/>
        <v>874.745</v>
      </c>
    </row>
    <row r="50" spans="1:30" ht="15">
      <c r="A50" s="2">
        <v>44</v>
      </c>
      <c r="B50" s="13" t="s">
        <v>79</v>
      </c>
      <c r="C50" s="1">
        <f t="shared" si="2"/>
        <v>255.70783385920757</v>
      </c>
      <c r="D50" s="16" t="s">
        <v>36</v>
      </c>
      <c r="E50" s="16" t="s">
        <v>36</v>
      </c>
      <c r="F50" s="16">
        <v>95.229791999999989</v>
      </c>
      <c r="G50" s="16">
        <v>84.962820999999991</v>
      </c>
      <c r="H50" s="16">
        <v>31.726395</v>
      </c>
      <c r="I50" s="1">
        <v>43.788825859207577</v>
      </c>
      <c r="J50" s="3">
        <v>0.33</v>
      </c>
      <c r="K50" s="16" t="s">
        <v>36</v>
      </c>
      <c r="L50" s="16" t="s">
        <v>36</v>
      </c>
      <c r="M50" s="16" t="s">
        <v>36</v>
      </c>
      <c r="N50" s="16" t="s">
        <v>36</v>
      </c>
      <c r="O50" s="16" t="s">
        <v>36</v>
      </c>
      <c r="P50" s="1">
        <v>0</v>
      </c>
      <c r="Q50" s="3">
        <v>0.12</v>
      </c>
      <c r="R50" s="17" t="s">
        <v>36</v>
      </c>
      <c r="S50" s="17" t="s">
        <v>36</v>
      </c>
      <c r="T50" s="17">
        <v>26.676999999999996</v>
      </c>
      <c r="U50" s="17">
        <v>37.582999999999998</v>
      </c>
      <c r="V50" s="17">
        <v>91.15300000000002</v>
      </c>
      <c r="W50" s="17">
        <v>381.24099999999987</v>
      </c>
      <c r="X50" s="17" t="s">
        <v>36</v>
      </c>
      <c r="Y50" s="17" t="s">
        <v>36</v>
      </c>
      <c r="Z50" s="17" t="s">
        <v>36</v>
      </c>
      <c r="AA50" s="17" t="s">
        <v>36</v>
      </c>
      <c r="AB50" s="17" t="s">
        <v>36</v>
      </c>
      <c r="AC50" s="17" t="s">
        <v>36</v>
      </c>
      <c r="AD50" s="1">
        <f t="shared" si="3"/>
        <v>536.65399999999988</v>
      </c>
    </row>
    <row r="51" spans="1:30" ht="15">
      <c r="A51" s="2">
        <v>45</v>
      </c>
      <c r="B51" s="13" t="s">
        <v>80</v>
      </c>
      <c r="C51" s="1">
        <f t="shared" si="2"/>
        <v>955.38584699192575</v>
      </c>
      <c r="D51" s="16" t="s">
        <v>36</v>
      </c>
      <c r="E51" s="16">
        <v>280.16860400000007</v>
      </c>
      <c r="F51" s="16" t="s">
        <v>36</v>
      </c>
      <c r="G51" s="16">
        <v>133.35833400000001</v>
      </c>
      <c r="H51" s="16">
        <v>32.619377999999998</v>
      </c>
      <c r="I51" s="1">
        <v>76.594448353403862</v>
      </c>
      <c r="J51" s="3">
        <v>0.33</v>
      </c>
      <c r="K51" s="16" t="s">
        <v>36</v>
      </c>
      <c r="L51" s="16" t="s">
        <v>36</v>
      </c>
      <c r="M51" s="16">
        <v>156.864553</v>
      </c>
      <c r="N51" s="16">
        <v>87.986281999999989</v>
      </c>
      <c r="O51" s="16">
        <v>54.099824999999996</v>
      </c>
      <c r="P51" s="1">
        <v>133.69442263852179</v>
      </c>
      <c r="Q51" s="3">
        <v>0.28000000000000003</v>
      </c>
      <c r="R51" s="17" t="s">
        <v>36</v>
      </c>
      <c r="S51" s="17">
        <v>37.054000000000002</v>
      </c>
      <c r="T51" s="17" t="s">
        <v>36</v>
      </c>
      <c r="U51" s="17">
        <v>75.06</v>
      </c>
      <c r="V51" s="17">
        <v>65.399000000000001</v>
      </c>
      <c r="W51" s="17">
        <v>465.34899999999993</v>
      </c>
      <c r="X51" s="17" t="s">
        <v>36</v>
      </c>
      <c r="Y51" s="17" t="s">
        <v>36</v>
      </c>
      <c r="Z51" s="17">
        <v>8.1829999999999998</v>
      </c>
      <c r="AA51" s="17">
        <v>10.863</v>
      </c>
      <c r="AB51" s="17">
        <v>12.637000000000002</v>
      </c>
      <c r="AC51" s="17">
        <v>111.533</v>
      </c>
      <c r="AD51" s="1">
        <f t="shared" si="3"/>
        <v>786.07799999999997</v>
      </c>
    </row>
    <row r="52" spans="1:30" ht="15">
      <c r="A52" s="2">
        <v>46</v>
      </c>
      <c r="B52" s="13" t="s">
        <v>81</v>
      </c>
      <c r="C52" s="1">
        <f t="shared" si="2"/>
        <v>251.82657760794143</v>
      </c>
      <c r="D52" s="16" t="s">
        <v>36</v>
      </c>
      <c r="E52" s="16">
        <v>149.68917499999998</v>
      </c>
      <c r="F52" s="16" t="s">
        <v>36</v>
      </c>
      <c r="G52" s="16">
        <v>30.528409000000003</v>
      </c>
      <c r="H52" s="16">
        <v>38.062078</v>
      </c>
      <c r="I52" s="1">
        <v>33.546915607941443</v>
      </c>
      <c r="J52" s="3">
        <v>0.33</v>
      </c>
      <c r="K52" s="16" t="s">
        <v>36</v>
      </c>
      <c r="L52" s="16" t="s">
        <v>36</v>
      </c>
      <c r="M52" s="16" t="s">
        <v>36</v>
      </c>
      <c r="N52" s="16" t="s">
        <v>36</v>
      </c>
      <c r="O52" s="16" t="s">
        <v>36</v>
      </c>
      <c r="P52" s="1">
        <v>0</v>
      </c>
      <c r="Q52" s="3">
        <v>0.12</v>
      </c>
      <c r="R52" s="17" t="s">
        <v>36</v>
      </c>
      <c r="S52" s="17">
        <v>18.753</v>
      </c>
      <c r="T52" s="17" t="s">
        <v>36</v>
      </c>
      <c r="U52" s="17">
        <v>24.04</v>
      </c>
      <c r="V52" s="17">
        <v>78.952999999999989</v>
      </c>
      <c r="W52" s="17">
        <v>210.87</v>
      </c>
      <c r="X52" s="17" t="s">
        <v>36</v>
      </c>
      <c r="Y52" s="17" t="s">
        <v>36</v>
      </c>
      <c r="Z52" s="17" t="s">
        <v>36</v>
      </c>
      <c r="AA52" s="17" t="s">
        <v>36</v>
      </c>
      <c r="AB52" s="17" t="s">
        <v>36</v>
      </c>
      <c r="AC52" s="17" t="s">
        <v>36</v>
      </c>
      <c r="AD52" s="1">
        <f t="shared" si="3"/>
        <v>332.61599999999999</v>
      </c>
    </row>
    <row r="53" spans="1:30" ht="15">
      <c r="A53" s="2">
        <v>47</v>
      </c>
      <c r="B53" s="13" t="s">
        <v>82</v>
      </c>
      <c r="C53" s="1">
        <f t="shared" si="2"/>
        <v>3650.9507006563381</v>
      </c>
      <c r="D53" s="16">
        <v>777.12523799999997</v>
      </c>
      <c r="E53" s="16">
        <v>312.90452799999997</v>
      </c>
      <c r="F53" s="16">
        <v>96.289735999999991</v>
      </c>
      <c r="G53" s="16">
        <v>222.26896500000001</v>
      </c>
      <c r="H53" s="16">
        <v>179.80174299999999</v>
      </c>
      <c r="I53" s="1">
        <v>271.46830337907403</v>
      </c>
      <c r="J53" s="3">
        <v>0.33</v>
      </c>
      <c r="K53" s="16">
        <v>273.55088000000001</v>
      </c>
      <c r="L53" s="16">
        <v>122.28676</v>
      </c>
      <c r="M53" s="16">
        <v>456.72077700000006</v>
      </c>
      <c r="N53" s="16">
        <v>588.98065700000018</v>
      </c>
      <c r="O53" s="16">
        <v>230.65236199999995</v>
      </c>
      <c r="P53" s="1">
        <v>118.90075127726408</v>
      </c>
      <c r="Q53" s="3">
        <v>0.12</v>
      </c>
      <c r="R53" s="17">
        <v>18.713000000000001</v>
      </c>
      <c r="S53" s="17">
        <v>25.183999999999997</v>
      </c>
      <c r="T53" s="17">
        <v>14.491999999999999</v>
      </c>
      <c r="U53" s="17">
        <v>78.59099999999998</v>
      </c>
      <c r="V53" s="17">
        <v>139.26499999999999</v>
      </c>
      <c r="W53" s="17">
        <v>637.16700000000026</v>
      </c>
      <c r="X53" s="17">
        <v>5.9340000000000002</v>
      </c>
      <c r="Y53" s="17">
        <v>8.4159999999999986</v>
      </c>
      <c r="Z53" s="17">
        <v>17.360999999999997</v>
      </c>
      <c r="AA53" s="17">
        <v>62.402999999999999</v>
      </c>
      <c r="AB53" s="17">
        <v>52.195</v>
      </c>
      <c r="AC53" s="17">
        <v>224.22</v>
      </c>
      <c r="AD53" s="1">
        <f t="shared" si="3"/>
        <v>1283.9410000000003</v>
      </c>
    </row>
    <row r="54" spans="1:30" ht="15">
      <c r="A54" s="2">
        <v>48</v>
      </c>
      <c r="B54" s="13" t="s">
        <v>83</v>
      </c>
      <c r="C54" s="1">
        <f t="shared" si="2"/>
        <v>885.76334683698599</v>
      </c>
      <c r="D54" s="16" t="s">
        <v>36</v>
      </c>
      <c r="E54" s="16">
        <v>235.964495</v>
      </c>
      <c r="F54" s="16">
        <v>170.52788400000003</v>
      </c>
      <c r="G54" s="16">
        <v>229.86119400000001</v>
      </c>
      <c r="H54" s="16">
        <v>103.33961400000001</v>
      </c>
      <c r="I54" s="1">
        <v>146.07015983698588</v>
      </c>
      <c r="J54" s="3">
        <v>0.33</v>
      </c>
      <c r="K54" s="16" t="s">
        <v>36</v>
      </c>
      <c r="L54" s="16" t="s">
        <v>36</v>
      </c>
      <c r="M54" s="16" t="s">
        <v>36</v>
      </c>
      <c r="N54" s="16" t="s">
        <v>36</v>
      </c>
      <c r="O54" s="16" t="s">
        <v>36</v>
      </c>
      <c r="P54" s="1">
        <v>0</v>
      </c>
      <c r="Q54" s="3">
        <v>0.12</v>
      </c>
      <c r="R54" s="17" t="s">
        <v>36</v>
      </c>
      <c r="S54" s="17">
        <v>39.181999999999995</v>
      </c>
      <c r="T54" s="17">
        <v>27.631999999999998</v>
      </c>
      <c r="U54" s="17">
        <v>89.828999999999994</v>
      </c>
      <c r="V54" s="17">
        <v>70.943999999999988</v>
      </c>
      <c r="W54" s="17">
        <v>303.87600000000009</v>
      </c>
      <c r="X54" s="17" t="s">
        <v>36</v>
      </c>
      <c r="Y54" s="17" t="s">
        <v>36</v>
      </c>
      <c r="Z54" s="17" t="s">
        <v>36</v>
      </c>
      <c r="AA54" s="17" t="s">
        <v>36</v>
      </c>
      <c r="AB54" s="17" t="s">
        <v>36</v>
      </c>
      <c r="AC54" s="17" t="s">
        <v>36</v>
      </c>
      <c r="AD54" s="1">
        <f t="shared" si="3"/>
        <v>531.46300000000008</v>
      </c>
    </row>
    <row r="55" spans="1:30" ht="15">
      <c r="A55" s="2">
        <v>49</v>
      </c>
      <c r="B55" s="13" t="s">
        <v>84</v>
      </c>
      <c r="C55" s="1">
        <f t="shared" si="2"/>
        <v>344.43448851041467</v>
      </c>
      <c r="D55" s="16" t="s">
        <v>36</v>
      </c>
      <c r="E55" s="16" t="s">
        <v>36</v>
      </c>
      <c r="F55" s="16">
        <v>62.175186000000004</v>
      </c>
      <c r="G55" s="16">
        <v>120.92546500000002</v>
      </c>
      <c r="H55" s="16">
        <v>43.983408000000011</v>
      </c>
      <c r="I55" s="1">
        <v>42.327107567104008</v>
      </c>
      <c r="J55" s="3">
        <v>0.33</v>
      </c>
      <c r="K55" s="16" t="s">
        <v>36</v>
      </c>
      <c r="L55" s="16" t="s">
        <v>36</v>
      </c>
      <c r="M55" s="16">
        <v>24.683737000000001</v>
      </c>
      <c r="N55" s="16">
        <v>21.231071</v>
      </c>
      <c r="O55" s="16">
        <v>16.066151000000001</v>
      </c>
      <c r="P55" s="1">
        <v>13.042362943310657</v>
      </c>
      <c r="Q55" s="3">
        <v>0.12</v>
      </c>
      <c r="R55" s="17" t="s">
        <v>36</v>
      </c>
      <c r="S55" s="17" t="s">
        <v>36</v>
      </c>
      <c r="T55" s="17">
        <v>17.34</v>
      </c>
      <c r="U55" s="17">
        <v>54.738</v>
      </c>
      <c r="V55" s="17">
        <v>68.141999999999996</v>
      </c>
      <c r="W55" s="17">
        <v>198.715</v>
      </c>
      <c r="X55" s="17" t="s">
        <v>36</v>
      </c>
      <c r="Y55" s="17" t="s">
        <v>36</v>
      </c>
      <c r="Z55" s="17">
        <v>2.1320000000000001</v>
      </c>
      <c r="AA55" s="17">
        <v>4.1930000000000005</v>
      </c>
      <c r="AB55" s="17">
        <v>5.2920000000000007</v>
      </c>
      <c r="AC55" s="17">
        <v>35.799999999999997</v>
      </c>
      <c r="AD55" s="1">
        <f t="shared" si="3"/>
        <v>386.35199999999998</v>
      </c>
    </row>
    <row r="56" spans="1:30" ht="15">
      <c r="A56" s="2">
        <v>50</v>
      </c>
      <c r="B56" s="13" t="s">
        <v>85</v>
      </c>
      <c r="C56" s="1">
        <f t="shared" si="2"/>
        <v>1063.6972545950391</v>
      </c>
      <c r="D56" s="16">
        <v>706.38294699999994</v>
      </c>
      <c r="E56" s="16" t="s">
        <v>36</v>
      </c>
      <c r="F56" s="16" t="s">
        <v>36</v>
      </c>
      <c r="G56" s="16">
        <v>245.93397099999996</v>
      </c>
      <c r="H56" s="16">
        <v>46.128339000000004</v>
      </c>
      <c r="I56" s="1">
        <v>65.251997595039356</v>
      </c>
      <c r="J56" s="3">
        <v>0.33</v>
      </c>
      <c r="K56" s="16" t="s">
        <v>36</v>
      </c>
      <c r="L56" s="16" t="s">
        <v>36</v>
      </c>
      <c r="M56" s="16" t="s">
        <v>36</v>
      </c>
      <c r="N56" s="16" t="s">
        <v>36</v>
      </c>
      <c r="O56" s="16" t="s">
        <v>36</v>
      </c>
      <c r="P56" s="1">
        <v>0</v>
      </c>
      <c r="Q56" s="3">
        <v>0.12</v>
      </c>
      <c r="R56" s="17">
        <v>20.666</v>
      </c>
      <c r="S56" s="17" t="s">
        <v>36</v>
      </c>
      <c r="T56" s="17" t="s">
        <v>36</v>
      </c>
      <c r="U56" s="17">
        <v>113.99899999999998</v>
      </c>
      <c r="V56" s="17">
        <v>97.270999999999987</v>
      </c>
      <c r="W56" s="17">
        <v>416.96100000000001</v>
      </c>
      <c r="X56" s="17" t="s">
        <v>36</v>
      </c>
      <c r="Y56" s="17" t="s">
        <v>36</v>
      </c>
      <c r="Z56" s="17" t="s">
        <v>36</v>
      </c>
      <c r="AA56" s="17" t="s">
        <v>36</v>
      </c>
      <c r="AB56" s="17" t="s">
        <v>36</v>
      </c>
      <c r="AC56" s="17" t="s">
        <v>36</v>
      </c>
      <c r="AD56" s="1">
        <f t="shared" si="3"/>
        <v>648.89699999999993</v>
      </c>
    </row>
    <row r="57" spans="1:30" ht="15">
      <c r="A57" s="2">
        <v>51</v>
      </c>
      <c r="B57" s="13" t="s">
        <v>86</v>
      </c>
      <c r="C57" s="1">
        <f t="shared" si="2"/>
        <v>1695.8741497045376</v>
      </c>
      <c r="D57" s="16" t="s">
        <v>36</v>
      </c>
      <c r="E57" s="16">
        <v>375.21598</v>
      </c>
      <c r="F57" s="16">
        <v>115.55981</v>
      </c>
      <c r="G57" s="16">
        <v>79.524572000000006</v>
      </c>
      <c r="H57" s="16">
        <v>68.342618999999999</v>
      </c>
      <c r="I57" s="1">
        <v>96.506923326543728</v>
      </c>
      <c r="J57" s="3">
        <v>0.33</v>
      </c>
      <c r="K57" s="16" t="s">
        <v>36</v>
      </c>
      <c r="L57" s="16">
        <v>163.370756</v>
      </c>
      <c r="M57" s="16">
        <v>382.11874499999999</v>
      </c>
      <c r="N57" s="16">
        <v>213.76395399999998</v>
      </c>
      <c r="O57" s="16">
        <v>95.37683899999999</v>
      </c>
      <c r="P57" s="1">
        <v>106.09395137799373</v>
      </c>
      <c r="Q57" s="3">
        <v>0.28000000000000003</v>
      </c>
      <c r="R57" s="17" t="s">
        <v>36</v>
      </c>
      <c r="S57" s="17">
        <v>33.314999999999998</v>
      </c>
      <c r="T57" s="17">
        <v>24.147999999999996</v>
      </c>
      <c r="U57" s="17">
        <v>30.523999999999997</v>
      </c>
      <c r="V57" s="17">
        <v>107.18200000000002</v>
      </c>
      <c r="W57" s="17">
        <v>458.64300000000003</v>
      </c>
      <c r="X57" s="17" t="s">
        <v>36</v>
      </c>
      <c r="Y57" s="17">
        <v>7.0590000000000002</v>
      </c>
      <c r="Z57" s="17">
        <v>18.135999999999996</v>
      </c>
      <c r="AA57" s="17">
        <v>26.585999999999995</v>
      </c>
      <c r="AB57" s="17">
        <v>27.105</v>
      </c>
      <c r="AC57" s="17">
        <v>107.68100000000001</v>
      </c>
      <c r="AD57" s="1">
        <f t="shared" si="3"/>
        <v>840.37900000000002</v>
      </c>
    </row>
    <row r="58" spans="1:30" ht="15">
      <c r="A58" s="2">
        <v>52</v>
      </c>
      <c r="B58" s="13" t="s">
        <v>87</v>
      </c>
      <c r="C58" s="1">
        <f t="shared" si="2"/>
        <v>678.77966584255296</v>
      </c>
      <c r="D58" s="16">
        <v>363.11154100000005</v>
      </c>
      <c r="E58" s="16" t="s">
        <v>36</v>
      </c>
      <c r="F58" s="16">
        <v>99.370084000000006</v>
      </c>
      <c r="G58" s="16">
        <v>106.37943800000001</v>
      </c>
      <c r="H58" s="16">
        <v>63.240191000000003</v>
      </c>
      <c r="I58" s="1">
        <v>46.678411842552897</v>
      </c>
      <c r="J58" s="3">
        <v>0.33</v>
      </c>
      <c r="K58" s="16" t="s">
        <v>36</v>
      </c>
      <c r="L58" s="16" t="s">
        <v>36</v>
      </c>
      <c r="M58" s="16" t="s">
        <v>36</v>
      </c>
      <c r="N58" s="16" t="s">
        <v>36</v>
      </c>
      <c r="O58" s="16" t="s">
        <v>36</v>
      </c>
      <c r="P58" s="1">
        <v>0</v>
      </c>
      <c r="Q58" s="3">
        <v>0.12</v>
      </c>
      <c r="R58" s="17">
        <v>13.358999999999998</v>
      </c>
      <c r="S58" s="17" t="s">
        <v>36</v>
      </c>
      <c r="T58" s="17">
        <v>29.736000000000004</v>
      </c>
      <c r="U58" s="17">
        <v>51.801000000000002</v>
      </c>
      <c r="V58" s="17">
        <v>106.761</v>
      </c>
      <c r="W58" s="17">
        <v>238.79299999999998</v>
      </c>
      <c r="X58" s="17" t="s">
        <v>36</v>
      </c>
      <c r="Y58" s="17" t="s">
        <v>36</v>
      </c>
      <c r="Z58" s="17" t="s">
        <v>36</v>
      </c>
      <c r="AA58" s="17" t="s">
        <v>36</v>
      </c>
      <c r="AB58" s="17" t="s">
        <v>36</v>
      </c>
      <c r="AC58" s="17" t="s">
        <v>36</v>
      </c>
      <c r="AD58" s="1">
        <f t="shared" si="3"/>
        <v>440.44999999999993</v>
      </c>
    </row>
    <row r="59" spans="1:30" ht="15">
      <c r="A59" s="2">
        <v>53</v>
      </c>
      <c r="B59" s="13" t="s">
        <v>88</v>
      </c>
      <c r="C59" s="1">
        <f t="shared" si="2"/>
        <v>175.28199513495181</v>
      </c>
      <c r="D59" s="16" t="s">
        <v>36</v>
      </c>
      <c r="E59" s="16">
        <v>76.03500600000001</v>
      </c>
      <c r="F59" s="16">
        <v>9.4726040000000005</v>
      </c>
      <c r="G59" s="16">
        <v>52.797205999999996</v>
      </c>
      <c r="H59" s="16">
        <v>13.299404000000001</v>
      </c>
      <c r="I59" s="1">
        <v>23.677775134951798</v>
      </c>
      <c r="J59" s="3">
        <v>0.33</v>
      </c>
      <c r="K59" s="16" t="s">
        <v>36</v>
      </c>
      <c r="L59" s="16" t="s">
        <v>36</v>
      </c>
      <c r="M59" s="16" t="s">
        <v>36</v>
      </c>
      <c r="N59" s="16" t="s">
        <v>36</v>
      </c>
      <c r="O59" s="16" t="s">
        <v>36</v>
      </c>
      <c r="P59" s="1">
        <v>0</v>
      </c>
      <c r="Q59" s="3">
        <v>0.12</v>
      </c>
      <c r="R59" s="17" t="s">
        <v>36</v>
      </c>
      <c r="S59" s="17">
        <v>19.391000000000002</v>
      </c>
      <c r="T59" s="17">
        <v>18.189</v>
      </c>
      <c r="U59" s="17">
        <v>47.042000000000002</v>
      </c>
      <c r="V59" s="17">
        <v>54.973999999999997</v>
      </c>
      <c r="W59" s="17">
        <v>296.58699999999999</v>
      </c>
      <c r="X59" s="17" t="s">
        <v>36</v>
      </c>
      <c r="Y59" s="17" t="s">
        <v>36</v>
      </c>
      <c r="Z59" s="17" t="s">
        <v>36</v>
      </c>
      <c r="AA59" s="17" t="s">
        <v>36</v>
      </c>
      <c r="AB59" s="17" t="s">
        <v>36</v>
      </c>
      <c r="AC59" s="17" t="s">
        <v>36</v>
      </c>
      <c r="AD59" s="1">
        <f t="shared" si="3"/>
        <v>436.18299999999999</v>
      </c>
    </row>
    <row r="60" spans="1:30" ht="15">
      <c r="A60" s="2">
        <v>54</v>
      </c>
      <c r="B60" s="13" t="s">
        <v>89</v>
      </c>
      <c r="C60" s="1">
        <f t="shared" si="2"/>
        <v>1806.4343486002037</v>
      </c>
      <c r="D60" s="16" t="s">
        <v>36</v>
      </c>
      <c r="E60" s="16">
        <v>570.07898900000009</v>
      </c>
      <c r="F60" s="16">
        <v>74.979389999999995</v>
      </c>
      <c r="G60" s="16">
        <v>280.33168099999995</v>
      </c>
      <c r="H60" s="16">
        <v>117.15426500000002</v>
      </c>
      <c r="I60" s="1">
        <v>266.0038309790703</v>
      </c>
      <c r="J60" s="3">
        <v>0.33</v>
      </c>
      <c r="K60" s="16" t="s">
        <v>36</v>
      </c>
      <c r="L60" s="16">
        <v>132.72187399999999</v>
      </c>
      <c r="M60" s="16">
        <v>54.472542000000004</v>
      </c>
      <c r="N60" s="16">
        <v>189.16105399999998</v>
      </c>
      <c r="O60" s="16">
        <v>76.891797000000011</v>
      </c>
      <c r="P60" s="1">
        <v>44.638925621133495</v>
      </c>
      <c r="Q60" s="3">
        <v>0.12</v>
      </c>
      <c r="R60" s="17" t="s">
        <v>36</v>
      </c>
      <c r="S60" s="17">
        <v>42.097999999999999</v>
      </c>
      <c r="T60" s="17">
        <v>13.294</v>
      </c>
      <c r="U60" s="17">
        <v>92.709000000000046</v>
      </c>
      <c r="V60" s="17">
        <v>118.00200000000001</v>
      </c>
      <c r="W60" s="17">
        <v>811.90499999999997</v>
      </c>
      <c r="X60" s="17" t="s">
        <v>36</v>
      </c>
      <c r="Y60" s="17">
        <v>6.47</v>
      </c>
      <c r="Z60" s="17">
        <v>4.17</v>
      </c>
      <c r="AA60" s="17">
        <v>16.303000000000001</v>
      </c>
      <c r="AB60" s="17">
        <v>18.667999999999999</v>
      </c>
      <c r="AC60" s="17">
        <v>90.313000000000002</v>
      </c>
      <c r="AD60" s="1">
        <f t="shared" si="3"/>
        <v>1213.9320000000002</v>
      </c>
    </row>
    <row r="61" spans="1:30" ht="15">
      <c r="A61" s="2">
        <v>55</v>
      </c>
      <c r="B61" s="13" t="s">
        <v>90</v>
      </c>
      <c r="C61" s="1">
        <f t="shared" si="2"/>
        <v>298.01917457513065</v>
      </c>
      <c r="D61" s="16" t="s">
        <v>36</v>
      </c>
      <c r="E61" s="16" t="s">
        <v>36</v>
      </c>
      <c r="F61" s="16">
        <v>159.15082800000002</v>
      </c>
      <c r="G61" s="16">
        <v>34.348723</v>
      </c>
      <c r="H61" s="16">
        <v>36.322855000000004</v>
      </c>
      <c r="I61" s="1">
        <v>68.196768575130605</v>
      </c>
      <c r="J61" s="3">
        <v>0.33</v>
      </c>
      <c r="K61" s="16" t="s">
        <v>36</v>
      </c>
      <c r="L61" s="16" t="s">
        <v>36</v>
      </c>
      <c r="M61" s="16" t="s">
        <v>36</v>
      </c>
      <c r="N61" s="16" t="s">
        <v>36</v>
      </c>
      <c r="O61" s="16" t="s">
        <v>36</v>
      </c>
      <c r="P61" s="1">
        <v>0</v>
      </c>
      <c r="Q61" s="3">
        <v>0.12</v>
      </c>
      <c r="R61" s="17" t="s">
        <v>36</v>
      </c>
      <c r="S61" s="17" t="s">
        <v>36</v>
      </c>
      <c r="T61" s="17">
        <v>50.503999999999998</v>
      </c>
      <c r="U61" s="17">
        <v>40.6</v>
      </c>
      <c r="V61" s="17">
        <v>84.043000000000006</v>
      </c>
      <c r="W61" s="17">
        <v>478.15800000000002</v>
      </c>
      <c r="X61" s="17" t="s">
        <v>36</v>
      </c>
      <c r="Y61" s="17" t="s">
        <v>36</v>
      </c>
      <c r="Z61" s="17" t="s">
        <v>36</v>
      </c>
      <c r="AA61" s="17" t="s">
        <v>36</v>
      </c>
      <c r="AB61" s="17" t="s">
        <v>36</v>
      </c>
      <c r="AC61" s="17" t="s">
        <v>36</v>
      </c>
      <c r="AD61" s="1">
        <f t="shared" si="3"/>
        <v>653.30500000000006</v>
      </c>
    </row>
    <row r="62" spans="1:30" ht="15">
      <c r="A62" s="2">
        <v>56</v>
      </c>
      <c r="B62" s="13" t="s">
        <v>91</v>
      </c>
      <c r="C62" s="1">
        <f t="shared" si="2"/>
        <v>21039.044145270746</v>
      </c>
      <c r="D62" s="16">
        <v>137.02430000000001</v>
      </c>
      <c r="E62" s="16">
        <v>118.64078900000001</v>
      </c>
      <c r="F62" s="16">
        <v>101.45002399999998</v>
      </c>
      <c r="G62" s="16">
        <v>2.7071999999999998</v>
      </c>
      <c r="H62" s="16">
        <v>27.866274000000001</v>
      </c>
      <c r="I62" s="1">
        <v>102.59990933966303</v>
      </c>
      <c r="J62" s="3">
        <v>0.33</v>
      </c>
      <c r="K62" s="16">
        <v>7745.9693400000006</v>
      </c>
      <c r="L62" s="16">
        <v>534.04975000000002</v>
      </c>
      <c r="M62" s="16">
        <v>3673.6660330000004</v>
      </c>
      <c r="N62" s="16">
        <v>3226.4014979999997</v>
      </c>
      <c r="O62" s="16">
        <v>1582.7326039999996</v>
      </c>
      <c r="P62" s="1">
        <v>3785.936423931083</v>
      </c>
      <c r="Q62" s="3">
        <v>0.28000000000000003</v>
      </c>
      <c r="R62" s="17">
        <v>3.2090000000000001</v>
      </c>
      <c r="S62" s="17">
        <v>5.0379999999999994</v>
      </c>
      <c r="T62" s="17">
        <v>7.6080000000000005</v>
      </c>
      <c r="U62" s="17">
        <v>0.42299999999999999</v>
      </c>
      <c r="V62" s="17">
        <v>22.434000000000001</v>
      </c>
      <c r="W62" s="17">
        <v>250.3</v>
      </c>
      <c r="X62" s="17">
        <v>93.621999999999971</v>
      </c>
      <c r="Y62" s="17">
        <v>13.651</v>
      </c>
      <c r="Z62" s="17">
        <v>156.03699999999995</v>
      </c>
      <c r="AA62" s="17">
        <v>239.84300000000016</v>
      </c>
      <c r="AB62" s="17">
        <v>265.03299999999979</v>
      </c>
      <c r="AC62" s="17">
        <v>2264.1629999999991</v>
      </c>
      <c r="AD62" s="1">
        <f t="shared" si="3"/>
        <v>3321.360999999999</v>
      </c>
    </row>
    <row r="63" spans="1:30" ht="15">
      <c r="A63" s="2">
        <v>57</v>
      </c>
      <c r="B63" s="13" t="s">
        <v>92</v>
      </c>
      <c r="C63" s="1">
        <f t="shared" si="2"/>
        <v>940.47108056059187</v>
      </c>
      <c r="D63" s="16" t="s">
        <v>36</v>
      </c>
      <c r="E63" s="16">
        <v>307.09128100000004</v>
      </c>
      <c r="F63" s="16">
        <v>79.401921000000002</v>
      </c>
      <c r="G63" s="16">
        <v>62.056604999999998</v>
      </c>
      <c r="H63" s="16">
        <v>68.112454000000014</v>
      </c>
      <c r="I63" s="1">
        <v>75.215541005311607</v>
      </c>
      <c r="J63" s="3">
        <v>0.33</v>
      </c>
      <c r="K63" s="16" t="s">
        <v>36</v>
      </c>
      <c r="L63" s="16" t="s">
        <v>36</v>
      </c>
      <c r="M63" s="16">
        <v>134.97642800000003</v>
      </c>
      <c r="N63" s="16">
        <v>123.505201</v>
      </c>
      <c r="O63" s="16">
        <v>43.516017999999995</v>
      </c>
      <c r="P63" s="1">
        <v>46.595631555280178</v>
      </c>
      <c r="Q63" s="3">
        <v>0.28000000000000003</v>
      </c>
      <c r="R63" s="17" t="s">
        <v>36</v>
      </c>
      <c r="S63" s="17">
        <v>10.877000000000001</v>
      </c>
      <c r="T63" s="17">
        <v>10.79</v>
      </c>
      <c r="U63" s="17">
        <v>21.442</v>
      </c>
      <c r="V63" s="17">
        <v>57.892000000000017</v>
      </c>
      <c r="W63" s="17">
        <v>193.72499999999999</v>
      </c>
      <c r="X63" s="17" t="s">
        <v>36</v>
      </c>
      <c r="Y63" s="17" t="s">
        <v>36</v>
      </c>
      <c r="Z63" s="17">
        <v>5.6710000000000003</v>
      </c>
      <c r="AA63" s="17">
        <v>10.565</v>
      </c>
      <c r="AB63" s="17">
        <v>14.526</v>
      </c>
      <c r="AC63" s="17">
        <v>55.55</v>
      </c>
      <c r="AD63" s="1">
        <f t="shared" si="3"/>
        <v>381.03800000000001</v>
      </c>
    </row>
    <row r="64" spans="1:30" ht="15">
      <c r="A64" s="2">
        <v>58</v>
      </c>
      <c r="B64" s="13" t="s">
        <v>93</v>
      </c>
      <c r="C64" s="1">
        <f t="shared" si="2"/>
        <v>669.32380709429697</v>
      </c>
      <c r="D64" s="16" t="s">
        <v>36</v>
      </c>
      <c r="E64" s="16">
        <v>229.15776199999999</v>
      </c>
      <c r="F64" s="16">
        <v>19.682079999999999</v>
      </c>
      <c r="G64" s="16">
        <v>231.074129</v>
      </c>
      <c r="H64" s="16">
        <v>86.97291899999999</v>
      </c>
      <c r="I64" s="1">
        <v>102.43691709429693</v>
      </c>
      <c r="J64" s="3">
        <v>0.33</v>
      </c>
      <c r="K64" s="16" t="s">
        <v>36</v>
      </c>
      <c r="L64" s="16" t="s">
        <v>36</v>
      </c>
      <c r="M64" s="16" t="s">
        <v>36</v>
      </c>
      <c r="N64" s="16" t="s">
        <v>36</v>
      </c>
      <c r="O64" s="16" t="s">
        <v>36</v>
      </c>
      <c r="P64" s="1">
        <v>0</v>
      </c>
      <c r="Q64" s="3">
        <v>0.12</v>
      </c>
      <c r="R64" s="17" t="s">
        <v>36</v>
      </c>
      <c r="S64" s="17">
        <v>24.847000000000001</v>
      </c>
      <c r="T64" s="17">
        <v>4.6420000000000003</v>
      </c>
      <c r="U64" s="17">
        <v>56.662999999999982</v>
      </c>
      <c r="V64" s="17">
        <v>88.40300000000002</v>
      </c>
      <c r="W64" s="17">
        <v>315.51900000000018</v>
      </c>
      <c r="X64" s="17" t="s">
        <v>36</v>
      </c>
      <c r="Y64" s="17" t="s">
        <v>36</v>
      </c>
      <c r="Z64" s="17" t="s">
        <v>36</v>
      </c>
      <c r="AA64" s="17" t="s">
        <v>36</v>
      </c>
      <c r="AB64" s="17" t="s">
        <v>36</v>
      </c>
      <c r="AC64" s="17" t="s">
        <v>36</v>
      </c>
      <c r="AD64" s="1">
        <f t="shared" si="3"/>
        <v>490.07400000000018</v>
      </c>
    </row>
    <row r="65" spans="1:30" ht="15">
      <c r="A65" s="2">
        <v>59</v>
      </c>
      <c r="B65" s="13" t="s">
        <v>94</v>
      </c>
      <c r="C65" s="1">
        <f t="shared" si="2"/>
        <v>4266.5018239875126</v>
      </c>
      <c r="D65" s="16">
        <v>141.64959999999999</v>
      </c>
      <c r="E65" s="16" t="s">
        <v>36</v>
      </c>
      <c r="F65" s="16" t="s">
        <v>36</v>
      </c>
      <c r="G65" s="16">
        <v>109.40986699999999</v>
      </c>
      <c r="H65" s="16">
        <v>16.226807999999998</v>
      </c>
      <c r="I65" s="1">
        <v>20.028290530695653</v>
      </c>
      <c r="J65" s="3">
        <v>0.33</v>
      </c>
      <c r="K65" s="16">
        <v>1937.65074</v>
      </c>
      <c r="L65" s="16" t="s">
        <v>36</v>
      </c>
      <c r="M65" s="16">
        <v>139.75631200000001</v>
      </c>
      <c r="N65" s="16">
        <v>786.4469180000001</v>
      </c>
      <c r="O65" s="16">
        <v>328.97183399999983</v>
      </c>
      <c r="P65" s="1">
        <v>786.36145445681711</v>
      </c>
      <c r="Q65" s="3">
        <v>0.28000000000000003</v>
      </c>
      <c r="R65" s="17">
        <v>3.1760000000000002</v>
      </c>
      <c r="S65" s="17" t="s">
        <v>36</v>
      </c>
      <c r="T65" s="17" t="s">
        <v>36</v>
      </c>
      <c r="U65" s="17">
        <v>37.073000000000008</v>
      </c>
      <c r="V65" s="17">
        <v>28.52</v>
      </c>
      <c r="W65" s="17">
        <v>106.67099999999999</v>
      </c>
      <c r="X65" s="17">
        <v>16.248000000000001</v>
      </c>
      <c r="Y65" s="17" t="s">
        <v>36</v>
      </c>
      <c r="Z65" s="17">
        <v>12.258999999999999</v>
      </c>
      <c r="AA65" s="17">
        <v>68.128000000000014</v>
      </c>
      <c r="AB65" s="17">
        <v>66.114999999999995</v>
      </c>
      <c r="AC65" s="17">
        <v>564.42399999999998</v>
      </c>
      <c r="AD65" s="1">
        <f t="shared" si="3"/>
        <v>902.61400000000003</v>
      </c>
    </row>
    <row r="66" spans="1:30" ht="15">
      <c r="A66" s="2">
        <v>60</v>
      </c>
      <c r="B66" s="13" t="s">
        <v>95</v>
      </c>
      <c r="C66" s="1">
        <f t="shared" si="2"/>
        <v>504.4607951035826</v>
      </c>
      <c r="D66" s="16" t="s">
        <v>36</v>
      </c>
      <c r="E66" s="16">
        <v>181.22800300000003</v>
      </c>
      <c r="F66" s="16" t="s">
        <v>36</v>
      </c>
      <c r="G66" s="16">
        <v>167.96252799999999</v>
      </c>
      <c r="H66" s="16">
        <v>88.854263000000017</v>
      </c>
      <c r="I66" s="1">
        <v>66.416001103582587</v>
      </c>
      <c r="J66" s="3">
        <v>0.33</v>
      </c>
      <c r="K66" s="16" t="s">
        <v>36</v>
      </c>
      <c r="L66" s="16" t="s">
        <v>36</v>
      </c>
      <c r="M66" s="16" t="s">
        <v>36</v>
      </c>
      <c r="N66" s="16" t="s">
        <v>36</v>
      </c>
      <c r="O66" s="16" t="s">
        <v>36</v>
      </c>
      <c r="P66" s="1">
        <v>0</v>
      </c>
      <c r="Q66" s="3">
        <v>0.12</v>
      </c>
      <c r="R66" s="17" t="s">
        <v>36</v>
      </c>
      <c r="S66" s="17">
        <v>29.473000000000003</v>
      </c>
      <c r="T66" s="17" t="s">
        <v>36</v>
      </c>
      <c r="U66" s="17">
        <v>67.792999999999992</v>
      </c>
      <c r="V66" s="17">
        <v>100.63599999999995</v>
      </c>
      <c r="W66" s="17">
        <v>227.94700000000006</v>
      </c>
      <c r="X66" s="17" t="s">
        <v>36</v>
      </c>
      <c r="Y66" s="17" t="s">
        <v>36</v>
      </c>
      <c r="Z66" s="17" t="s">
        <v>36</v>
      </c>
      <c r="AA66" s="17" t="s">
        <v>36</v>
      </c>
      <c r="AB66" s="17" t="s">
        <v>36</v>
      </c>
      <c r="AC66" s="17" t="s">
        <v>36</v>
      </c>
      <c r="AD66" s="1">
        <f t="shared" si="3"/>
        <v>425.84899999999999</v>
      </c>
    </row>
    <row r="67" spans="1:30" ht="15">
      <c r="A67" s="2">
        <v>61</v>
      </c>
      <c r="B67" s="13" t="s">
        <v>96</v>
      </c>
      <c r="C67" s="1">
        <f t="shared" si="2"/>
        <v>849.83960658659532</v>
      </c>
      <c r="D67" s="16" t="s">
        <v>36</v>
      </c>
      <c r="E67" s="16">
        <v>424.03054400000008</v>
      </c>
      <c r="F67" s="16" t="s">
        <v>36</v>
      </c>
      <c r="G67" s="16">
        <v>121.156362</v>
      </c>
      <c r="H67" s="16">
        <v>92.760293999999973</v>
      </c>
      <c r="I67" s="1">
        <v>143.85898169078362</v>
      </c>
      <c r="J67" s="3">
        <v>0.33</v>
      </c>
      <c r="K67" s="16" t="s">
        <v>36</v>
      </c>
      <c r="L67" s="16" t="s">
        <v>36</v>
      </c>
      <c r="M67" s="16">
        <v>25.495390999999994</v>
      </c>
      <c r="N67" s="16">
        <v>25.460291000000002</v>
      </c>
      <c r="O67" s="16">
        <v>11.306117000000002</v>
      </c>
      <c r="P67" s="1">
        <v>5.7716258958116891</v>
      </c>
      <c r="Q67" s="3">
        <v>0.12</v>
      </c>
      <c r="R67" s="17" t="s">
        <v>36</v>
      </c>
      <c r="S67" s="17">
        <v>29.234000000000002</v>
      </c>
      <c r="T67" s="17" t="s">
        <v>36</v>
      </c>
      <c r="U67" s="17">
        <v>63.973999999999997</v>
      </c>
      <c r="V67" s="17">
        <v>91.325000000000003</v>
      </c>
      <c r="W67" s="17">
        <v>429.19099999999997</v>
      </c>
      <c r="X67" s="17" t="s">
        <v>36</v>
      </c>
      <c r="Y67" s="17" t="s">
        <v>36</v>
      </c>
      <c r="Z67" s="17">
        <v>1.0209999999999999</v>
      </c>
      <c r="AA67" s="17">
        <v>2.9950000000000001</v>
      </c>
      <c r="AB67" s="17">
        <v>6.16</v>
      </c>
      <c r="AC67" s="17">
        <v>26.204999999999998</v>
      </c>
      <c r="AD67" s="1">
        <f t="shared" si="3"/>
        <v>650.1049999999999</v>
      </c>
    </row>
    <row r="68" spans="1:30" ht="15">
      <c r="A68" s="2">
        <v>62</v>
      </c>
      <c r="B68" s="13" t="s">
        <v>97</v>
      </c>
      <c r="C68" s="1">
        <f t="shared" si="2"/>
        <v>499.63440712249087</v>
      </c>
      <c r="D68" s="16">
        <v>137.90761599999999</v>
      </c>
      <c r="E68" s="16" t="s">
        <v>36</v>
      </c>
      <c r="F68" s="16">
        <v>143.04756199999997</v>
      </c>
      <c r="G68" s="16">
        <v>108.42337400000001</v>
      </c>
      <c r="H68" s="16">
        <v>49.773144000000009</v>
      </c>
      <c r="I68" s="1">
        <v>60.482711122490933</v>
      </c>
      <c r="J68" s="3">
        <v>0.33</v>
      </c>
      <c r="K68" s="16" t="s">
        <v>36</v>
      </c>
      <c r="L68" s="16" t="s">
        <v>36</v>
      </c>
      <c r="M68" s="16" t="s">
        <v>36</v>
      </c>
      <c r="N68" s="16" t="s">
        <v>36</v>
      </c>
      <c r="O68" s="16" t="s">
        <v>36</v>
      </c>
      <c r="P68" s="1">
        <v>0</v>
      </c>
      <c r="Q68" s="3">
        <v>0.12</v>
      </c>
      <c r="R68" s="17">
        <v>4.0389999999999997</v>
      </c>
      <c r="S68" s="17" t="s">
        <v>36</v>
      </c>
      <c r="T68" s="17">
        <v>27.327999999999999</v>
      </c>
      <c r="U68" s="17">
        <v>46.137</v>
      </c>
      <c r="V68" s="17">
        <v>76.887</v>
      </c>
      <c r="W68" s="17">
        <v>283.12299999999999</v>
      </c>
      <c r="X68" s="17" t="s">
        <v>36</v>
      </c>
      <c r="Y68" s="17" t="s">
        <v>36</v>
      </c>
      <c r="Z68" s="17" t="s">
        <v>36</v>
      </c>
      <c r="AA68" s="17" t="s">
        <v>36</v>
      </c>
      <c r="AB68" s="17" t="s">
        <v>36</v>
      </c>
      <c r="AC68" s="17" t="s">
        <v>36</v>
      </c>
      <c r="AD68" s="1">
        <f t="shared" si="3"/>
        <v>437.51400000000001</v>
      </c>
    </row>
    <row r="69" spans="1:30" ht="15">
      <c r="A69" s="2">
        <v>63</v>
      </c>
      <c r="B69" s="13" t="s">
        <v>98</v>
      </c>
      <c r="C69" s="1">
        <f t="shared" ref="C69:C100" si="4">SUM(D69:I69)+SUM(K69:P69)</f>
        <v>2003.2091076557772</v>
      </c>
      <c r="D69" s="16">
        <v>665.05786799999998</v>
      </c>
      <c r="E69" s="16">
        <v>136.05096700000001</v>
      </c>
      <c r="F69" s="16">
        <v>62.979911999999999</v>
      </c>
      <c r="G69" s="16">
        <v>378.39804100000003</v>
      </c>
      <c r="H69" s="16">
        <v>74.287437999999995</v>
      </c>
      <c r="I69" s="1">
        <v>217.69988636639596</v>
      </c>
      <c r="J69" s="3">
        <v>0.33</v>
      </c>
      <c r="K69" s="16">
        <v>129.18509999999998</v>
      </c>
      <c r="L69" s="16" t="s">
        <v>36</v>
      </c>
      <c r="M69" s="16">
        <v>193.96212000000003</v>
      </c>
      <c r="N69" s="16">
        <v>112.410301</v>
      </c>
      <c r="O69" s="16">
        <v>18.257300000000004</v>
      </c>
      <c r="P69" s="1">
        <v>14.920174289380977</v>
      </c>
      <c r="Q69" s="3">
        <v>0.12</v>
      </c>
      <c r="R69" s="17">
        <v>19.265999999999998</v>
      </c>
      <c r="S69" s="17">
        <v>16.486999999999998</v>
      </c>
      <c r="T69" s="17">
        <v>11.855</v>
      </c>
      <c r="U69" s="17">
        <v>101.724</v>
      </c>
      <c r="V69" s="17">
        <v>93.043999999999997</v>
      </c>
      <c r="W69" s="17">
        <v>826.26100000000008</v>
      </c>
      <c r="X69" s="17">
        <v>3.5579999999999998</v>
      </c>
      <c r="Y69" s="17" t="s">
        <v>36</v>
      </c>
      <c r="Z69" s="17">
        <v>11.064000000000002</v>
      </c>
      <c r="AA69" s="17">
        <v>10.811999999999998</v>
      </c>
      <c r="AB69" s="17">
        <v>7.9479999999999995</v>
      </c>
      <c r="AC69" s="17">
        <v>54.126999999999995</v>
      </c>
      <c r="AD69" s="1">
        <f t="shared" si="3"/>
        <v>1156.1460000000002</v>
      </c>
    </row>
    <row r="70" spans="1:30" ht="15">
      <c r="A70" s="2">
        <v>64</v>
      </c>
      <c r="B70" s="13" t="s">
        <v>99</v>
      </c>
      <c r="C70" s="1">
        <f t="shared" si="4"/>
        <v>608.31188973278677</v>
      </c>
      <c r="D70" s="16" t="s">
        <v>36</v>
      </c>
      <c r="E70" s="16">
        <v>309.94072900000003</v>
      </c>
      <c r="F70" s="16" t="s">
        <v>36</v>
      </c>
      <c r="G70" s="16">
        <v>131.18284699999998</v>
      </c>
      <c r="H70" s="16">
        <v>58.601447999999998</v>
      </c>
      <c r="I70" s="1">
        <v>108.58686573278675</v>
      </c>
      <c r="J70" s="3">
        <v>0.33</v>
      </c>
      <c r="K70" s="16" t="s">
        <v>36</v>
      </c>
      <c r="L70" s="16" t="s">
        <v>36</v>
      </c>
      <c r="M70" s="16" t="s">
        <v>36</v>
      </c>
      <c r="N70" s="16" t="s">
        <v>36</v>
      </c>
      <c r="O70" s="16" t="s">
        <v>36</v>
      </c>
      <c r="P70" s="1">
        <v>0</v>
      </c>
      <c r="Q70" s="3">
        <v>0.12</v>
      </c>
      <c r="R70" s="17" t="s">
        <v>36</v>
      </c>
      <c r="S70" s="17">
        <v>34.152000000000001</v>
      </c>
      <c r="T70" s="17" t="s">
        <v>36</v>
      </c>
      <c r="U70" s="17">
        <v>96.076000000000008</v>
      </c>
      <c r="V70" s="17">
        <v>64.601000000000013</v>
      </c>
      <c r="W70" s="17">
        <v>362.73899999999992</v>
      </c>
      <c r="X70" s="17" t="s">
        <v>36</v>
      </c>
      <c r="Y70" s="17" t="s">
        <v>36</v>
      </c>
      <c r="Z70" s="17" t="s">
        <v>36</v>
      </c>
      <c r="AA70" s="17" t="s">
        <v>36</v>
      </c>
      <c r="AB70" s="17" t="s">
        <v>36</v>
      </c>
      <c r="AC70" s="17" t="s">
        <v>36</v>
      </c>
      <c r="AD70" s="1">
        <f t="shared" si="3"/>
        <v>557.56799999999998</v>
      </c>
    </row>
    <row r="71" spans="1:30" ht="15">
      <c r="A71" s="2">
        <v>65</v>
      </c>
      <c r="B71" s="13" t="s">
        <v>100</v>
      </c>
      <c r="C71" s="1">
        <f t="shared" si="4"/>
        <v>184.96533234198031</v>
      </c>
      <c r="D71" s="16" t="s">
        <v>36</v>
      </c>
      <c r="E71" s="16" t="s">
        <v>36</v>
      </c>
      <c r="F71" s="16">
        <v>57.146383999999998</v>
      </c>
      <c r="G71" s="16">
        <v>54.736711</v>
      </c>
      <c r="H71" s="16">
        <v>26.635656999999995</v>
      </c>
      <c r="I71" s="1">
        <v>46.446580341980315</v>
      </c>
      <c r="J71" s="3">
        <v>0.33</v>
      </c>
      <c r="K71" s="16" t="s">
        <v>36</v>
      </c>
      <c r="L71" s="16" t="s">
        <v>36</v>
      </c>
      <c r="M71" s="16" t="s">
        <v>36</v>
      </c>
      <c r="N71" s="16" t="s">
        <v>36</v>
      </c>
      <c r="O71" s="16" t="s">
        <v>36</v>
      </c>
      <c r="P71" s="1">
        <v>0</v>
      </c>
      <c r="Q71" s="3">
        <v>0.12</v>
      </c>
      <c r="R71" s="17" t="s">
        <v>36</v>
      </c>
      <c r="S71" s="17" t="s">
        <v>36</v>
      </c>
      <c r="T71" s="17">
        <v>14.845000000000001</v>
      </c>
      <c r="U71" s="17">
        <v>39.338000000000001</v>
      </c>
      <c r="V71" s="17">
        <v>55.33400000000001</v>
      </c>
      <c r="W71" s="17">
        <v>292.39399999999995</v>
      </c>
      <c r="X71" s="17" t="s">
        <v>36</v>
      </c>
      <c r="Y71" s="17" t="s">
        <v>36</v>
      </c>
      <c r="Z71" s="17" t="s">
        <v>36</v>
      </c>
      <c r="AA71" s="17" t="s">
        <v>36</v>
      </c>
      <c r="AB71" s="17" t="s">
        <v>36</v>
      </c>
      <c r="AC71" s="17" t="s">
        <v>36</v>
      </c>
      <c r="AD71" s="1">
        <f t="shared" ref="AD71:AD102" si="5">SUM(R71:AC71)</f>
        <v>401.91099999999994</v>
      </c>
    </row>
    <row r="72" spans="1:30" ht="15">
      <c r="A72" s="2">
        <v>66</v>
      </c>
      <c r="B72" s="13" t="s">
        <v>101</v>
      </c>
      <c r="C72" s="1">
        <f t="shared" si="4"/>
        <v>430.75891321440969</v>
      </c>
      <c r="D72" s="16" t="s">
        <v>36</v>
      </c>
      <c r="E72" s="16">
        <v>92.588148000000004</v>
      </c>
      <c r="F72" s="16">
        <v>90.868814999999998</v>
      </c>
      <c r="G72" s="16">
        <v>84.163164999999992</v>
      </c>
      <c r="H72" s="16">
        <v>62.682799999999993</v>
      </c>
      <c r="I72" s="1">
        <v>100.45598521440967</v>
      </c>
      <c r="J72" s="3">
        <v>0.33</v>
      </c>
      <c r="K72" s="16" t="s">
        <v>36</v>
      </c>
      <c r="L72" s="16" t="s">
        <v>36</v>
      </c>
      <c r="M72" s="16" t="s">
        <v>36</v>
      </c>
      <c r="N72" s="16" t="s">
        <v>36</v>
      </c>
      <c r="O72" s="16" t="s">
        <v>36</v>
      </c>
      <c r="P72" s="1">
        <v>0</v>
      </c>
      <c r="Q72" s="3">
        <v>0.12</v>
      </c>
      <c r="R72" s="17" t="s">
        <v>36</v>
      </c>
      <c r="S72" s="17">
        <v>15.097000000000001</v>
      </c>
      <c r="T72" s="17">
        <v>26.137</v>
      </c>
      <c r="U72" s="17">
        <v>43.134999999999998</v>
      </c>
      <c r="V72" s="17">
        <v>72.034999999999997</v>
      </c>
      <c r="W72" s="17">
        <v>349.83</v>
      </c>
      <c r="X72" s="17" t="s">
        <v>36</v>
      </c>
      <c r="Y72" s="17" t="s">
        <v>36</v>
      </c>
      <c r="Z72" s="17" t="s">
        <v>36</v>
      </c>
      <c r="AA72" s="17" t="s">
        <v>36</v>
      </c>
      <c r="AB72" s="17" t="s">
        <v>36</v>
      </c>
      <c r="AC72" s="17" t="s">
        <v>36</v>
      </c>
      <c r="AD72" s="1">
        <f t="shared" si="5"/>
        <v>506.23399999999998</v>
      </c>
    </row>
    <row r="73" spans="1:30" ht="15">
      <c r="A73" s="2">
        <v>67</v>
      </c>
      <c r="B73" s="13" t="s">
        <v>102</v>
      </c>
      <c r="C73" s="1">
        <f t="shared" si="4"/>
        <v>744.85855235731879</v>
      </c>
      <c r="D73" s="16" t="s">
        <v>36</v>
      </c>
      <c r="E73" s="16">
        <v>302.21635100000003</v>
      </c>
      <c r="F73" s="16" t="s">
        <v>36</v>
      </c>
      <c r="G73" s="16">
        <v>216.29870500000004</v>
      </c>
      <c r="H73" s="16">
        <v>88.155636999999999</v>
      </c>
      <c r="I73" s="1">
        <v>138.18785935731873</v>
      </c>
      <c r="J73" s="3">
        <v>0.33</v>
      </c>
      <c r="K73" s="16" t="s">
        <v>36</v>
      </c>
      <c r="L73" s="16" t="s">
        <v>36</v>
      </c>
      <c r="M73" s="16" t="s">
        <v>36</v>
      </c>
      <c r="N73" s="16" t="s">
        <v>36</v>
      </c>
      <c r="O73" s="16" t="s">
        <v>36</v>
      </c>
      <c r="P73" s="1">
        <v>0</v>
      </c>
      <c r="Q73" s="3">
        <v>0.12</v>
      </c>
      <c r="R73" s="17" t="s">
        <v>36</v>
      </c>
      <c r="S73" s="17">
        <v>47.148999999999994</v>
      </c>
      <c r="T73" s="17" t="s">
        <v>36</v>
      </c>
      <c r="U73" s="17">
        <v>96.072000000000031</v>
      </c>
      <c r="V73" s="17">
        <v>72.758999999999986</v>
      </c>
      <c r="W73" s="17">
        <v>345.61500000000001</v>
      </c>
      <c r="X73" s="17" t="s">
        <v>36</v>
      </c>
      <c r="Y73" s="17" t="s">
        <v>36</v>
      </c>
      <c r="Z73" s="17" t="s">
        <v>36</v>
      </c>
      <c r="AA73" s="17" t="s">
        <v>36</v>
      </c>
      <c r="AB73" s="17" t="s">
        <v>36</v>
      </c>
      <c r="AC73" s="17" t="s">
        <v>36</v>
      </c>
      <c r="AD73" s="1">
        <f t="shared" si="5"/>
        <v>561.59500000000003</v>
      </c>
    </row>
    <row r="74" spans="1:30" ht="15">
      <c r="A74" s="2">
        <v>68</v>
      </c>
      <c r="B74" s="13" t="s">
        <v>103</v>
      </c>
      <c r="C74" s="1">
        <f t="shared" si="4"/>
        <v>414.40919652762358</v>
      </c>
      <c r="D74" s="16" t="s">
        <v>36</v>
      </c>
      <c r="E74" s="16">
        <v>219.56507099999996</v>
      </c>
      <c r="F74" s="16" t="s">
        <v>36</v>
      </c>
      <c r="G74" s="16">
        <v>87.59990599999999</v>
      </c>
      <c r="H74" s="16">
        <v>41.803893000000002</v>
      </c>
      <c r="I74" s="1">
        <v>65.440326527623611</v>
      </c>
      <c r="J74" s="3">
        <v>0.33</v>
      </c>
      <c r="K74" s="16" t="s">
        <v>36</v>
      </c>
      <c r="L74" s="16" t="s">
        <v>36</v>
      </c>
      <c r="M74" s="16" t="s">
        <v>36</v>
      </c>
      <c r="N74" s="16" t="s">
        <v>36</v>
      </c>
      <c r="O74" s="16" t="s">
        <v>36</v>
      </c>
      <c r="P74" s="1">
        <v>0</v>
      </c>
      <c r="Q74" s="3">
        <v>0.12</v>
      </c>
      <c r="R74" s="17" t="s">
        <v>36</v>
      </c>
      <c r="S74" s="17">
        <v>52.726000000000006</v>
      </c>
      <c r="T74" s="17" t="s">
        <v>36</v>
      </c>
      <c r="U74" s="17">
        <v>67.245999999999995</v>
      </c>
      <c r="V74" s="17">
        <v>83.26100000000001</v>
      </c>
      <c r="W74" s="17">
        <v>394.96299999999997</v>
      </c>
      <c r="X74" s="17" t="s">
        <v>36</v>
      </c>
      <c r="Y74" s="17" t="s">
        <v>36</v>
      </c>
      <c r="Z74" s="17" t="s">
        <v>36</v>
      </c>
      <c r="AA74" s="17" t="s">
        <v>36</v>
      </c>
      <c r="AB74" s="17" t="s">
        <v>36</v>
      </c>
      <c r="AC74" s="17" t="s">
        <v>36</v>
      </c>
      <c r="AD74" s="1">
        <f t="shared" si="5"/>
        <v>598.19599999999991</v>
      </c>
    </row>
    <row r="75" spans="1:30" ht="15">
      <c r="A75" s="2">
        <v>69</v>
      </c>
      <c r="B75" s="13" t="s">
        <v>104</v>
      </c>
      <c r="C75" s="1">
        <f t="shared" si="4"/>
        <v>669.97264054558912</v>
      </c>
      <c r="D75" s="16" t="s">
        <v>36</v>
      </c>
      <c r="E75" s="16">
        <v>363.08882499999999</v>
      </c>
      <c r="F75" s="16">
        <v>47.174438000000002</v>
      </c>
      <c r="G75" s="16">
        <v>81.083801000000008</v>
      </c>
      <c r="H75" s="16">
        <v>72.846271999999999</v>
      </c>
      <c r="I75" s="1">
        <v>105.77930454558904</v>
      </c>
      <c r="J75" s="3">
        <v>0.33</v>
      </c>
      <c r="K75" s="16" t="s">
        <v>36</v>
      </c>
      <c r="L75" s="16" t="s">
        <v>36</v>
      </c>
      <c r="M75" s="16" t="s">
        <v>36</v>
      </c>
      <c r="N75" s="16" t="s">
        <v>36</v>
      </c>
      <c r="O75" s="16" t="s">
        <v>36</v>
      </c>
      <c r="P75" s="1">
        <v>0</v>
      </c>
      <c r="Q75" s="3">
        <v>0.12</v>
      </c>
      <c r="R75" s="17" t="s">
        <v>36</v>
      </c>
      <c r="S75" s="17">
        <v>38.296000000000006</v>
      </c>
      <c r="T75" s="17">
        <v>13.362000000000002</v>
      </c>
      <c r="U75" s="17">
        <v>57.52</v>
      </c>
      <c r="V75" s="17">
        <v>87.783000000000015</v>
      </c>
      <c r="W75" s="17">
        <v>386.26900000000012</v>
      </c>
      <c r="X75" s="17" t="s">
        <v>36</v>
      </c>
      <c r="Y75" s="17" t="s">
        <v>36</v>
      </c>
      <c r="Z75" s="17" t="s">
        <v>36</v>
      </c>
      <c r="AA75" s="17" t="s">
        <v>36</v>
      </c>
      <c r="AB75" s="17" t="s">
        <v>36</v>
      </c>
      <c r="AC75" s="17" t="s">
        <v>36</v>
      </c>
      <c r="AD75" s="1">
        <f t="shared" si="5"/>
        <v>583.23000000000013</v>
      </c>
    </row>
    <row r="76" spans="1:30" ht="15">
      <c r="A76" s="2">
        <v>70</v>
      </c>
      <c r="B76" s="13" t="s">
        <v>105</v>
      </c>
      <c r="C76" s="1">
        <f t="shared" si="4"/>
        <v>384.61559874431885</v>
      </c>
      <c r="D76" s="16">
        <v>114.65122399999998</v>
      </c>
      <c r="E76" s="16" t="s">
        <v>36</v>
      </c>
      <c r="F76" s="16">
        <v>141.254931</v>
      </c>
      <c r="G76" s="16">
        <v>47.335383999999998</v>
      </c>
      <c r="H76" s="16">
        <v>36.156594000000005</v>
      </c>
      <c r="I76" s="1">
        <v>45.217465744318886</v>
      </c>
      <c r="J76" s="3">
        <v>0.33</v>
      </c>
      <c r="K76" s="16" t="s">
        <v>36</v>
      </c>
      <c r="L76" s="16" t="s">
        <v>36</v>
      </c>
      <c r="M76" s="16" t="s">
        <v>36</v>
      </c>
      <c r="N76" s="16" t="s">
        <v>36</v>
      </c>
      <c r="O76" s="16" t="s">
        <v>36</v>
      </c>
      <c r="P76" s="1">
        <v>0</v>
      </c>
      <c r="Q76" s="3">
        <v>0.12</v>
      </c>
      <c r="R76" s="17">
        <v>4.5279999999999996</v>
      </c>
      <c r="S76" s="17" t="s">
        <v>36</v>
      </c>
      <c r="T76" s="17">
        <v>31.912999999999997</v>
      </c>
      <c r="U76" s="17">
        <v>34.475999999999992</v>
      </c>
      <c r="V76" s="17">
        <v>87.897999999999996</v>
      </c>
      <c r="W76" s="17">
        <v>333.10700000000003</v>
      </c>
      <c r="X76" s="17" t="s">
        <v>36</v>
      </c>
      <c r="Y76" s="17" t="s">
        <v>36</v>
      </c>
      <c r="Z76" s="17" t="s">
        <v>36</v>
      </c>
      <c r="AA76" s="17" t="s">
        <v>36</v>
      </c>
      <c r="AB76" s="17" t="s">
        <v>36</v>
      </c>
      <c r="AC76" s="17" t="s">
        <v>36</v>
      </c>
      <c r="AD76" s="1">
        <f t="shared" si="5"/>
        <v>491.92200000000003</v>
      </c>
    </row>
    <row r="77" spans="1:30" ht="15">
      <c r="A77" s="2">
        <v>71</v>
      </c>
      <c r="B77" s="13" t="s">
        <v>106</v>
      </c>
      <c r="C77" s="1">
        <f t="shared" si="4"/>
        <v>818.67548522306322</v>
      </c>
      <c r="D77" s="16" t="s">
        <v>36</v>
      </c>
      <c r="E77" s="16">
        <v>172.26631899999998</v>
      </c>
      <c r="F77" s="16">
        <v>172.87032000000002</v>
      </c>
      <c r="G77" s="16">
        <v>63.888709999999996</v>
      </c>
      <c r="H77" s="16">
        <v>82.098659999999995</v>
      </c>
      <c r="I77" s="1">
        <v>111.83844625370612</v>
      </c>
      <c r="J77" s="3">
        <v>0.33</v>
      </c>
      <c r="K77" s="16" t="s">
        <v>36</v>
      </c>
      <c r="L77" s="16" t="s">
        <v>36</v>
      </c>
      <c r="M77" s="16">
        <v>113.64533700000004</v>
      </c>
      <c r="N77" s="16">
        <v>68.832075000000003</v>
      </c>
      <c r="O77" s="16">
        <v>19.637910000000002</v>
      </c>
      <c r="P77" s="1">
        <v>13.597707969357046</v>
      </c>
      <c r="Q77" s="3">
        <v>0.12</v>
      </c>
      <c r="R77" s="17" t="s">
        <v>36</v>
      </c>
      <c r="S77" s="17">
        <v>25.527999999999999</v>
      </c>
      <c r="T77" s="17">
        <v>37.608999999999995</v>
      </c>
      <c r="U77" s="17">
        <v>54.34</v>
      </c>
      <c r="V77" s="17">
        <v>141.48500000000001</v>
      </c>
      <c r="W77" s="17">
        <v>584.05200000000048</v>
      </c>
      <c r="X77" s="17" t="s">
        <v>36</v>
      </c>
      <c r="Y77" s="17" t="s">
        <v>36</v>
      </c>
      <c r="Z77" s="17">
        <v>10.220999999999998</v>
      </c>
      <c r="AA77" s="17">
        <v>10.196</v>
      </c>
      <c r="AB77" s="17">
        <v>7.31</v>
      </c>
      <c r="AC77" s="17">
        <v>42.18</v>
      </c>
      <c r="AD77" s="1">
        <f t="shared" si="5"/>
        <v>912.92100000000039</v>
      </c>
    </row>
    <row r="78" spans="1:30" ht="15">
      <c r="A78" s="2">
        <v>72</v>
      </c>
      <c r="B78" s="13" t="s">
        <v>107</v>
      </c>
      <c r="C78" s="1">
        <f t="shared" si="4"/>
        <v>713.73690894085473</v>
      </c>
      <c r="D78" s="16">
        <v>388.96676199999996</v>
      </c>
      <c r="E78" s="16">
        <v>55.227645000000003</v>
      </c>
      <c r="F78" s="16">
        <v>87.114849000000007</v>
      </c>
      <c r="G78" s="16">
        <v>68.440687999999994</v>
      </c>
      <c r="H78" s="16">
        <v>31.752167999999998</v>
      </c>
      <c r="I78" s="1">
        <v>82.23479694085475</v>
      </c>
      <c r="J78" s="3">
        <v>0.33</v>
      </c>
      <c r="K78" s="16" t="s">
        <v>36</v>
      </c>
      <c r="L78" s="16" t="s">
        <v>36</v>
      </c>
      <c r="M78" s="16" t="s">
        <v>36</v>
      </c>
      <c r="N78" s="16" t="s">
        <v>36</v>
      </c>
      <c r="O78" s="16" t="s">
        <v>36</v>
      </c>
      <c r="P78" s="1">
        <v>0</v>
      </c>
      <c r="Q78" s="3">
        <v>0.12</v>
      </c>
      <c r="R78" s="17">
        <v>20.962</v>
      </c>
      <c r="S78" s="17">
        <v>5.61</v>
      </c>
      <c r="T78" s="17">
        <v>16.18</v>
      </c>
      <c r="U78" s="17">
        <v>41.785999999999994</v>
      </c>
      <c r="V78" s="17">
        <v>57.702000000000005</v>
      </c>
      <c r="W78" s="17">
        <v>452.85500000000002</v>
      </c>
      <c r="X78" s="17" t="s">
        <v>36</v>
      </c>
      <c r="Y78" s="17" t="s">
        <v>36</v>
      </c>
      <c r="Z78" s="17" t="s">
        <v>36</v>
      </c>
      <c r="AA78" s="17" t="s">
        <v>36</v>
      </c>
      <c r="AB78" s="17" t="s">
        <v>36</v>
      </c>
      <c r="AC78" s="17" t="s">
        <v>36</v>
      </c>
      <c r="AD78" s="1">
        <f t="shared" si="5"/>
        <v>595.09500000000003</v>
      </c>
    </row>
    <row r="79" spans="1:30" ht="15">
      <c r="A79" s="2">
        <v>73</v>
      </c>
      <c r="B79" s="13" t="s">
        <v>108</v>
      </c>
      <c r="C79" s="1">
        <f t="shared" si="4"/>
        <v>2057.8248108644402</v>
      </c>
      <c r="D79" s="16">
        <v>193.15059999999997</v>
      </c>
      <c r="E79" s="16">
        <v>202.61402199999998</v>
      </c>
      <c r="F79" s="16" t="s">
        <v>36</v>
      </c>
      <c r="G79" s="16">
        <v>157.621589</v>
      </c>
      <c r="H79" s="16">
        <v>61.377309000000004</v>
      </c>
      <c r="I79" s="1">
        <v>62.406445336332986</v>
      </c>
      <c r="J79" s="3">
        <v>0.33</v>
      </c>
      <c r="K79" s="16">
        <v>352.83255300000002</v>
      </c>
      <c r="L79" s="16" t="s">
        <v>36</v>
      </c>
      <c r="M79" s="16">
        <v>443.50417299999992</v>
      </c>
      <c r="N79" s="16">
        <v>358.55456999999979</v>
      </c>
      <c r="O79" s="16">
        <v>114.380796</v>
      </c>
      <c r="P79" s="1">
        <v>111.38275352810744</v>
      </c>
      <c r="Q79" s="3">
        <v>0.12</v>
      </c>
      <c r="R79" s="17">
        <v>6.92</v>
      </c>
      <c r="S79" s="17">
        <v>17.905999999999999</v>
      </c>
      <c r="T79" s="17" t="s">
        <v>36</v>
      </c>
      <c r="U79" s="17">
        <v>58.109000000000002</v>
      </c>
      <c r="V79" s="17">
        <v>68.879000000000005</v>
      </c>
      <c r="W79" s="17">
        <v>212.22399999999999</v>
      </c>
      <c r="X79" s="17">
        <v>10.4</v>
      </c>
      <c r="Y79" s="17" t="s">
        <v>36</v>
      </c>
      <c r="Z79" s="17">
        <v>26.078000000000003</v>
      </c>
      <c r="AA79" s="17">
        <v>49.274999999999999</v>
      </c>
      <c r="AB79" s="17">
        <v>29.118999999999996</v>
      </c>
      <c r="AC79" s="17">
        <v>236.298</v>
      </c>
      <c r="AD79" s="1">
        <f t="shared" si="5"/>
        <v>715.20799999999986</v>
      </c>
    </row>
    <row r="80" spans="1:30" ht="15">
      <c r="A80" s="2">
        <v>74</v>
      </c>
      <c r="B80" s="13" t="s">
        <v>109</v>
      </c>
      <c r="C80" s="1">
        <f t="shared" si="4"/>
        <v>478.15854070896819</v>
      </c>
      <c r="D80" s="16" t="s">
        <v>36</v>
      </c>
      <c r="E80" s="16">
        <v>169.55237400000001</v>
      </c>
      <c r="F80" s="16">
        <v>13.62903</v>
      </c>
      <c r="G80" s="16">
        <v>53.67535800000001</v>
      </c>
      <c r="H80" s="16">
        <v>84.248719000000008</v>
      </c>
      <c r="I80" s="1">
        <v>157.05305970896814</v>
      </c>
      <c r="J80" s="3">
        <v>0.33</v>
      </c>
      <c r="K80" s="16" t="s">
        <v>36</v>
      </c>
      <c r="L80" s="16" t="s">
        <v>36</v>
      </c>
      <c r="M80" s="16" t="s">
        <v>36</v>
      </c>
      <c r="N80" s="16" t="s">
        <v>36</v>
      </c>
      <c r="O80" s="16" t="s">
        <v>36</v>
      </c>
      <c r="P80" s="1">
        <v>0</v>
      </c>
      <c r="Q80" s="3">
        <v>0.12</v>
      </c>
      <c r="R80" s="17" t="s">
        <v>36</v>
      </c>
      <c r="S80" s="17">
        <v>22.251999999999999</v>
      </c>
      <c r="T80" s="17">
        <v>11.92</v>
      </c>
      <c r="U80" s="17">
        <v>35.538000000000004</v>
      </c>
      <c r="V80" s="17">
        <v>95.98</v>
      </c>
      <c r="W80" s="17">
        <v>542.18799999999999</v>
      </c>
      <c r="X80" s="17" t="s">
        <v>36</v>
      </c>
      <c r="Y80" s="17" t="s">
        <v>36</v>
      </c>
      <c r="Z80" s="17" t="s">
        <v>36</v>
      </c>
      <c r="AA80" s="17" t="s">
        <v>36</v>
      </c>
      <c r="AB80" s="17" t="s">
        <v>36</v>
      </c>
      <c r="AC80" s="17" t="s">
        <v>36</v>
      </c>
      <c r="AD80" s="1">
        <f t="shared" si="5"/>
        <v>707.87799999999993</v>
      </c>
    </row>
    <row r="81" spans="1:30" ht="15">
      <c r="A81" s="2">
        <v>75</v>
      </c>
      <c r="B81" s="13" t="s">
        <v>110</v>
      </c>
      <c r="C81" s="1">
        <f t="shared" si="4"/>
        <v>293.80939723523556</v>
      </c>
      <c r="D81" s="16" t="s">
        <v>36</v>
      </c>
      <c r="E81" s="16" t="s">
        <v>36</v>
      </c>
      <c r="F81" s="16">
        <v>67.215294999999998</v>
      </c>
      <c r="G81" s="16">
        <v>148.76619600000001</v>
      </c>
      <c r="H81" s="16">
        <v>33.293109000000001</v>
      </c>
      <c r="I81" s="1">
        <v>44.534797235235565</v>
      </c>
      <c r="J81" s="3">
        <v>0.33</v>
      </c>
      <c r="K81" s="16" t="s">
        <v>36</v>
      </c>
      <c r="L81" s="16" t="s">
        <v>36</v>
      </c>
      <c r="M81" s="16" t="s">
        <v>36</v>
      </c>
      <c r="N81" s="16" t="s">
        <v>36</v>
      </c>
      <c r="O81" s="16" t="s">
        <v>36</v>
      </c>
      <c r="P81" s="1">
        <v>0</v>
      </c>
      <c r="Q81" s="3">
        <v>0.12</v>
      </c>
      <c r="R81" s="17" t="s">
        <v>36</v>
      </c>
      <c r="S81" s="17" t="s">
        <v>36</v>
      </c>
      <c r="T81" s="17">
        <v>11.573000000000002</v>
      </c>
      <c r="U81" s="17">
        <v>68.527999999999992</v>
      </c>
      <c r="V81" s="17">
        <v>68.829000000000008</v>
      </c>
      <c r="W81" s="17">
        <v>278.99899999999991</v>
      </c>
      <c r="X81" s="17" t="s">
        <v>36</v>
      </c>
      <c r="Y81" s="17" t="s">
        <v>36</v>
      </c>
      <c r="Z81" s="17" t="s">
        <v>36</v>
      </c>
      <c r="AA81" s="17" t="s">
        <v>36</v>
      </c>
      <c r="AB81" s="17" t="s">
        <v>36</v>
      </c>
      <c r="AC81" s="17" t="s">
        <v>36</v>
      </c>
      <c r="AD81" s="1">
        <f t="shared" si="5"/>
        <v>427.92899999999992</v>
      </c>
    </row>
    <row r="82" spans="1:30" ht="15">
      <c r="A82" s="2">
        <v>76</v>
      </c>
      <c r="B82" s="13" t="s">
        <v>111</v>
      </c>
      <c r="C82" s="1">
        <f t="shared" si="4"/>
        <v>2468.6319373730698</v>
      </c>
      <c r="D82" s="16">
        <v>751.22321000000011</v>
      </c>
      <c r="E82" s="16">
        <v>139.37228200000001</v>
      </c>
      <c r="F82" s="16">
        <v>108.48202199999999</v>
      </c>
      <c r="G82" s="16">
        <v>233.13304500000004</v>
      </c>
      <c r="H82" s="16">
        <v>128.897919</v>
      </c>
      <c r="I82" s="1">
        <v>170.7653675099053</v>
      </c>
      <c r="J82" s="3">
        <v>0.33</v>
      </c>
      <c r="K82" s="16">
        <v>403.53740899999997</v>
      </c>
      <c r="L82" s="16" t="s">
        <v>36</v>
      </c>
      <c r="M82" s="16">
        <v>194.67040699999995</v>
      </c>
      <c r="N82" s="16">
        <v>192.86713500000002</v>
      </c>
      <c r="O82" s="16">
        <v>90.501649999999998</v>
      </c>
      <c r="P82" s="1">
        <v>55.181490863164555</v>
      </c>
      <c r="Q82" s="3">
        <v>0.12</v>
      </c>
      <c r="R82" s="17">
        <v>15.189000000000002</v>
      </c>
      <c r="S82" s="17">
        <v>12.764000000000001</v>
      </c>
      <c r="T82" s="17">
        <v>25.627999999999997</v>
      </c>
      <c r="U82" s="17">
        <v>50.837999999999994</v>
      </c>
      <c r="V82" s="17">
        <v>105.84100000000001</v>
      </c>
      <c r="W82" s="17">
        <v>424.90699999999993</v>
      </c>
      <c r="X82" s="17">
        <v>8.9459999999999997</v>
      </c>
      <c r="Y82" s="17" t="s">
        <v>36</v>
      </c>
      <c r="Z82" s="17">
        <v>11.568999999999999</v>
      </c>
      <c r="AA82" s="17">
        <v>22.425000000000001</v>
      </c>
      <c r="AB82" s="17">
        <v>15.8</v>
      </c>
      <c r="AC82" s="17">
        <v>80.281000000000006</v>
      </c>
      <c r="AD82" s="1">
        <f t="shared" si="5"/>
        <v>774.18799999999987</v>
      </c>
    </row>
    <row r="83" spans="1:30" ht="15">
      <c r="A83" s="2">
        <v>77</v>
      </c>
      <c r="B83" s="13" t="s">
        <v>112</v>
      </c>
      <c r="C83" s="1">
        <f t="shared" si="4"/>
        <v>385.8696411024082</v>
      </c>
      <c r="D83" s="16" t="s">
        <v>36</v>
      </c>
      <c r="E83" s="16">
        <v>153.833314</v>
      </c>
      <c r="F83" s="16">
        <v>50.427256</v>
      </c>
      <c r="G83" s="16">
        <v>95.522829000000002</v>
      </c>
      <c r="H83" s="16">
        <v>39.878089000000003</v>
      </c>
      <c r="I83" s="1">
        <v>46.20815310240819</v>
      </c>
      <c r="J83" s="3">
        <v>0.33</v>
      </c>
      <c r="K83" s="16" t="s">
        <v>36</v>
      </c>
      <c r="L83" s="16" t="s">
        <v>36</v>
      </c>
      <c r="M83" s="16" t="s">
        <v>36</v>
      </c>
      <c r="N83" s="16" t="s">
        <v>36</v>
      </c>
      <c r="O83" s="16" t="s">
        <v>36</v>
      </c>
      <c r="P83" s="1">
        <v>0</v>
      </c>
      <c r="Q83" s="3">
        <v>0.12</v>
      </c>
      <c r="R83" s="17" t="s">
        <v>36</v>
      </c>
      <c r="S83" s="17">
        <v>25.448999999999998</v>
      </c>
      <c r="T83" s="17">
        <v>12.545999999999998</v>
      </c>
      <c r="U83" s="17">
        <v>64.782999999999987</v>
      </c>
      <c r="V83" s="17">
        <v>79.067999999999984</v>
      </c>
      <c r="W83" s="17">
        <v>277.63299999999998</v>
      </c>
      <c r="X83" s="17" t="s">
        <v>36</v>
      </c>
      <c r="Y83" s="17" t="s">
        <v>36</v>
      </c>
      <c r="Z83" s="17" t="s">
        <v>36</v>
      </c>
      <c r="AA83" s="17" t="s">
        <v>36</v>
      </c>
      <c r="AB83" s="17" t="s">
        <v>36</v>
      </c>
      <c r="AC83" s="17" t="s">
        <v>36</v>
      </c>
      <c r="AD83" s="1">
        <f t="shared" si="5"/>
        <v>459.47899999999993</v>
      </c>
    </row>
    <row r="84" spans="1:30" ht="15">
      <c r="A84" s="2">
        <v>78</v>
      </c>
      <c r="B84" s="13" t="s">
        <v>113</v>
      </c>
      <c r="C84" s="1">
        <f t="shared" si="4"/>
        <v>385.04285300719067</v>
      </c>
      <c r="D84" s="16" t="s">
        <v>36</v>
      </c>
      <c r="E84" s="16">
        <v>68.81504000000001</v>
      </c>
      <c r="F84" s="16" t="s">
        <v>36</v>
      </c>
      <c r="G84" s="16">
        <v>106.61145999999999</v>
      </c>
      <c r="H84" s="16">
        <v>65.911766999999998</v>
      </c>
      <c r="I84" s="1">
        <v>38.451080834646206</v>
      </c>
      <c r="J84" s="3">
        <v>0.33</v>
      </c>
      <c r="K84" s="16" t="s">
        <v>36</v>
      </c>
      <c r="L84" s="16" t="s">
        <v>36</v>
      </c>
      <c r="M84" s="16">
        <v>47.120063999999999</v>
      </c>
      <c r="N84" s="16">
        <v>39.495463999999998</v>
      </c>
      <c r="O84" s="16">
        <v>12.843591</v>
      </c>
      <c r="P84" s="1">
        <v>5.7943861725444812</v>
      </c>
      <c r="Q84" s="3">
        <v>0.12</v>
      </c>
      <c r="R84" s="17" t="s">
        <v>36</v>
      </c>
      <c r="S84" s="17">
        <v>11.774000000000001</v>
      </c>
      <c r="T84" s="17" t="s">
        <v>36</v>
      </c>
      <c r="U84" s="17">
        <v>67.637</v>
      </c>
      <c r="V84" s="17">
        <v>85.983999999999995</v>
      </c>
      <c r="W84" s="17">
        <v>152.00199999999998</v>
      </c>
      <c r="X84" s="17" t="s">
        <v>36</v>
      </c>
      <c r="Y84" s="17" t="s">
        <v>36</v>
      </c>
      <c r="Z84" s="17">
        <v>3.7380000000000004</v>
      </c>
      <c r="AA84" s="17">
        <v>8.1170000000000009</v>
      </c>
      <c r="AB84" s="17">
        <v>6.9130000000000003</v>
      </c>
      <c r="AC84" s="17">
        <v>25.99</v>
      </c>
      <c r="AD84" s="1">
        <f t="shared" si="5"/>
        <v>362.15499999999997</v>
      </c>
    </row>
    <row r="85" spans="1:30" ht="15">
      <c r="A85" s="2">
        <v>79</v>
      </c>
      <c r="B85" s="13" t="s">
        <v>114</v>
      </c>
      <c r="C85" s="1">
        <f t="shared" si="4"/>
        <v>1268.2217156440281</v>
      </c>
      <c r="D85" s="16">
        <v>319.13066599999996</v>
      </c>
      <c r="E85" s="16">
        <v>491.94247799999999</v>
      </c>
      <c r="F85" s="16">
        <v>103.00198500000002</v>
      </c>
      <c r="G85" s="16">
        <v>166.747389</v>
      </c>
      <c r="H85" s="16">
        <v>45.642905000000006</v>
      </c>
      <c r="I85" s="1">
        <v>141.75629264402824</v>
      </c>
      <c r="J85" s="3">
        <v>0.33</v>
      </c>
      <c r="K85" s="16" t="s">
        <v>36</v>
      </c>
      <c r="L85" s="16" t="s">
        <v>36</v>
      </c>
      <c r="M85" s="16" t="s">
        <v>36</v>
      </c>
      <c r="N85" s="16" t="s">
        <v>36</v>
      </c>
      <c r="O85" s="16" t="s">
        <v>36</v>
      </c>
      <c r="P85" s="1">
        <v>0</v>
      </c>
      <c r="Q85" s="3">
        <v>0.12</v>
      </c>
      <c r="R85" s="17">
        <v>12.032</v>
      </c>
      <c r="S85" s="17">
        <v>68.555999999999983</v>
      </c>
      <c r="T85" s="17">
        <v>25.322000000000003</v>
      </c>
      <c r="U85" s="17">
        <v>47.735999999999997</v>
      </c>
      <c r="V85" s="17">
        <v>49.406999999999996</v>
      </c>
      <c r="W85" s="17">
        <v>464.99</v>
      </c>
      <c r="X85" s="17" t="s">
        <v>36</v>
      </c>
      <c r="Y85" s="17" t="s">
        <v>36</v>
      </c>
      <c r="Z85" s="17" t="s">
        <v>36</v>
      </c>
      <c r="AA85" s="17" t="s">
        <v>36</v>
      </c>
      <c r="AB85" s="17" t="s">
        <v>36</v>
      </c>
      <c r="AC85" s="17" t="s">
        <v>36</v>
      </c>
      <c r="AD85" s="1">
        <f t="shared" si="5"/>
        <v>668.04300000000001</v>
      </c>
    </row>
    <row r="86" spans="1:30" ht="15">
      <c r="A86" s="2">
        <v>80</v>
      </c>
      <c r="B86" s="13" t="s">
        <v>115</v>
      </c>
      <c r="C86" s="1">
        <f t="shared" si="4"/>
        <v>403.02210946898884</v>
      </c>
      <c r="D86" s="16" t="s">
        <v>36</v>
      </c>
      <c r="E86" s="16">
        <v>123.90815500000001</v>
      </c>
      <c r="F86" s="16">
        <v>63.014103000000006</v>
      </c>
      <c r="G86" s="16">
        <v>78.577264</v>
      </c>
      <c r="H86" s="16">
        <v>78.198071999999996</v>
      </c>
      <c r="I86" s="1">
        <v>59.324515468988842</v>
      </c>
      <c r="J86" s="3">
        <v>0.33</v>
      </c>
      <c r="K86" s="16" t="s">
        <v>36</v>
      </c>
      <c r="L86" s="16" t="s">
        <v>36</v>
      </c>
      <c r="M86" s="16" t="s">
        <v>36</v>
      </c>
      <c r="N86" s="16" t="s">
        <v>36</v>
      </c>
      <c r="O86" s="16" t="s">
        <v>36</v>
      </c>
      <c r="P86" s="1">
        <v>0</v>
      </c>
      <c r="Q86" s="3">
        <v>0.12</v>
      </c>
      <c r="R86" s="17" t="s">
        <v>36</v>
      </c>
      <c r="S86" s="17">
        <v>16.322000000000003</v>
      </c>
      <c r="T86" s="17">
        <v>9.7089999999999996</v>
      </c>
      <c r="U86" s="17">
        <v>40.227999999999994</v>
      </c>
      <c r="V86" s="17">
        <v>52.87</v>
      </c>
      <c r="W86" s="17">
        <v>121.544</v>
      </c>
      <c r="X86" s="17" t="s">
        <v>36</v>
      </c>
      <c r="Y86" s="17" t="s">
        <v>36</v>
      </c>
      <c r="Z86" s="17" t="s">
        <v>36</v>
      </c>
      <c r="AA86" s="17" t="s">
        <v>36</v>
      </c>
      <c r="AB86" s="17" t="s">
        <v>36</v>
      </c>
      <c r="AC86" s="17" t="s">
        <v>36</v>
      </c>
      <c r="AD86" s="1">
        <f t="shared" si="5"/>
        <v>240.673</v>
      </c>
    </row>
    <row r="87" spans="1:30" ht="15">
      <c r="A87" s="2">
        <v>81</v>
      </c>
      <c r="B87" s="13" t="s">
        <v>116</v>
      </c>
      <c r="C87" s="1">
        <f t="shared" si="4"/>
        <v>631.4312118919172</v>
      </c>
      <c r="D87" s="16" t="s">
        <v>36</v>
      </c>
      <c r="E87" s="16">
        <v>192.20116999999999</v>
      </c>
      <c r="F87" s="16">
        <v>48.452297999999992</v>
      </c>
      <c r="G87" s="16">
        <v>50.403643000000002</v>
      </c>
      <c r="H87" s="16">
        <v>28.100135999999999</v>
      </c>
      <c r="I87" s="1">
        <v>35.535543114266765</v>
      </c>
      <c r="J87" s="3">
        <v>0.33</v>
      </c>
      <c r="K87" s="16" t="s">
        <v>36</v>
      </c>
      <c r="L87" s="16" t="s">
        <v>36</v>
      </c>
      <c r="M87" s="16">
        <v>179.73513399999996</v>
      </c>
      <c r="N87" s="16">
        <v>54.867236000000013</v>
      </c>
      <c r="O87" s="16">
        <v>33.96499</v>
      </c>
      <c r="P87" s="1">
        <v>8.1710617776504293</v>
      </c>
      <c r="Q87" s="3">
        <v>0.12</v>
      </c>
      <c r="R87" s="17" t="s">
        <v>36</v>
      </c>
      <c r="S87" s="17">
        <v>27.887</v>
      </c>
      <c r="T87" s="17">
        <v>8.452</v>
      </c>
      <c r="U87" s="17">
        <v>41.685999999999993</v>
      </c>
      <c r="V87" s="17">
        <v>52.494</v>
      </c>
      <c r="W87" s="17">
        <v>201.16399999999999</v>
      </c>
      <c r="X87" s="17" t="s">
        <v>36</v>
      </c>
      <c r="Y87" s="17" t="s">
        <v>36</v>
      </c>
      <c r="Z87" s="17">
        <v>13.134</v>
      </c>
      <c r="AA87" s="17">
        <v>12.279</v>
      </c>
      <c r="AB87" s="17">
        <v>15.705</v>
      </c>
      <c r="AC87" s="17">
        <v>31.484999999999999</v>
      </c>
      <c r="AD87" s="1">
        <f t="shared" si="5"/>
        <v>404.286</v>
      </c>
    </row>
    <row r="88" spans="1:30" ht="15">
      <c r="A88" s="2">
        <v>82</v>
      </c>
      <c r="B88" s="13" t="s">
        <v>117</v>
      </c>
      <c r="C88" s="1">
        <f t="shared" si="4"/>
        <v>659.62215783964734</v>
      </c>
      <c r="D88" s="16" t="s">
        <v>36</v>
      </c>
      <c r="E88" s="16">
        <v>139.95285499999997</v>
      </c>
      <c r="F88" s="16">
        <v>78.23814999999999</v>
      </c>
      <c r="G88" s="16">
        <v>217.70119199999996</v>
      </c>
      <c r="H88" s="16">
        <v>72.596376000000021</v>
      </c>
      <c r="I88" s="1">
        <v>82.401871266207394</v>
      </c>
      <c r="J88" s="3">
        <v>0.33</v>
      </c>
      <c r="K88" s="16" t="s">
        <v>36</v>
      </c>
      <c r="L88" s="16" t="s">
        <v>36</v>
      </c>
      <c r="M88" s="16">
        <v>41.408971000000008</v>
      </c>
      <c r="N88" s="16">
        <v>4.5125699999999993</v>
      </c>
      <c r="O88" s="16">
        <v>15.743139999999999</v>
      </c>
      <c r="P88" s="1">
        <v>7.0670325734399979</v>
      </c>
      <c r="Q88" s="3">
        <v>0.12</v>
      </c>
      <c r="R88" s="17" t="s">
        <v>36</v>
      </c>
      <c r="S88" s="17">
        <v>15.988000000000003</v>
      </c>
      <c r="T88" s="17">
        <v>11.56</v>
      </c>
      <c r="U88" s="17">
        <v>68.566999999999993</v>
      </c>
      <c r="V88" s="17">
        <v>85.93</v>
      </c>
      <c r="W88" s="17">
        <v>295.565</v>
      </c>
      <c r="X88" s="17" t="s">
        <v>36</v>
      </c>
      <c r="Y88" s="17" t="s">
        <v>36</v>
      </c>
      <c r="Z88" s="17">
        <v>3.4830000000000001</v>
      </c>
      <c r="AA88" s="17">
        <v>2.0310000000000001</v>
      </c>
      <c r="AB88" s="17">
        <v>2.5</v>
      </c>
      <c r="AC88" s="17">
        <v>9.3520000000000003</v>
      </c>
      <c r="AD88" s="1">
        <f t="shared" si="5"/>
        <v>494.976</v>
      </c>
    </row>
    <row r="89" spans="1:30" ht="15">
      <c r="A89" s="2">
        <v>83</v>
      </c>
      <c r="B89" s="13" t="s">
        <v>118</v>
      </c>
      <c r="C89" s="1">
        <f t="shared" si="4"/>
        <v>128.12124569070454</v>
      </c>
      <c r="D89" s="16" t="s">
        <v>36</v>
      </c>
      <c r="E89" s="16" t="s">
        <v>36</v>
      </c>
      <c r="F89" s="16">
        <v>56.259709999999998</v>
      </c>
      <c r="G89" s="16">
        <v>31.652728000000003</v>
      </c>
      <c r="H89" s="16">
        <v>15.834154</v>
      </c>
      <c r="I89" s="1">
        <v>24.374653690704523</v>
      </c>
      <c r="J89" s="3">
        <v>0.33</v>
      </c>
      <c r="K89" s="16" t="s">
        <v>36</v>
      </c>
      <c r="L89" s="16" t="s">
        <v>36</v>
      </c>
      <c r="M89" s="16" t="s">
        <v>36</v>
      </c>
      <c r="N89" s="16" t="s">
        <v>36</v>
      </c>
      <c r="O89" s="16" t="s">
        <v>36</v>
      </c>
      <c r="P89" s="1">
        <v>0</v>
      </c>
      <c r="Q89" s="3">
        <v>0.12</v>
      </c>
      <c r="R89" s="17" t="s">
        <v>36</v>
      </c>
      <c r="S89" s="17" t="s">
        <v>36</v>
      </c>
      <c r="T89" s="17">
        <v>19.75</v>
      </c>
      <c r="U89" s="17">
        <v>44.791000000000004</v>
      </c>
      <c r="V89" s="17">
        <v>39.061999999999998</v>
      </c>
      <c r="W89" s="17">
        <v>182.215</v>
      </c>
      <c r="X89" s="17" t="s">
        <v>36</v>
      </c>
      <c r="Y89" s="17" t="s">
        <v>36</v>
      </c>
      <c r="Z89" s="17" t="s">
        <v>36</v>
      </c>
      <c r="AA89" s="17" t="s">
        <v>36</v>
      </c>
      <c r="AB89" s="17" t="s">
        <v>36</v>
      </c>
      <c r="AC89" s="17" t="s">
        <v>36</v>
      </c>
      <c r="AD89" s="1">
        <f t="shared" si="5"/>
        <v>285.81799999999998</v>
      </c>
    </row>
    <row r="90" spans="1:30" ht="15">
      <c r="A90" s="2">
        <v>84</v>
      </c>
      <c r="B90" s="13" t="s">
        <v>119</v>
      </c>
      <c r="C90" s="1">
        <f t="shared" si="4"/>
        <v>562.26646784204684</v>
      </c>
      <c r="D90" s="16" t="s">
        <v>36</v>
      </c>
      <c r="E90" s="16">
        <v>231.27791999999999</v>
      </c>
      <c r="F90" s="16">
        <v>34.581910000000001</v>
      </c>
      <c r="G90" s="16">
        <v>77.677102999999988</v>
      </c>
      <c r="H90" s="16">
        <v>29.474982000000001</v>
      </c>
      <c r="I90" s="1">
        <v>39.519774377138788</v>
      </c>
      <c r="J90" s="3">
        <v>0.33</v>
      </c>
      <c r="K90" s="16" t="s">
        <v>36</v>
      </c>
      <c r="L90" s="16" t="s">
        <v>36</v>
      </c>
      <c r="M90" s="16">
        <v>74.195737999999992</v>
      </c>
      <c r="N90" s="16">
        <v>22.859285</v>
      </c>
      <c r="O90" s="16">
        <v>33.347663999999995</v>
      </c>
      <c r="P90" s="1">
        <v>19.332091464908107</v>
      </c>
      <c r="Q90" s="3">
        <v>0.12</v>
      </c>
      <c r="R90" s="17" t="s">
        <v>36</v>
      </c>
      <c r="S90" s="17">
        <v>18.015999999999998</v>
      </c>
      <c r="T90" s="17">
        <v>11.925000000000001</v>
      </c>
      <c r="U90" s="17">
        <v>43.201999999999998</v>
      </c>
      <c r="V90" s="17">
        <v>63.077999999999996</v>
      </c>
      <c r="W90" s="17">
        <v>256.286</v>
      </c>
      <c r="X90" s="17" t="s">
        <v>36</v>
      </c>
      <c r="Y90" s="17" t="s">
        <v>36</v>
      </c>
      <c r="Z90" s="17">
        <v>4.5329999999999995</v>
      </c>
      <c r="AA90" s="17">
        <v>5.2549999999999999</v>
      </c>
      <c r="AB90" s="17">
        <v>7.4</v>
      </c>
      <c r="AC90" s="17">
        <v>35.749000000000002</v>
      </c>
      <c r="AD90" s="1">
        <f t="shared" si="5"/>
        <v>445.44400000000002</v>
      </c>
    </row>
    <row r="91" spans="1:30" ht="15">
      <c r="A91" s="2">
        <v>85</v>
      </c>
      <c r="B91" s="13" t="s">
        <v>120</v>
      </c>
      <c r="C91" s="1">
        <f t="shared" si="4"/>
        <v>322.54648704982088</v>
      </c>
      <c r="D91" s="16" t="s">
        <v>36</v>
      </c>
      <c r="E91" s="16">
        <v>66.263401999999999</v>
      </c>
      <c r="F91" s="16">
        <v>37.941729999999993</v>
      </c>
      <c r="G91" s="16">
        <v>115.40964699999998</v>
      </c>
      <c r="H91" s="16">
        <v>39.990116999999998</v>
      </c>
      <c r="I91" s="1">
        <v>62.941591049820929</v>
      </c>
      <c r="J91" s="3">
        <v>0.33</v>
      </c>
      <c r="K91" s="16" t="s">
        <v>36</v>
      </c>
      <c r="L91" s="16" t="s">
        <v>36</v>
      </c>
      <c r="M91" s="16" t="s">
        <v>36</v>
      </c>
      <c r="N91" s="16" t="s">
        <v>36</v>
      </c>
      <c r="O91" s="16" t="s">
        <v>36</v>
      </c>
      <c r="P91" s="1">
        <v>0</v>
      </c>
      <c r="Q91" s="3">
        <v>0.12</v>
      </c>
      <c r="R91" s="17" t="s">
        <v>36</v>
      </c>
      <c r="S91" s="17">
        <v>13.802</v>
      </c>
      <c r="T91" s="17">
        <v>11.719000000000001</v>
      </c>
      <c r="U91" s="17">
        <v>51.722999999999992</v>
      </c>
      <c r="V91" s="17">
        <v>77.23</v>
      </c>
      <c r="W91" s="17">
        <v>368.34700000000004</v>
      </c>
      <c r="X91" s="17" t="s">
        <v>36</v>
      </c>
      <c r="Y91" s="17" t="s">
        <v>36</v>
      </c>
      <c r="Z91" s="17" t="s">
        <v>36</v>
      </c>
      <c r="AA91" s="17" t="s">
        <v>36</v>
      </c>
      <c r="AB91" s="17" t="s">
        <v>36</v>
      </c>
      <c r="AC91" s="17" t="s">
        <v>36</v>
      </c>
      <c r="AD91" s="1">
        <f t="shared" si="5"/>
        <v>522.82100000000003</v>
      </c>
    </row>
    <row r="92" spans="1:30" ht="15">
      <c r="A92" s="2">
        <v>86</v>
      </c>
      <c r="B92" s="13" t="s">
        <v>121</v>
      </c>
      <c r="C92" s="1">
        <f t="shared" si="4"/>
        <v>271.29077914771904</v>
      </c>
      <c r="D92" s="16" t="s">
        <v>36</v>
      </c>
      <c r="E92" s="16" t="s">
        <v>36</v>
      </c>
      <c r="F92" s="16" t="s">
        <v>36</v>
      </c>
      <c r="G92" s="16">
        <v>144.36698199999998</v>
      </c>
      <c r="H92" s="16">
        <v>52.127521999999999</v>
      </c>
      <c r="I92" s="1">
        <v>74.79627514771903</v>
      </c>
      <c r="J92" s="3">
        <v>0.33</v>
      </c>
      <c r="K92" s="16" t="s">
        <v>36</v>
      </c>
      <c r="L92" s="16" t="s">
        <v>36</v>
      </c>
      <c r="M92" s="16" t="s">
        <v>36</v>
      </c>
      <c r="N92" s="16" t="s">
        <v>36</v>
      </c>
      <c r="O92" s="16" t="s">
        <v>36</v>
      </c>
      <c r="P92" s="1">
        <v>0</v>
      </c>
      <c r="Q92" s="3">
        <v>0.12</v>
      </c>
      <c r="R92" s="17" t="s">
        <v>36</v>
      </c>
      <c r="S92" s="17" t="s">
        <v>36</v>
      </c>
      <c r="T92" s="17" t="s">
        <v>36</v>
      </c>
      <c r="U92" s="17">
        <v>75.227999999999994</v>
      </c>
      <c r="V92" s="17">
        <v>93.061000000000007</v>
      </c>
      <c r="W92" s="17">
        <v>404.63800000000009</v>
      </c>
      <c r="X92" s="17" t="s">
        <v>36</v>
      </c>
      <c r="Y92" s="17" t="s">
        <v>36</v>
      </c>
      <c r="Z92" s="17" t="s">
        <v>36</v>
      </c>
      <c r="AA92" s="17" t="s">
        <v>36</v>
      </c>
      <c r="AB92" s="17" t="s">
        <v>36</v>
      </c>
      <c r="AC92" s="17" t="s">
        <v>36</v>
      </c>
      <c r="AD92" s="1">
        <f t="shared" si="5"/>
        <v>572.92700000000013</v>
      </c>
    </row>
    <row r="93" spans="1:30" ht="15">
      <c r="A93" s="2">
        <v>87</v>
      </c>
      <c r="B93" s="13" t="s">
        <v>122</v>
      </c>
      <c r="C93" s="1">
        <f t="shared" si="4"/>
        <v>689.66265153110851</v>
      </c>
      <c r="D93" s="16">
        <v>226.03349400000002</v>
      </c>
      <c r="E93" s="16" t="s">
        <v>36</v>
      </c>
      <c r="F93" s="16">
        <v>134.90834300000003</v>
      </c>
      <c r="G93" s="16">
        <v>82.245997999999986</v>
      </c>
      <c r="H93" s="16">
        <v>34.698663000000003</v>
      </c>
      <c r="I93" s="1">
        <v>41.74986236089196</v>
      </c>
      <c r="J93" s="3">
        <v>0.33</v>
      </c>
      <c r="K93" s="16" t="s">
        <v>36</v>
      </c>
      <c r="L93" s="16" t="s">
        <v>36</v>
      </c>
      <c r="M93" s="16">
        <v>57.539275000000004</v>
      </c>
      <c r="N93" s="16">
        <v>87.766173999999992</v>
      </c>
      <c r="O93" s="16">
        <v>14.025578999999999</v>
      </c>
      <c r="P93" s="1">
        <v>10.695263170216512</v>
      </c>
      <c r="Q93" s="3">
        <v>0.12</v>
      </c>
      <c r="R93" s="17">
        <v>11.387</v>
      </c>
      <c r="S93" s="17" t="s">
        <v>36</v>
      </c>
      <c r="T93" s="17">
        <v>24.905000000000001</v>
      </c>
      <c r="U93" s="17">
        <v>30.395999999999994</v>
      </c>
      <c r="V93" s="17">
        <v>44.274999999999999</v>
      </c>
      <c r="W93" s="17">
        <v>161.4310000000001</v>
      </c>
      <c r="X93" s="17" t="s">
        <v>36</v>
      </c>
      <c r="Y93" s="17" t="s">
        <v>36</v>
      </c>
      <c r="Z93" s="17">
        <v>3.641</v>
      </c>
      <c r="AA93" s="17">
        <v>14.578999999999997</v>
      </c>
      <c r="AB93" s="17">
        <v>8.1750000000000007</v>
      </c>
      <c r="AC93" s="17">
        <v>51.949000000000005</v>
      </c>
      <c r="AD93" s="1">
        <f t="shared" si="5"/>
        <v>350.73800000000017</v>
      </c>
    </row>
    <row r="94" spans="1:30" ht="15">
      <c r="A94" s="2">
        <v>88</v>
      </c>
      <c r="B94" s="13" t="s">
        <v>123</v>
      </c>
      <c r="C94" s="1">
        <f t="shared" si="4"/>
        <v>331.85248943457225</v>
      </c>
      <c r="D94" s="16" t="s">
        <v>36</v>
      </c>
      <c r="E94" s="16">
        <v>25.502159999999996</v>
      </c>
      <c r="F94" s="16">
        <v>120.33187700000001</v>
      </c>
      <c r="G94" s="16">
        <v>106.121753</v>
      </c>
      <c r="H94" s="16">
        <v>30.065930999999996</v>
      </c>
      <c r="I94" s="1">
        <v>49.830768434572271</v>
      </c>
      <c r="J94" s="3">
        <v>0.33</v>
      </c>
      <c r="K94" s="16" t="s">
        <v>36</v>
      </c>
      <c r="L94" s="16" t="s">
        <v>36</v>
      </c>
      <c r="M94" s="16" t="s">
        <v>36</v>
      </c>
      <c r="N94" s="16" t="s">
        <v>36</v>
      </c>
      <c r="O94" s="16" t="s">
        <v>36</v>
      </c>
      <c r="P94" s="1">
        <v>0</v>
      </c>
      <c r="Q94" s="3">
        <v>0.12</v>
      </c>
      <c r="R94" s="17" t="s">
        <v>36</v>
      </c>
      <c r="S94" s="17">
        <v>5.4029999999999996</v>
      </c>
      <c r="T94" s="17">
        <v>44.077999999999996</v>
      </c>
      <c r="U94" s="17">
        <v>56.292000000000002</v>
      </c>
      <c r="V94" s="17">
        <v>79.291000000000011</v>
      </c>
      <c r="W94" s="17">
        <v>398.22900000000004</v>
      </c>
      <c r="X94" s="17" t="s">
        <v>36</v>
      </c>
      <c r="Y94" s="17" t="s">
        <v>36</v>
      </c>
      <c r="Z94" s="17" t="s">
        <v>36</v>
      </c>
      <c r="AA94" s="17" t="s">
        <v>36</v>
      </c>
      <c r="AB94" s="17" t="s">
        <v>36</v>
      </c>
      <c r="AC94" s="17" t="s">
        <v>36</v>
      </c>
      <c r="AD94" s="1">
        <f t="shared" si="5"/>
        <v>583.29300000000012</v>
      </c>
    </row>
    <row r="95" spans="1:30" ht="15">
      <c r="A95" s="2">
        <v>89</v>
      </c>
      <c r="B95" s="13" t="s">
        <v>124</v>
      </c>
      <c r="C95" s="1">
        <f t="shared" si="4"/>
        <v>1150.0570436259839</v>
      </c>
      <c r="D95" s="16" t="s">
        <v>36</v>
      </c>
      <c r="E95" s="16">
        <v>273.598296</v>
      </c>
      <c r="F95" s="16">
        <v>127.90802000000002</v>
      </c>
      <c r="G95" s="16">
        <v>348.79773199999994</v>
      </c>
      <c r="H95" s="16">
        <v>158.55644199999998</v>
      </c>
      <c r="I95" s="1">
        <v>241.19655362598385</v>
      </c>
      <c r="J95" s="3">
        <v>0.33</v>
      </c>
      <c r="K95" s="16" t="s">
        <v>36</v>
      </c>
      <c r="L95" s="16" t="s">
        <v>36</v>
      </c>
      <c r="M95" s="16" t="s">
        <v>36</v>
      </c>
      <c r="N95" s="16" t="s">
        <v>36</v>
      </c>
      <c r="O95" s="16" t="s">
        <v>36</v>
      </c>
      <c r="P95" s="1">
        <v>0</v>
      </c>
      <c r="Q95" s="3">
        <v>0.12</v>
      </c>
      <c r="R95" s="17" t="s">
        <v>36</v>
      </c>
      <c r="S95" s="17">
        <v>22.251000000000001</v>
      </c>
      <c r="T95" s="17">
        <v>27.779000000000003</v>
      </c>
      <c r="U95" s="17">
        <v>88.768999999999991</v>
      </c>
      <c r="V95" s="17">
        <v>122.723</v>
      </c>
      <c r="W95" s="17">
        <v>565.71699999999998</v>
      </c>
      <c r="X95" s="17" t="s">
        <v>36</v>
      </c>
      <c r="Y95" s="17" t="s">
        <v>36</v>
      </c>
      <c r="Z95" s="17" t="s">
        <v>36</v>
      </c>
      <c r="AA95" s="17" t="s">
        <v>36</v>
      </c>
      <c r="AB95" s="17" t="s">
        <v>36</v>
      </c>
      <c r="AC95" s="17" t="s">
        <v>36</v>
      </c>
      <c r="AD95" s="1">
        <f t="shared" si="5"/>
        <v>827.23900000000003</v>
      </c>
    </row>
    <row r="96" spans="1:30" ht="15">
      <c r="A96" s="2">
        <v>90</v>
      </c>
      <c r="B96" s="13" t="s">
        <v>125</v>
      </c>
      <c r="C96" s="1">
        <f t="shared" si="4"/>
        <v>1184.7052780914983</v>
      </c>
      <c r="D96" s="16" t="s">
        <v>36</v>
      </c>
      <c r="E96" s="16">
        <v>238.36525499999999</v>
      </c>
      <c r="F96" s="16">
        <v>192.548768</v>
      </c>
      <c r="G96" s="16">
        <v>246.26953600000002</v>
      </c>
      <c r="H96" s="16">
        <v>73.306506999999968</v>
      </c>
      <c r="I96" s="1">
        <v>81.64936937378225</v>
      </c>
      <c r="J96" s="3">
        <v>0.33</v>
      </c>
      <c r="K96" s="16" t="s">
        <v>36</v>
      </c>
      <c r="L96" s="16">
        <v>61.097264000000003</v>
      </c>
      <c r="M96" s="16">
        <v>102.10424299999997</v>
      </c>
      <c r="N96" s="16">
        <v>163.22523200000003</v>
      </c>
      <c r="O96" s="16">
        <v>14.810553000000001</v>
      </c>
      <c r="P96" s="1">
        <v>11.328550717715851</v>
      </c>
      <c r="Q96" s="3">
        <v>0.12</v>
      </c>
      <c r="R96" s="17" t="s">
        <v>36</v>
      </c>
      <c r="S96" s="17">
        <v>23.996000000000002</v>
      </c>
      <c r="T96" s="17">
        <v>27.952999999999999</v>
      </c>
      <c r="U96" s="17">
        <v>89.080999999999989</v>
      </c>
      <c r="V96" s="17">
        <v>105.37200000000001</v>
      </c>
      <c r="W96" s="17">
        <v>355.64899999999989</v>
      </c>
      <c r="X96" s="17" t="s">
        <v>36</v>
      </c>
      <c r="Y96" s="17">
        <v>6.4340000000000002</v>
      </c>
      <c r="Z96" s="17">
        <v>7.6760000000000019</v>
      </c>
      <c r="AA96" s="17">
        <v>14.892999999999997</v>
      </c>
      <c r="AB96" s="17">
        <v>6.5670000000000002</v>
      </c>
      <c r="AC96" s="17">
        <v>41.858999999999995</v>
      </c>
      <c r="AD96" s="1">
        <f t="shared" si="5"/>
        <v>679.48</v>
      </c>
    </row>
    <row r="97" spans="1:30" ht="15">
      <c r="A97" s="2">
        <v>91</v>
      </c>
      <c r="B97" s="13" t="s">
        <v>126</v>
      </c>
      <c r="C97" s="1">
        <f t="shared" si="4"/>
        <v>171.96376551715235</v>
      </c>
      <c r="D97" s="16" t="s">
        <v>36</v>
      </c>
      <c r="E97" s="16">
        <v>53.240695000000002</v>
      </c>
      <c r="F97" s="16" t="s">
        <v>36</v>
      </c>
      <c r="G97" s="16">
        <v>70.521440999999996</v>
      </c>
      <c r="H97" s="16">
        <v>21.547171000000002</v>
      </c>
      <c r="I97" s="1">
        <v>26.654458517152374</v>
      </c>
      <c r="J97" s="3">
        <v>0.33</v>
      </c>
      <c r="K97" s="16" t="s">
        <v>36</v>
      </c>
      <c r="L97" s="16" t="s">
        <v>36</v>
      </c>
      <c r="M97" s="16" t="s">
        <v>36</v>
      </c>
      <c r="N97" s="16" t="s">
        <v>36</v>
      </c>
      <c r="O97" s="16" t="s">
        <v>36</v>
      </c>
      <c r="P97" s="1">
        <v>0</v>
      </c>
      <c r="Q97" s="3">
        <v>0.12</v>
      </c>
      <c r="R97" s="17" t="s">
        <v>36</v>
      </c>
      <c r="S97" s="17">
        <v>12.210999999999999</v>
      </c>
      <c r="T97" s="17" t="s">
        <v>36</v>
      </c>
      <c r="U97" s="17">
        <v>28.499000000000002</v>
      </c>
      <c r="V97" s="17">
        <v>53.16</v>
      </c>
      <c r="W97" s="17">
        <v>199.274</v>
      </c>
      <c r="X97" s="17" t="s">
        <v>36</v>
      </c>
      <c r="Y97" s="17" t="s">
        <v>36</v>
      </c>
      <c r="Z97" s="17" t="s">
        <v>36</v>
      </c>
      <c r="AA97" s="17" t="s">
        <v>36</v>
      </c>
      <c r="AB97" s="17" t="s">
        <v>36</v>
      </c>
      <c r="AC97" s="17" t="s">
        <v>36</v>
      </c>
      <c r="AD97" s="1">
        <f t="shared" si="5"/>
        <v>293.14400000000001</v>
      </c>
    </row>
    <row r="98" spans="1:30" ht="15">
      <c r="A98" s="2">
        <v>92</v>
      </c>
      <c r="B98" s="13" t="s">
        <v>127</v>
      </c>
      <c r="C98" s="1">
        <f t="shared" si="4"/>
        <v>1039.6743972598979</v>
      </c>
      <c r="D98" s="16" t="s">
        <v>36</v>
      </c>
      <c r="E98" s="16">
        <v>441.13572800000003</v>
      </c>
      <c r="F98" s="16" t="s">
        <v>36</v>
      </c>
      <c r="G98" s="16">
        <v>386.93900600000001</v>
      </c>
      <c r="H98" s="16">
        <v>74.852446</v>
      </c>
      <c r="I98" s="1">
        <v>136.74721725989789</v>
      </c>
      <c r="J98" s="3">
        <v>0.33</v>
      </c>
      <c r="K98" s="16" t="s">
        <v>36</v>
      </c>
      <c r="L98" s="16" t="s">
        <v>36</v>
      </c>
      <c r="M98" s="16" t="s">
        <v>36</v>
      </c>
      <c r="N98" s="16" t="s">
        <v>36</v>
      </c>
      <c r="O98" s="16" t="s">
        <v>36</v>
      </c>
      <c r="P98" s="1">
        <v>0</v>
      </c>
      <c r="Q98" s="3">
        <v>0.12</v>
      </c>
      <c r="R98" s="17" t="s">
        <v>36</v>
      </c>
      <c r="S98" s="17">
        <v>46.097000000000008</v>
      </c>
      <c r="T98" s="17" t="s">
        <v>36</v>
      </c>
      <c r="U98" s="17">
        <v>119.66400000000002</v>
      </c>
      <c r="V98" s="17">
        <v>117.952</v>
      </c>
      <c r="W98" s="17">
        <v>652.98599999999976</v>
      </c>
      <c r="X98" s="17" t="s">
        <v>36</v>
      </c>
      <c r="Y98" s="17" t="s">
        <v>36</v>
      </c>
      <c r="Z98" s="17" t="s">
        <v>36</v>
      </c>
      <c r="AA98" s="17" t="s">
        <v>36</v>
      </c>
      <c r="AB98" s="17" t="s">
        <v>36</v>
      </c>
      <c r="AC98" s="17" t="s">
        <v>36</v>
      </c>
      <c r="AD98" s="1">
        <f t="shared" si="5"/>
        <v>936.69899999999984</v>
      </c>
    </row>
    <row r="99" spans="1:30" ht="15">
      <c r="A99" s="2">
        <v>93</v>
      </c>
      <c r="B99" s="13" t="s">
        <v>128</v>
      </c>
      <c r="C99" s="1">
        <f t="shared" si="4"/>
        <v>1305.1124203749703</v>
      </c>
      <c r="D99" s="16">
        <v>595.51770599999998</v>
      </c>
      <c r="E99" s="16" t="s">
        <v>36</v>
      </c>
      <c r="F99" s="16">
        <v>205.50530100000003</v>
      </c>
      <c r="G99" s="16">
        <v>114.99086800000001</v>
      </c>
      <c r="H99" s="16">
        <v>96.241401999999994</v>
      </c>
      <c r="I99" s="1">
        <v>148.07735844390524</v>
      </c>
      <c r="J99" s="3">
        <v>0.33</v>
      </c>
      <c r="K99" s="16" t="s">
        <v>36</v>
      </c>
      <c r="L99" s="16" t="s">
        <v>36</v>
      </c>
      <c r="M99" s="16" t="s">
        <v>36</v>
      </c>
      <c r="N99" s="16">
        <v>85.890165999999979</v>
      </c>
      <c r="O99" s="16">
        <v>23.280347999999996</v>
      </c>
      <c r="P99" s="1">
        <v>35.609270931065133</v>
      </c>
      <c r="Q99" s="3">
        <v>0.28000000000000003</v>
      </c>
      <c r="R99" s="17">
        <v>13.412000000000001</v>
      </c>
      <c r="S99" s="17" t="s">
        <v>36</v>
      </c>
      <c r="T99" s="17">
        <v>25.081000000000007</v>
      </c>
      <c r="U99" s="17">
        <v>38.076999999999991</v>
      </c>
      <c r="V99" s="17">
        <v>70.813000000000002</v>
      </c>
      <c r="W99" s="17">
        <v>330.16100000000006</v>
      </c>
      <c r="X99" s="17" t="s">
        <v>36</v>
      </c>
      <c r="Y99" s="17" t="s">
        <v>36</v>
      </c>
      <c r="Z99" s="17" t="s">
        <v>36</v>
      </c>
      <c r="AA99" s="17">
        <v>8.5619999999999994</v>
      </c>
      <c r="AB99" s="17">
        <v>7.7830000000000013</v>
      </c>
      <c r="AC99" s="17">
        <v>42.517000000000003</v>
      </c>
      <c r="AD99" s="1">
        <f t="shared" si="5"/>
        <v>536.40600000000006</v>
      </c>
    </row>
    <row r="100" spans="1:30" ht="15">
      <c r="A100" s="2">
        <v>94</v>
      </c>
      <c r="B100" s="13" t="s">
        <v>129</v>
      </c>
      <c r="C100" s="1">
        <f t="shared" si="4"/>
        <v>221.70042006558398</v>
      </c>
      <c r="D100" s="16" t="s">
        <v>36</v>
      </c>
      <c r="E100" s="16" t="s">
        <v>36</v>
      </c>
      <c r="F100" s="16">
        <v>68.326183</v>
      </c>
      <c r="G100" s="16">
        <v>87.00889699999999</v>
      </c>
      <c r="H100" s="16">
        <v>27.809537999999996</v>
      </c>
      <c r="I100" s="1">
        <v>38.555802065583983</v>
      </c>
      <c r="J100" s="3">
        <v>0.33</v>
      </c>
      <c r="K100" s="16" t="s">
        <v>36</v>
      </c>
      <c r="L100" s="16" t="s">
        <v>36</v>
      </c>
      <c r="M100" s="16" t="s">
        <v>36</v>
      </c>
      <c r="N100" s="16" t="s">
        <v>36</v>
      </c>
      <c r="O100" s="16" t="s">
        <v>36</v>
      </c>
      <c r="P100" s="1">
        <v>0</v>
      </c>
      <c r="Q100" s="3">
        <v>0.12</v>
      </c>
      <c r="R100" s="17" t="s">
        <v>36</v>
      </c>
      <c r="S100" s="17" t="s">
        <v>36</v>
      </c>
      <c r="T100" s="17">
        <v>28.818999999999999</v>
      </c>
      <c r="U100" s="17">
        <v>88.956999999999994</v>
      </c>
      <c r="V100" s="17">
        <v>65.737999999999985</v>
      </c>
      <c r="W100" s="17">
        <v>276.18399999999997</v>
      </c>
      <c r="X100" s="17" t="s">
        <v>36</v>
      </c>
      <c r="Y100" s="17" t="s">
        <v>36</v>
      </c>
      <c r="Z100" s="17" t="s">
        <v>36</v>
      </c>
      <c r="AA100" s="17" t="s">
        <v>36</v>
      </c>
      <c r="AB100" s="17" t="s">
        <v>36</v>
      </c>
      <c r="AC100" s="17" t="s">
        <v>36</v>
      </c>
      <c r="AD100" s="1">
        <f t="shared" si="5"/>
        <v>459.69799999999998</v>
      </c>
    </row>
    <row r="101" spans="1:30" ht="15">
      <c r="A101" s="2">
        <v>95</v>
      </c>
      <c r="B101" s="13" t="s">
        <v>130</v>
      </c>
      <c r="C101" s="1">
        <f t="shared" ref="C101:C126" si="6">SUM(D101:I101)+SUM(K101:P101)</f>
        <v>112.25562230977489</v>
      </c>
      <c r="D101" s="16" t="s">
        <v>36</v>
      </c>
      <c r="E101" s="16" t="s">
        <v>36</v>
      </c>
      <c r="F101" s="16">
        <v>18.033258999999997</v>
      </c>
      <c r="G101" s="16">
        <v>59.041262000000003</v>
      </c>
      <c r="H101" s="16">
        <v>14.235966999999999</v>
      </c>
      <c r="I101" s="1">
        <v>20.94513430977489</v>
      </c>
      <c r="J101" s="3">
        <v>0.33</v>
      </c>
      <c r="K101" s="16" t="s">
        <v>36</v>
      </c>
      <c r="L101" s="16" t="s">
        <v>36</v>
      </c>
      <c r="M101" s="16" t="s">
        <v>36</v>
      </c>
      <c r="N101" s="16" t="s">
        <v>36</v>
      </c>
      <c r="O101" s="16" t="s">
        <v>36</v>
      </c>
      <c r="P101" s="1">
        <v>0</v>
      </c>
      <c r="Q101" s="3">
        <v>0.12</v>
      </c>
      <c r="R101" s="17" t="s">
        <v>36</v>
      </c>
      <c r="S101" s="17" t="s">
        <v>36</v>
      </c>
      <c r="T101" s="17">
        <v>14.286</v>
      </c>
      <c r="U101" s="17">
        <v>41.036000000000001</v>
      </c>
      <c r="V101" s="17">
        <v>46.021999999999998</v>
      </c>
      <c r="W101" s="17">
        <v>205.18600000000001</v>
      </c>
      <c r="X101" s="17" t="s">
        <v>36</v>
      </c>
      <c r="Y101" s="17" t="s">
        <v>36</v>
      </c>
      <c r="Z101" s="17" t="s">
        <v>36</v>
      </c>
      <c r="AA101" s="17" t="s">
        <v>36</v>
      </c>
      <c r="AB101" s="17" t="s">
        <v>36</v>
      </c>
      <c r="AC101" s="17" t="s">
        <v>36</v>
      </c>
      <c r="AD101" s="1">
        <f t="shared" si="5"/>
        <v>306.52999999999997</v>
      </c>
    </row>
    <row r="102" spans="1:30" ht="15">
      <c r="A102" s="2">
        <v>96</v>
      </c>
      <c r="B102" s="13" t="s">
        <v>131</v>
      </c>
      <c r="C102" s="1">
        <f t="shared" si="6"/>
        <v>329.27185006824004</v>
      </c>
      <c r="D102" s="16" t="s">
        <v>36</v>
      </c>
      <c r="E102" s="16">
        <v>31.197410000000001</v>
      </c>
      <c r="F102" s="16">
        <v>116.068335</v>
      </c>
      <c r="G102" s="16">
        <v>46.448651999999996</v>
      </c>
      <c r="H102" s="16">
        <v>60.58235100000001</v>
      </c>
      <c r="I102" s="1">
        <v>74.97510206824002</v>
      </c>
      <c r="J102" s="3">
        <v>0.33</v>
      </c>
      <c r="K102" s="16" t="s">
        <v>36</v>
      </c>
      <c r="L102" s="16" t="s">
        <v>36</v>
      </c>
      <c r="M102" s="16" t="s">
        <v>36</v>
      </c>
      <c r="N102" s="16" t="s">
        <v>36</v>
      </c>
      <c r="O102" s="16" t="s">
        <v>36</v>
      </c>
      <c r="P102" s="1">
        <v>0</v>
      </c>
      <c r="Q102" s="3">
        <v>0.12</v>
      </c>
      <c r="R102" s="17" t="s">
        <v>36</v>
      </c>
      <c r="S102" s="17">
        <v>4.3390000000000004</v>
      </c>
      <c r="T102" s="17">
        <v>19.422000000000001</v>
      </c>
      <c r="U102" s="17">
        <v>43.807000000000009</v>
      </c>
      <c r="V102" s="17">
        <v>78.75</v>
      </c>
      <c r="W102" s="17">
        <v>295.33</v>
      </c>
      <c r="X102" s="17" t="s">
        <v>36</v>
      </c>
      <c r="Y102" s="17" t="s">
        <v>36</v>
      </c>
      <c r="Z102" s="17" t="s">
        <v>36</v>
      </c>
      <c r="AA102" s="17" t="s">
        <v>36</v>
      </c>
      <c r="AB102" s="17" t="s">
        <v>36</v>
      </c>
      <c r="AC102" s="17" t="s">
        <v>36</v>
      </c>
      <c r="AD102" s="1">
        <f t="shared" si="5"/>
        <v>441.64800000000002</v>
      </c>
    </row>
    <row r="103" spans="1:30" ht="15">
      <c r="A103" s="2">
        <v>97</v>
      </c>
      <c r="B103" s="13" t="s">
        <v>132</v>
      </c>
      <c r="C103" s="1">
        <f t="shared" si="6"/>
        <v>958.44095059062136</v>
      </c>
      <c r="D103" s="16" t="s">
        <v>36</v>
      </c>
      <c r="E103" s="16">
        <v>317.39390099999997</v>
      </c>
      <c r="F103" s="16" t="s">
        <v>36</v>
      </c>
      <c r="G103" s="16">
        <v>192.51761599999995</v>
      </c>
      <c r="H103" s="16">
        <v>97.622754</v>
      </c>
      <c r="I103" s="1">
        <v>115.25256049426388</v>
      </c>
      <c r="J103" s="3">
        <v>0.33</v>
      </c>
      <c r="K103" s="16" t="s">
        <v>36</v>
      </c>
      <c r="L103" s="16" t="s">
        <v>36</v>
      </c>
      <c r="M103" s="16">
        <v>125.20605300000001</v>
      </c>
      <c r="N103" s="16">
        <v>76.691029999999998</v>
      </c>
      <c r="O103" s="16">
        <v>18.247818000000002</v>
      </c>
      <c r="P103" s="1">
        <v>15.509218096357545</v>
      </c>
      <c r="Q103" s="3">
        <v>0.12</v>
      </c>
      <c r="R103" s="17" t="s">
        <v>36</v>
      </c>
      <c r="S103" s="17">
        <v>33.739000000000004</v>
      </c>
      <c r="T103" s="17" t="s">
        <v>36</v>
      </c>
      <c r="U103" s="17">
        <v>82.308999999999997</v>
      </c>
      <c r="V103" s="17">
        <v>94.694999999999993</v>
      </c>
      <c r="W103" s="17">
        <v>338.7759999999999</v>
      </c>
      <c r="X103" s="17" t="s">
        <v>36</v>
      </c>
      <c r="Y103" s="17" t="s">
        <v>36</v>
      </c>
      <c r="Z103" s="17">
        <v>7.4540000000000006</v>
      </c>
      <c r="AA103" s="17">
        <v>10.655999999999999</v>
      </c>
      <c r="AB103" s="17">
        <v>4.4749999999999996</v>
      </c>
      <c r="AC103" s="17">
        <v>31.695</v>
      </c>
      <c r="AD103" s="1">
        <f t="shared" ref="AD103:AD126" si="7">SUM(R103:AC103)</f>
        <v>603.79899999999986</v>
      </c>
    </row>
    <row r="104" spans="1:30" ht="15">
      <c r="A104" s="2">
        <v>98</v>
      </c>
      <c r="B104" s="13" t="s">
        <v>133</v>
      </c>
      <c r="C104" s="1">
        <f t="shared" si="6"/>
        <v>2272.7022631778609</v>
      </c>
      <c r="D104" s="16" t="s">
        <v>36</v>
      </c>
      <c r="E104" s="16">
        <v>885.17142899999999</v>
      </c>
      <c r="F104" s="16" t="s">
        <v>36</v>
      </c>
      <c r="G104" s="16">
        <v>450.11241300000006</v>
      </c>
      <c r="H104" s="16">
        <v>296.13316599999996</v>
      </c>
      <c r="I104" s="1">
        <v>378.07225275368978</v>
      </c>
      <c r="J104" s="3">
        <v>0.33</v>
      </c>
      <c r="K104" s="16" t="s">
        <v>36</v>
      </c>
      <c r="L104" s="16" t="s">
        <v>36</v>
      </c>
      <c r="M104" s="16">
        <v>155.86362199999999</v>
      </c>
      <c r="N104" s="16">
        <v>87.473460999999986</v>
      </c>
      <c r="O104" s="16">
        <v>15.238544999999998</v>
      </c>
      <c r="P104" s="1">
        <v>4.6373744241714094</v>
      </c>
      <c r="Q104" s="3">
        <v>0.12</v>
      </c>
      <c r="R104" s="17" t="s">
        <v>36</v>
      </c>
      <c r="S104" s="17">
        <v>80.319999999999993</v>
      </c>
      <c r="T104" s="17" t="s">
        <v>36</v>
      </c>
      <c r="U104" s="17">
        <v>138.65700000000001</v>
      </c>
      <c r="V104" s="17">
        <v>178.4610000000001</v>
      </c>
      <c r="W104" s="17">
        <v>690.42599999999993</v>
      </c>
      <c r="X104" s="17" t="s">
        <v>36</v>
      </c>
      <c r="Y104" s="17" t="s">
        <v>36</v>
      </c>
      <c r="Z104" s="17">
        <v>6.1329999999999991</v>
      </c>
      <c r="AA104" s="17">
        <v>10.818000000000001</v>
      </c>
      <c r="AB104" s="17">
        <v>5.9739999999999993</v>
      </c>
      <c r="AC104" s="17">
        <v>15.15</v>
      </c>
      <c r="AD104" s="1">
        <f t="shared" si="7"/>
        <v>1125.9390000000001</v>
      </c>
    </row>
    <row r="105" spans="1:30" ht="15">
      <c r="A105" s="2">
        <v>99</v>
      </c>
      <c r="B105" s="13" t="s">
        <v>134</v>
      </c>
      <c r="C105" s="1">
        <f t="shared" si="6"/>
        <v>480.25963132793362</v>
      </c>
      <c r="D105" s="16" t="s">
        <v>36</v>
      </c>
      <c r="E105" s="16">
        <v>246.795402</v>
      </c>
      <c r="F105" s="16">
        <v>9.4322100000000013</v>
      </c>
      <c r="G105" s="16">
        <v>147.55000000000001</v>
      </c>
      <c r="H105" s="16">
        <v>35.909824</v>
      </c>
      <c r="I105" s="1">
        <v>40.572195327933585</v>
      </c>
      <c r="J105" s="3">
        <v>0.33</v>
      </c>
      <c r="K105" s="16" t="s">
        <v>36</v>
      </c>
      <c r="L105" s="16" t="s">
        <v>36</v>
      </c>
      <c r="M105" s="16" t="s">
        <v>36</v>
      </c>
      <c r="N105" s="16" t="s">
        <v>36</v>
      </c>
      <c r="O105" s="16" t="s">
        <v>36</v>
      </c>
      <c r="P105" s="1">
        <v>0</v>
      </c>
      <c r="Q105" s="3">
        <v>0.12</v>
      </c>
      <c r="R105" s="17" t="s">
        <v>36</v>
      </c>
      <c r="S105" s="17">
        <v>24.087</v>
      </c>
      <c r="T105" s="17">
        <v>3.504</v>
      </c>
      <c r="U105" s="17">
        <v>49.791999999999994</v>
      </c>
      <c r="V105" s="17">
        <v>57.825000000000003</v>
      </c>
      <c r="W105" s="17">
        <v>197.97799999999998</v>
      </c>
      <c r="X105" s="17" t="s">
        <v>36</v>
      </c>
      <c r="Y105" s="17" t="s">
        <v>36</v>
      </c>
      <c r="Z105" s="17" t="s">
        <v>36</v>
      </c>
      <c r="AA105" s="17" t="s">
        <v>36</v>
      </c>
      <c r="AB105" s="17" t="s">
        <v>36</v>
      </c>
      <c r="AC105" s="17" t="s">
        <v>36</v>
      </c>
      <c r="AD105" s="1">
        <f t="shared" si="7"/>
        <v>333.18599999999998</v>
      </c>
    </row>
    <row r="106" spans="1:30" ht="15">
      <c r="A106" s="2">
        <v>100</v>
      </c>
      <c r="B106" s="13" t="s">
        <v>135</v>
      </c>
      <c r="C106" s="1">
        <f t="shared" si="6"/>
        <v>1652.1367669776096</v>
      </c>
      <c r="D106" s="16" t="s">
        <v>36</v>
      </c>
      <c r="E106" s="16">
        <v>513.36691299999995</v>
      </c>
      <c r="F106" s="16">
        <v>39.972371999999993</v>
      </c>
      <c r="G106" s="16">
        <v>212.69409900000002</v>
      </c>
      <c r="H106" s="16">
        <v>92.228934999999993</v>
      </c>
      <c r="I106" s="1">
        <v>246.68929283925183</v>
      </c>
      <c r="J106" s="3">
        <v>0.33</v>
      </c>
      <c r="K106" s="16" t="s">
        <v>36</v>
      </c>
      <c r="L106" s="16">
        <v>12.530912000000001</v>
      </c>
      <c r="M106" s="16">
        <v>304.98306999999994</v>
      </c>
      <c r="N106" s="16">
        <v>101.68380400000001</v>
      </c>
      <c r="O106" s="16">
        <v>64.986241000000007</v>
      </c>
      <c r="P106" s="1">
        <v>63.001128138357913</v>
      </c>
      <c r="Q106" s="3">
        <v>0.12</v>
      </c>
      <c r="R106" s="17" t="s">
        <v>36</v>
      </c>
      <c r="S106" s="17">
        <v>68.533999999999978</v>
      </c>
      <c r="T106" s="17">
        <v>4.1689999999999996</v>
      </c>
      <c r="U106" s="17">
        <v>96.194999999999993</v>
      </c>
      <c r="V106" s="17">
        <v>135.04099999999994</v>
      </c>
      <c r="W106" s="17">
        <v>1094.5479999999998</v>
      </c>
      <c r="X106" s="17" t="s">
        <v>36</v>
      </c>
      <c r="Y106" s="17">
        <v>1.3120000000000001</v>
      </c>
      <c r="Z106" s="17">
        <v>13.716000000000001</v>
      </c>
      <c r="AA106" s="17">
        <v>15.31</v>
      </c>
      <c r="AB106" s="17">
        <v>9.6220000000000017</v>
      </c>
      <c r="AC106" s="17">
        <v>77.733999999999995</v>
      </c>
      <c r="AD106" s="1">
        <f t="shared" si="7"/>
        <v>1516.1809999999994</v>
      </c>
    </row>
    <row r="107" spans="1:30" ht="15">
      <c r="A107" s="2">
        <v>101</v>
      </c>
      <c r="B107" s="13" t="s">
        <v>136</v>
      </c>
      <c r="C107" s="1">
        <f t="shared" si="6"/>
        <v>40.577267324495288</v>
      </c>
      <c r="D107" s="16" t="s">
        <v>36</v>
      </c>
      <c r="E107" s="16">
        <v>4.0167199999999994</v>
      </c>
      <c r="F107" s="16" t="s">
        <v>36</v>
      </c>
      <c r="G107" s="16">
        <v>23.346857</v>
      </c>
      <c r="H107" s="16">
        <v>7.3034940000000006</v>
      </c>
      <c r="I107" s="1">
        <v>5.9101963244952893</v>
      </c>
      <c r="J107" s="3">
        <v>0.33</v>
      </c>
      <c r="K107" s="16" t="s">
        <v>36</v>
      </c>
      <c r="L107" s="16" t="s">
        <v>36</v>
      </c>
      <c r="M107" s="16" t="s">
        <v>36</v>
      </c>
      <c r="N107" s="16" t="s">
        <v>36</v>
      </c>
      <c r="O107" s="16" t="s">
        <v>36</v>
      </c>
      <c r="P107" s="1">
        <v>0</v>
      </c>
      <c r="Q107" s="3">
        <v>0.12</v>
      </c>
      <c r="R107" s="17" t="s">
        <v>36</v>
      </c>
      <c r="S107" s="17">
        <v>1.357</v>
      </c>
      <c r="T107" s="17" t="s">
        <v>36</v>
      </c>
      <c r="U107" s="17">
        <v>32.218999999999994</v>
      </c>
      <c r="V107" s="17">
        <v>32.474000000000004</v>
      </c>
      <c r="W107" s="17">
        <v>79.63300000000001</v>
      </c>
      <c r="X107" s="17" t="s">
        <v>36</v>
      </c>
      <c r="Y107" s="17" t="s">
        <v>36</v>
      </c>
      <c r="Z107" s="17" t="s">
        <v>36</v>
      </c>
      <c r="AA107" s="17" t="s">
        <v>36</v>
      </c>
      <c r="AB107" s="17" t="s">
        <v>36</v>
      </c>
      <c r="AC107" s="17" t="s">
        <v>36</v>
      </c>
      <c r="AD107" s="1">
        <f t="shared" si="7"/>
        <v>145.68299999999999</v>
      </c>
    </row>
    <row r="108" spans="1:30" ht="15">
      <c r="A108" s="2">
        <v>102</v>
      </c>
      <c r="B108" s="13" t="s">
        <v>137</v>
      </c>
      <c r="C108" s="1">
        <f t="shared" si="6"/>
        <v>1234.645478983186</v>
      </c>
      <c r="D108" s="16">
        <v>839.5308</v>
      </c>
      <c r="E108" s="16">
        <v>73.888919999999999</v>
      </c>
      <c r="F108" s="16">
        <v>90.853715999999991</v>
      </c>
      <c r="G108" s="16">
        <v>91.068638999999976</v>
      </c>
      <c r="H108" s="16">
        <v>47.900624999999998</v>
      </c>
      <c r="I108" s="1">
        <v>91.402778983185939</v>
      </c>
      <c r="J108" s="3">
        <v>0.33</v>
      </c>
      <c r="K108" s="16" t="s">
        <v>36</v>
      </c>
      <c r="L108" s="16" t="s">
        <v>36</v>
      </c>
      <c r="M108" s="16" t="s">
        <v>36</v>
      </c>
      <c r="N108" s="16" t="s">
        <v>36</v>
      </c>
      <c r="O108" s="16" t="s">
        <v>36</v>
      </c>
      <c r="P108" s="1">
        <v>0</v>
      </c>
      <c r="Q108" s="3">
        <v>0.12</v>
      </c>
      <c r="R108" s="17">
        <v>22.641000000000002</v>
      </c>
      <c r="S108" s="17">
        <v>10.064</v>
      </c>
      <c r="T108" s="17">
        <v>14.366</v>
      </c>
      <c r="U108" s="17">
        <v>51.228999999999992</v>
      </c>
      <c r="V108" s="17">
        <v>75.427999999999997</v>
      </c>
      <c r="W108" s="17">
        <v>436.15099999999995</v>
      </c>
      <c r="X108" s="17" t="s">
        <v>36</v>
      </c>
      <c r="Y108" s="17" t="s">
        <v>36</v>
      </c>
      <c r="Z108" s="17" t="s">
        <v>36</v>
      </c>
      <c r="AA108" s="17" t="s">
        <v>36</v>
      </c>
      <c r="AB108" s="17" t="s">
        <v>36</v>
      </c>
      <c r="AC108" s="17" t="s">
        <v>36</v>
      </c>
      <c r="AD108" s="1">
        <f t="shared" si="7"/>
        <v>609.87899999999991</v>
      </c>
    </row>
    <row r="109" spans="1:30" ht="15">
      <c r="A109" s="2">
        <v>103</v>
      </c>
      <c r="B109" s="13" t="s">
        <v>138</v>
      </c>
      <c r="C109" s="1">
        <f t="shared" si="6"/>
        <v>814.91564577799863</v>
      </c>
      <c r="D109" s="16">
        <v>256.64623399999999</v>
      </c>
      <c r="E109" s="16" t="s">
        <v>36</v>
      </c>
      <c r="F109" s="16">
        <v>43.402344999999997</v>
      </c>
      <c r="G109" s="16">
        <v>197.30257399999999</v>
      </c>
      <c r="H109" s="16">
        <v>39.684302000000002</v>
      </c>
      <c r="I109" s="1">
        <v>74.579875390968823</v>
      </c>
      <c r="J109" s="3">
        <v>0.33</v>
      </c>
      <c r="K109" s="16">
        <v>24.83343</v>
      </c>
      <c r="L109" s="16" t="s">
        <v>36</v>
      </c>
      <c r="M109" s="16">
        <v>104.08354799999999</v>
      </c>
      <c r="N109" s="16">
        <v>30.360766999999999</v>
      </c>
      <c r="O109" s="16">
        <v>23.144952999999997</v>
      </c>
      <c r="P109" s="1">
        <v>20.877617387029819</v>
      </c>
      <c r="Q109" s="3">
        <v>0.12</v>
      </c>
      <c r="R109" s="17">
        <v>18.18</v>
      </c>
      <c r="S109" s="17" t="s">
        <v>36</v>
      </c>
      <c r="T109" s="17">
        <v>5.2009999999999996</v>
      </c>
      <c r="U109" s="17">
        <v>71.686999999999998</v>
      </c>
      <c r="V109" s="17">
        <v>45.571000000000005</v>
      </c>
      <c r="W109" s="17">
        <v>259.52400000000006</v>
      </c>
      <c r="X109" s="17">
        <v>1.53</v>
      </c>
      <c r="Y109" s="17" t="s">
        <v>36</v>
      </c>
      <c r="Z109" s="17">
        <v>5.3939999999999992</v>
      </c>
      <c r="AA109" s="17">
        <v>4.9130000000000003</v>
      </c>
      <c r="AB109" s="17">
        <v>5.8009999999999993</v>
      </c>
      <c r="AC109" s="17">
        <v>43.605999999999987</v>
      </c>
      <c r="AD109" s="1">
        <f t="shared" si="7"/>
        <v>461.40700000000004</v>
      </c>
    </row>
    <row r="110" spans="1:30" ht="15">
      <c r="A110" s="2">
        <v>104</v>
      </c>
      <c r="B110" s="13" t="s">
        <v>139</v>
      </c>
      <c r="C110" s="1">
        <f t="shared" si="6"/>
        <v>525.80835698210706</v>
      </c>
      <c r="D110" s="16" t="s">
        <v>36</v>
      </c>
      <c r="E110" s="16">
        <v>206.40185699999998</v>
      </c>
      <c r="F110" s="16" t="s">
        <v>36</v>
      </c>
      <c r="G110" s="16">
        <v>108.023083</v>
      </c>
      <c r="H110" s="16">
        <v>76.245675000000006</v>
      </c>
      <c r="I110" s="1">
        <v>135.13774198210703</v>
      </c>
      <c r="J110" s="3">
        <v>0.33</v>
      </c>
      <c r="K110" s="16" t="s">
        <v>36</v>
      </c>
      <c r="L110" s="16" t="s">
        <v>36</v>
      </c>
      <c r="M110" s="16" t="s">
        <v>36</v>
      </c>
      <c r="N110" s="16" t="s">
        <v>36</v>
      </c>
      <c r="O110" s="16" t="s">
        <v>36</v>
      </c>
      <c r="P110" s="1">
        <v>0</v>
      </c>
      <c r="Q110" s="3">
        <v>0.12</v>
      </c>
      <c r="R110" s="17" t="s">
        <v>36</v>
      </c>
      <c r="S110" s="17">
        <v>41.253999999999998</v>
      </c>
      <c r="T110" s="17" t="s">
        <v>36</v>
      </c>
      <c r="U110" s="17">
        <v>44.998000000000005</v>
      </c>
      <c r="V110" s="17">
        <v>74.275000000000006</v>
      </c>
      <c r="W110" s="17">
        <v>398.92399999999998</v>
      </c>
      <c r="X110" s="17" t="s">
        <v>36</v>
      </c>
      <c r="Y110" s="17" t="s">
        <v>36</v>
      </c>
      <c r="Z110" s="17" t="s">
        <v>36</v>
      </c>
      <c r="AA110" s="17" t="s">
        <v>36</v>
      </c>
      <c r="AB110" s="17" t="s">
        <v>36</v>
      </c>
      <c r="AC110" s="17" t="s">
        <v>36</v>
      </c>
      <c r="AD110" s="1">
        <f t="shared" si="7"/>
        <v>559.45100000000002</v>
      </c>
    </row>
    <row r="111" spans="1:30" ht="15">
      <c r="A111" s="2">
        <v>105</v>
      </c>
      <c r="B111" s="13" t="s">
        <v>140</v>
      </c>
      <c r="C111" s="1">
        <f t="shared" si="6"/>
        <v>1933.8923300143226</v>
      </c>
      <c r="D111" s="16">
        <v>1067.6180879999999</v>
      </c>
      <c r="E111" s="16">
        <v>12.632490000000002</v>
      </c>
      <c r="F111" s="16">
        <v>82.463406000000006</v>
      </c>
      <c r="G111" s="16">
        <v>163.057277</v>
      </c>
      <c r="H111" s="16">
        <v>72.497062</v>
      </c>
      <c r="I111" s="1">
        <v>117.46095680730704</v>
      </c>
      <c r="J111" s="3">
        <v>0.33</v>
      </c>
      <c r="K111" s="16">
        <v>124.30475200000001</v>
      </c>
      <c r="L111" s="16" t="s">
        <v>36</v>
      </c>
      <c r="M111" s="16">
        <v>126.59289200000001</v>
      </c>
      <c r="N111" s="16">
        <v>124.11319799999998</v>
      </c>
      <c r="O111" s="16">
        <v>22.461493999999998</v>
      </c>
      <c r="P111" s="1">
        <v>20.690714207015787</v>
      </c>
      <c r="Q111" s="3">
        <v>0.12</v>
      </c>
      <c r="R111" s="17">
        <v>23.65</v>
      </c>
      <c r="S111" s="17">
        <v>2.3010000000000002</v>
      </c>
      <c r="T111" s="17">
        <v>14.882</v>
      </c>
      <c r="U111" s="17">
        <v>57.053999999999988</v>
      </c>
      <c r="V111" s="17">
        <v>59.643999999999998</v>
      </c>
      <c r="W111" s="17">
        <v>292.83699999999999</v>
      </c>
      <c r="X111" s="17">
        <v>2.6909999999999998</v>
      </c>
      <c r="Y111" s="17" t="s">
        <v>36</v>
      </c>
      <c r="Z111" s="17">
        <v>9.19</v>
      </c>
      <c r="AA111" s="17">
        <v>11.639000000000003</v>
      </c>
      <c r="AB111" s="17">
        <v>7.2180000000000017</v>
      </c>
      <c r="AC111" s="17">
        <v>55.408000000000001</v>
      </c>
      <c r="AD111" s="1">
        <f t="shared" si="7"/>
        <v>536.5139999999999</v>
      </c>
    </row>
    <row r="112" spans="1:30" ht="15">
      <c r="A112" s="2">
        <v>106</v>
      </c>
      <c r="B112" s="13" t="s">
        <v>141</v>
      </c>
      <c r="C112" s="1">
        <f t="shared" si="6"/>
        <v>1501.4394124181592</v>
      </c>
      <c r="D112" s="16">
        <v>841.57993899999997</v>
      </c>
      <c r="E112" s="16" t="s">
        <v>36</v>
      </c>
      <c r="F112" s="16">
        <v>160.05374499999999</v>
      </c>
      <c r="G112" s="16">
        <v>139.83433499999998</v>
      </c>
      <c r="H112" s="16">
        <v>82.576383999999976</v>
      </c>
      <c r="I112" s="1">
        <v>67.827565874520687</v>
      </c>
      <c r="J112" s="3">
        <v>0.33</v>
      </c>
      <c r="K112" s="16" t="s">
        <v>36</v>
      </c>
      <c r="L112" s="16" t="s">
        <v>36</v>
      </c>
      <c r="M112" s="16">
        <v>161.92986199999999</v>
      </c>
      <c r="N112" s="16">
        <v>9.2182439999999986</v>
      </c>
      <c r="O112" s="16">
        <v>25.021309000000002</v>
      </c>
      <c r="P112" s="1">
        <v>13.398028543638761</v>
      </c>
      <c r="Q112" s="3">
        <v>0.12</v>
      </c>
      <c r="R112" s="17">
        <v>22.329000000000001</v>
      </c>
      <c r="S112" s="17" t="s">
        <v>36</v>
      </c>
      <c r="T112" s="17">
        <v>27.771999999999998</v>
      </c>
      <c r="U112" s="17">
        <v>57.783000000000008</v>
      </c>
      <c r="V112" s="17">
        <v>111.854</v>
      </c>
      <c r="W112" s="17">
        <v>278.41199999999998</v>
      </c>
      <c r="X112" s="17" t="s">
        <v>36</v>
      </c>
      <c r="Y112" s="17" t="s">
        <v>36</v>
      </c>
      <c r="Z112" s="17">
        <v>11.578000000000001</v>
      </c>
      <c r="AA112" s="17">
        <v>1.7619999999999998</v>
      </c>
      <c r="AB112" s="17">
        <v>9.1020000000000003</v>
      </c>
      <c r="AC112" s="17">
        <v>40.615000000000002</v>
      </c>
      <c r="AD112" s="1">
        <f t="shared" si="7"/>
        <v>561.20699999999999</v>
      </c>
    </row>
    <row r="113" spans="1:30" ht="15">
      <c r="A113" s="2">
        <v>107</v>
      </c>
      <c r="B113" s="13" t="s">
        <v>142</v>
      </c>
      <c r="C113" s="1">
        <f t="shared" si="6"/>
        <v>842.59019352827397</v>
      </c>
      <c r="D113" s="16">
        <v>452.76606900000002</v>
      </c>
      <c r="E113" s="16" t="s">
        <v>36</v>
      </c>
      <c r="F113" s="16">
        <v>38.916399999999996</v>
      </c>
      <c r="G113" s="16">
        <v>115.298675</v>
      </c>
      <c r="H113" s="16">
        <v>39.326607000000003</v>
      </c>
      <c r="I113" s="1">
        <v>55.953418077637544</v>
      </c>
      <c r="J113" s="3">
        <v>0.33</v>
      </c>
      <c r="K113" s="16" t="s">
        <v>36</v>
      </c>
      <c r="L113" s="16" t="s">
        <v>36</v>
      </c>
      <c r="M113" s="16" t="s">
        <v>36</v>
      </c>
      <c r="N113" s="16">
        <v>76.00328300000001</v>
      </c>
      <c r="O113" s="16">
        <v>45.455967999999984</v>
      </c>
      <c r="P113" s="1">
        <v>18.869773450636313</v>
      </c>
      <c r="Q113" s="3">
        <v>0.12</v>
      </c>
      <c r="R113" s="17">
        <v>13.711</v>
      </c>
      <c r="S113" s="17" t="s">
        <v>36</v>
      </c>
      <c r="T113" s="17">
        <v>4.8319999999999999</v>
      </c>
      <c r="U113" s="17">
        <v>46.833999999999989</v>
      </c>
      <c r="V113" s="17">
        <v>68.268000000000001</v>
      </c>
      <c r="W113" s="17">
        <v>294.33599999999996</v>
      </c>
      <c r="X113" s="17" t="s">
        <v>36</v>
      </c>
      <c r="Y113" s="17" t="s">
        <v>36</v>
      </c>
      <c r="Z113" s="17" t="s">
        <v>36</v>
      </c>
      <c r="AA113" s="17">
        <v>12.43</v>
      </c>
      <c r="AB113" s="17">
        <v>13.358000000000002</v>
      </c>
      <c r="AC113" s="17">
        <v>46.21</v>
      </c>
      <c r="AD113" s="1">
        <f t="shared" si="7"/>
        <v>499.97899999999993</v>
      </c>
    </row>
    <row r="114" spans="1:30" ht="15">
      <c r="A114" s="2">
        <v>108</v>
      </c>
      <c r="B114" s="13" t="s">
        <v>143</v>
      </c>
      <c r="C114" s="1">
        <f t="shared" si="6"/>
        <v>286.16340960808924</v>
      </c>
      <c r="D114" s="16" t="s">
        <v>36</v>
      </c>
      <c r="E114" s="16" t="s">
        <v>36</v>
      </c>
      <c r="F114" s="16">
        <v>97.221098999999981</v>
      </c>
      <c r="G114" s="16">
        <v>111.72691699999997</v>
      </c>
      <c r="H114" s="16">
        <v>35.112284999999993</v>
      </c>
      <c r="I114" s="1">
        <v>42.103108608089293</v>
      </c>
      <c r="J114" s="3">
        <v>0.33</v>
      </c>
      <c r="K114" s="16" t="s">
        <v>36</v>
      </c>
      <c r="L114" s="16" t="s">
        <v>36</v>
      </c>
      <c r="M114" s="16" t="s">
        <v>36</v>
      </c>
      <c r="N114" s="16" t="s">
        <v>36</v>
      </c>
      <c r="O114" s="16" t="s">
        <v>36</v>
      </c>
      <c r="P114" s="1">
        <v>0</v>
      </c>
      <c r="Q114" s="3">
        <v>0.12</v>
      </c>
      <c r="R114" s="17" t="s">
        <v>36</v>
      </c>
      <c r="S114" s="17" t="s">
        <v>36</v>
      </c>
      <c r="T114" s="17">
        <v>12.05</v>
      </c>
      <c r="U114" s="17">
        <v>43.332000000000008</v>
      </c>
      <c r="V114" s="17">
        <v>49.516000000000005</v>
      </c>
      <c r="W114" s="17">
        <v>179.92300000000003</v>
      </c>
      <c r="X114" s="17" t="s">
        <v>36</v>
      </c>
      <c r="Y114" s="17" t="s">
        <v>36</v>
      </c>
      <c r="Z114" s="17" t="s">
        <v>36</v>
      </c>
      <c r="AA114" s="17" t="s">
        <v>36</v>
      </c>
      <c r="AB114" s="17" t="s">
        <v>36</v>
      </c>
      <c r="AC114" s="17" t="s">
        <v>36</v>
      </c>
      <c r="AD114" s="1">
        <f t="shared" si="7"/>
        <v>284.82100000000003</v>
      </c>
    </row>
    <row r="115" spans="1:30" ht="15">
      <c r="A115" s="2">
        <v>109</v>
      </c>
      <c r="B115" s="13" t="s">
        <v>144</v>
      </c>
      <c r="C115" s="1">
        <f t="shared" si="6"/>
        <v>556.995827213035</v>
      </c>
      <c r="D115" s="16" t="s">
        <v>36</v>
      </c>
      <c r="E115" s="16">
        <v>108.603335</v>
      </c>
      <c r="F115" s="16" t="s">
        <v>36</v>
      </c>
      <c r="G115" s="16">
        <v>135.571674</v>
      </c>
      <c r="H115" s="16">
        <v>48.739179000000007</v>
      </c>
      <c r="I115" s="1">
        <v>77.316310893764822</v>
      </c>
      <c r="J115" s="3">
        <v>0.33</v>
      </c>
      <c r="K115" s="16" t="s">
        <v>36</v>
      </c>
      <c r="L115" s="16" t="s">
        <v>36</v>
      </c>
      <c r="M115" s="16">
        <v>62.87003</v>
      </c>
      <c r="N115" s="16">
        <v>82.354801000000009</v>
      </c>
      <c r="O115" s="16">
        <v>29.308943000000003</v>
      </c>
      <c r="P115" s="1">
        <v>12.23155431927024</v>
      </c>
      <c r="Q115" s="3">
        <v>0.12</v>
      </c>
      <c r="R115" s="17" t="s">
        <v>36</v>
      </c>
      <c r="S115" s="17">
        <v>14.859</v>
      </c>
      <c r="T115" s="17" t="s">
        <v>36</v>
      </c>
      <c r="U115" s="17">
        <v>51.483999999999995</v>
      </c>
      <c r="V115" s="17">
        <v>71.31</v>
      </c>
      <c r="W115" s="17">
        <v>342.79099999999994</v>
      </c>
      <c r="X115" s="17" t="s">
        <v>36</v>
      </c>
      <c r="Y115" s="17" t="s">
        <v>36</v>
      </c>
      <c r="Z115" s="17">
        <v>4.0949999999999998</v>
      </c>
      <c r="AA115" s="17">
        <v>11.088000000000001</v>
      </c>
      <c r="AB115" s="17">
        <v>8.77</v>
      </c>
      <c r="AC115" s="17">
        <v>30.5</v>
      </c>
      <c r="AD115" s="1">
        <f t="shared" si="7"/>
        <v>534.89699999999993</v>
      </c>
    </row>
    <row r="116" spans="1:30" ht="15">
      <c r="A116" s="2">
        <v>110</v>
      </c>
      <c r="B116" s="13" t="s">
        <v>145</v>
      </c>
      <c r="C116" s="1">
        <f t="shared" si="6"/>
        <v>348.33844027121194</v>
      </c>
      <c r="D116" s="16" t="s">
        <v>36</v>
      </c>
      <c r="E116" s="16">
        <v>72.758990000000011</v>
      </c>
      <c r="F116" s="16">
        <v>56.591989999999996</v>
      </c>
      <c r="G116" s="16">
        <v>106.10503100000001</v>
      </c>
      <c r="H116" s="16">
        <v>45.958401000000002</v>
      </c>
      <c r="I116" s="1">
        <v>66.924028271211967</v>
      </c>
      <c r="J116" s="3">
        <v>0.33</v>
      </c>
      <c r="K116" s="16" t="s">
        <v>36</v>
      </c>
      <c r="L116" s="16" t="s">
        <v>36</v>
      </c>
      <c r="M116" s="16" t="s">
        <v>36</v>
      </c>
      <c r="N116" s="16" t="s">
        <v>36</v>
      </c>
      <c r="O116" s="16" t="s">
        <v>36</v>
      </c>
      <c r="P116" s="1">
        <v>0</v>
      </c>
      <c r="Q116" s="3">
        <v>0.12</v>
      </c>
      <c r="R116" s="17" t="s">
        <v>36</v>
      </c>
      <c r="S116" s="17">
        <v>14.422000000000001</v>
      </c>
      <c r="T116" s="17">
        <v>23.064</v>
      </c>
      <c r="U116" s="17">
        <v>52.502000000000017</v>
      </c>
      <c r="V116" s="17">
        <v>82.502999999999986</v>
      </c>
      <c r="W116" s="17">
        <v>364.06</v>
      </c>
      <c r="X116" s="17" t="s">
        <v>36</v>
      </c>
      <c r="Y116" s="17" t="s">
        <v>36</v>
      </c>
      <c r="Z116" s="17" t="s">
        <v>36</v>
      </c>
      <c r="AA116" s="17" t="s">
        <v>36</v>
      </c>
      <c r="AB116" s="17" t="s">
        <v>36</v>
      </c>
      <c r="AC116" s="17" t="s">
        <v>36</v>
      </c>
      <c r="AD116" s="1">
        <f t="shared" si="7"/>
        <v>536.55100000000004</v>
      </c>
    </row>
    <row r="117" spans="1:30" ht="15">
      <c r="A117" s="2">
        <v>111</v>
      </c>
      <c r="B117" s="13" t="s">
        <v>146</v>
      </c>
      <c r="C117" s="1">
        <f t="shared" si="6"/>
        <v>555.15525395203781</v>
      </c>
      <c r="D117" s="16">
        <v>184.6695</v>
      </c>
      <c r="E117" s="16">
        <v>124.49841399999997</v>
      </c>
      <c r="F117" s="16" t="s">
        <v>36</v>
      </c>
      <c r="G117" s="16">
        <v>49.409159000000002</v>
      </c>
      <c r="H117" s="16">
        <v>66.892915000000002</v>
      </c>
      <c r="I117" s="1">
        <v>129.68526595203781</v>
      </c>
      <c r="J117" s="3">
        <v>0.33</v>
      </c>
      <c r="K117" s="16" t="s">
        <v>36</v>
      </c>
      <c r="L117" s="16" t="s">
        <v>36</v>
      </c>
      <c r="M117" s="16" t="s">
        <v>36</v>
      </c>
      <c r="N117" s="16" t="s">
        <v>36</v>
      </c>
      <c r="O117" s="16" t="s">
        <v>36</v>
      </c>
      <c r="P117" s="1">
        <v>0</v>
      </c>
      <c r="Q117" s="3">
        <v>0.12</v>
      </c>
      <c r="R117" s="17">
        <v>12.441000000000001</v>
      </c>
      <c r="S117" s="17">
        <v>28.114999999999998</v>
      </c>
      <c r="T117" s="17" t="s">
        <v>36</v>
      </c>
      <c r="U117" s="17">
        <v>46.993000000000002</v>
      </c>
      <c r="V117" s="17">
        <v>115.34699999999999</v>
      </c>
      <c r="W117" s="17">
        <v>677.64600000000019</v>
      </c>
      <c r="X117" s="17" t="s">
        <v>36</v>
      </c>
      <c r="Y117" s="17" t="s">
        <v>36</v>
      </c>
      <c r="Z117" s="17" t="s">
        <v>36</v>
      </c>
      <c r="AA117" s="17" t="s">
        <v>36</v>
      </c>
      <c r="AB117" s="17" t="s">
        <v>36</v>
      </c>
      <c r="AC117" s="17" t="s">
        <v>36</v>
      </c>
      <c r="AD117" s="1">
        <f t="shared" si="7"/>
        <v>880.54200000000014</v>
      </c>
    </row>
    <row r="118" spans="1:30" ht="15">
      <c r="A118" s="2">
        <v>112</v>
      </c>
      <c r="B118" s="13" t="s">
        <v>147</v>
      </c>
      <c r="C118" s="1">
        <f t="shared" si="6"/>
        <v>199.80541052777647</v>
      </c>
      <c r="D118" s="16">
        <v>18.6998</v>
      </c>
      <c r="E118" s="16" t="s">
        <v>36</v>
      </c>
      <c r="F118" s="16">
        <v>80.791207999999983</v>
      </c>
      <c r="G118" s="16">
        <v>52.940789999999993</v>
      </c>
      <c r="H118" s="16">
        <v>23.829936</v>
      </c>
      <c r="I118" s="1">
        <v>23.543676527776498</v>
      </c>
      <c r="J118" s="3">
        <v>0.33</v>
      </c>
      <c r="K118" s="16" t="s">
        <v>36</v>
      </c>
      <c r="L118" s="16" t="s">
        <v>36</v>
      </c>
      <c r="M118" s="16" t="s">
        <v>36</v>
      </c>
      <c r="N118" s="16" t="s">
        <v>36</v>
      </c>
      <c r="O118" s="16" t="s">
        <v>36</v>
      </c>
      <c r="P118" s="1">
        <v>0</v>
      </c>
      <c r="Q118" s="3">
        <v>0.12</v>
      </c>
      <c r="R118" s="17">
        <v>0.72199999999999998</v>
      </c>
      <c r="S118" s="17" t="s">
        <v>36</v>
      </c>
      <c r="T118" s="17">
        <v>19.457999999999995</v>
      </c>
      <c r="U118" s="17">
        <v>17.692999999999998</v>
      </c>
      <c r="V118" s="17">
        <v>54.765000000000001</v>
      </c>
      <c r="W118" s="17">
        <v>163.96099999999998</v>
      </c>
      <c r="X118" s="17" t="s">
        <v>36</v>
      </c>
      <c r="Y118" s="17" t="s">
        <v>36</v>
      </c>
      <c r="Z118" s="17" t="s">
        <v>36</v>
      </c>
      <c r="AA118" s="17" t="s">
        <v>36</v>
      </c>
      <c r="AB118" s="17" t="s">
        <v>36</v>
      </c>
      <c r="AC118" s="17" t="s">
        <v>36</v>
      </c>
      <c r="AD118" s="1">
        <f t="shared" si="7"/>
        <v>256.59899999999999</v>
      </c>
    </row>
    <row r="119" spans="1:30" ht="15">
      <c r="A119" s="2">
        <v>113</v>
      </c>
      <c r="B119" s="13" t="s">
        <v>148</v>
      </c>
      <c r="C119" s="1">
        <f t="shared" si="6"/>
        <v>447.8340875194508</v>
      </c>
      <c r="D119" s="16" t="s">
        <v>36</v>
      </c>
      <c r="E119" s="16">
        <v>118.02911999999999</v>
      </c>
      <c r="F119" s="16">
        <v>82.888109999999983</v>
      </c>
      <c r="G119" s="16">
        <v>82.812304999999995</v>
      </c>
      <c r="H119" s="16">
        <v>67.833863000000008</v>
      </c>
      <c r="I119" s="1">
        <v>96.270689519450841</v>
      </c>
      <c r="J119" s="3">
        <v>0.33</v>
      </c>
      <c r="K119" s="16" t="s">
        <v>36</v>
      </c>
      <c r="L119" s="16" t="s">
        <v>36</v>
      </c>
      <c r="M119" s="16" t="s">
        <v>36</v>
      </c>
      <c r="N119" s="16" t="s">
        <v>36</v>
      </c>
      <c r="O119" s="16" t="s">
        <v>36</v>
      </c>
      <c r="P119" s="1">
        <v>0</v>
      </c>
      <c r="Q119" s="3">
        <v>0.12</v>
      </c>
      <c r="R119" s="17" t="s">
        <v>36</v>
      </c>
      <c r="S119" s="17">
        <v>22.712000000000003</v>
      </c>
      <c r="T119" s="17">
        <v>17.875</v>
      </c>
      <c r="U119" s="17">
        <v>51.250999999999998</v>
      </c>
      <c r="V119" s="17">
        <v>91.010999999999996</v>
      </c>
      <c r="W119" s="17">
        <v>391.40599999999995</v>
      </c>
      <c r="X119" s="17" t="s">
        <v>36</v>
      </c>
      <c r="Y119" s="17" t="s">
        <v>36</v>
      </c>
      <c r="Z119" s="17" t="s">
        <v>36</v>
      </c>
      <c r="AA119" s="17" t="s">
        <v>36</v>
      </c>
      <c r="AB119" s="17" t="s">
        <v>36</v>
      </c>
      <c r="AC119" s="17" t="s">
        <v>36</v>
      </c>
      <c r="AD119" s="1">
        <f t="shared" si="7"/>
        <v>574.25499999999988</v>
      </c>
    </row>
    <row r="120" spans="1:30" ht="15">
      <c r="A120" s="2">
        <v>114</v>
      </c>
      <c r="B120" s="13" t="s">
        <v>149</v>
      </c>
      <c r="C120" s="1">
        <f t="shared" si="6"/>
        <v>3300.1218195865886</v>
      </c>
      <c r="D120" s="16">
        <v>819.62952500000006</v>
      </c>
      <c r="E120" s="16">
        <v>273.77046300000001</v>
      </c>
      <c r="F120" s="16">
        <v>50.833016000000001</v>
      </c>
      <c r="G120" s="16">
        <v>289.76826100000005</v>
      </c>
      <c r="H120" s="16">
        <v>157.03180200000006</v>
      </c>
      <c r="I120" s="1">
        <v>246.72113431700259</v>
      </c>
      <c r="J120" s="3">
        <v>0.33</v>
      </c>
      <c r="K120" s="16">
        <v>299.757496</v>
      </c>
      <c r="L120" s="16">
        <v>64.462755000000001</v>
      </c>
      <c r="M120" s="16">
        <v>339.10729900000001</v>
      </c>
      <c r="N120" s="16">
        <v>375.151792</v>
      </c>
      <c r="O120" s="16">
        <v>237.671201</v>
      </c>
      <c r="P120" s="1">
        <v>146.21707526958525</v>
      </c>
      <c r="Q120" s="3">
        <v>0.12</v>
      </c>
      <c r="R120" s="17">
        <v>21.746000000000002</v>
      </c>
      <c r="S120" s="17">
        <v>27.792999999999999</v>
      </c>
      <c r="T120" s="17">
        <v>7.2670000000000012</v>
      </c>
      <c r="U120" s="17">
        <v>69.63</v>
      </c>
      <c r="V120" s="17">
        <v>140.30199999999999</v>
      </c>
      <c r="W120" s="17">
        <v>667.98799999999994</v>
      </c>
      <c r="X120" s="17">
        <v>7.4329999999999998</v>
      </c>
      <c r="Y120" s="17">
        <v>5.8179999999999996</v>
      </c>
      <c r="Z120" s="17">
        <v>16.818999999999999</v>
      </c>
      <c r="AA120" s="17">
        <v>26.817000000000007</v>
      </c>
      <c r="AB120" s="17">
        <v>37.758000000000003</v>
      </c>
      <c r="AC120" s="17">
        <v>193.57499999999999</v>
      </c>
      <c r="AD120" s="1">
        <f t="shared" si="7"/>
        <v>1222.9459999999999</v>
      </c>
    </row>
    <row r="121" spans="1:30" ht="15">
      <c r="A121" s="2">
        <v>115</v>
      </c>
      <c r="B121" s="13" t="s">
        <v>150</v>
      </c>
      <c r="C121" s="1">
        <f t="shared" si="6"/>
        <v>354.92538104832261</v>
      </c>
      <c r="D121" s="16" t="s">
        <v>36</v>
      </c>
      <c r="E121" s="16">
        <v>140.84842600000002</v>
      </c>
      <c r="F121" s="16">
        <v>93.388139999999993</v>
      </c>
      <c r="G121" s="16">
        <v>36.195421000000003</v>
      </c>
      <c r="H121" s="16">
        <v>45.205226999999994</v>
      </c>
      <c r="I121" s="1">
        <v>39.288167048322634</v>
      </c>
      <c r="J121" s="3">
        <v>0.33</v>
      </c>
      <c r="K121" s="16" t="s">
        <v>36</v>
      </c>
      <c r="L121" s="16" t="s">
        <v>36</v>
      </c>
      <c r="M121" s="16" t="s">
        <v>36</v>
      </c>
      <c r="N121" s="16" t="s">
        <v>36</v>
      </c>
      <c r="O121" s="16" t="s">
        <v>36</v>
      </c>
      <c r="P121" s="1">
        <v>0</v>
      </c>
      <c r="Q121" s="3">
        <v>0.12</v>
      </c>
      <c r="R121" s="17" t="s">
        <v>36</v>
      </c>
      <c r="S121" s="17">
        <v>24.829000000000001</v>
      </c>
      <c r="T121" s="17">
        <v>20.891999999999999</v>
      </c>
      <c r="U121" s="17">
        <v>38.615000000000002</v>
      </c>
      <c r="V121" s="17">
        <v>91.416999999999973</v>
      </c>
      <c r="W121" s="17">
        <v>240.76099999999997</v>
      </c>
      <c r="X121" s="17" t="s">
        <v>36</v>
      </c>
      <c r="Y121" s="17" t="s">
        <v>36</v>
      </c>
      <c r="Z121" s="17" t="s">
        <v>36</v>
      </c>
      <c r="AA121" s="17" t="s">
        <v>36</v>
      </c>
      <c r="AB121" s="17" t="s">
        <v>36</v>
      </c>
      <c r="AC121" s="17" t="s">
        <v>36</v>
      </c>
      <c r="AD121" s="1">
        <f t="shared" si="7"/>
        <v>416.51399999999995</v>
      </c>
    </row>
    <row r="122" spans="1:30" ht="15">
      <c r="A122" s="2">
        <v>116</v>
      </c>
      <c r="B122" s="13" t="s">
        <v>151</v>
      </c>
      <c r="C122" s="1">
        <f t="shared" si="6"/>
        <v>454.36846114047171</v>
      </c>
      <c r="D122" s="16" t="s">
        <v>36</v>
      </c>
      <c r="E122" s="16" t="s">
        <v>36</v>
      </c>
      <c r="F122" s="16">
        <v>136.62801199999998</v>
      </c>
      <c r="G122" s="16">
        <v>54.783681999999999</v>
      </c>
      <c r="H122" s="16">
        <v>55.821639000000005</v>
      </c>
      <c r="I122" s="1">
        <v>72.30976101044071</v>
      </c>
      <c r="J122" s="3">
        <v>0.33</v>
      </c>
      <c r="K122" s="16" t="s">
        <v>36</v>
      </c>
      <c r="L122" s="16" t="s">
        <v>36</v>
      </c>
      <c r="M122" s="16">
        <v>52.649489000000003</v>
      </c>
      <c r="N122" s="16">
        <v>70.860275000000016</v>
      </c>
      <c r="O122" s="16">
        <v>8.8304900000000011</v>
      </c>
      <c r="P122" s="1">
        <v>2.4851131300309599</v>
      </c>
      <c r="Q122" s="3">
        <v>0.12</v>
      </c>
      <c r="R122" s="17" t="s">
        <v>36</v>
      </c>
      <c r="S122" s="17" t="s">
        <v>36</v>
      </c>
      <c r="T122" s="17">
        <v>20.11</v>
      </c>
      <c r="U122" s="17">
        <v>53.963999999999999</v>
      </c>
      <c r="V122" s="17">
        <v>103.334</v>
      </c>
      <c r="W122" s="17">
        <v>405.62399999999997</v>
      </c>
      <c r="X122" s="17" t="s">
        <v>36</v>
      </c>
      <c r="Y122" s="17" t="s">
        <v>36</v>
      </c>
      <c r="Z122" s="17">
        <v>5.125</v>
      </c>
      <c r="AA122" s="17">
        <v>6.2180000000000009</v>
      </c>
      <c r="AB122" s="17">
        <v>6.46</v>
      </c>
      <c r="AC122" s="17">
        <v>15.15</v>
      </c>
      <c r="AD122" s="1">
        <f t="shared" si="7"/>
        <v>615.9849999999999</v>
      </c>
    </row>
    <row r="123" spans="1:30" ht="15">
      <c r="A123" s="2">
        <v>117</v>
      </c>
      <c r="B123" s="13" t="s">
        <v>152</v>
      </c>
      <c r="C123" s="1">
        <f t="shared" si="6"/>
        <v>591.67137687944546</v>
      </c>
      <c r="D123" s="16" t="s">
        <v>36</v>
      </c>
      <c r="E123" s="16">
        <v>160.062174</v>
      </c>
      <c r="F123" s="16">
        <v>152.97512599999999</v>
      </c>
      <c r="G123" s="16">
        <v>140.33031700000001</v>
      </c>
      <c r="H123" s="16">
        <v>63.766219999999997</v>
      </c>
      <c r="I123" s="1">
        <v>74.537539879445518</v>
      </c>
      <c r="J123" s="3">
        <v>0.33</v>
      </c>
      <c r="K123" s="16" t="s">
        <v>36</v>
      </c>
      <c r="L123" s="16" t="s">
        <v>36</v>
      </c>
      <c r="M123" s="16" t="s">
        <v>36</v>
      </c>
      <c r="N123" s="16" t="s">
        <v>36</v>
      </c>
      <c r="O123" s="16" t="s">
        <v>36</v>
      </c>
      <c r="P123" s="1">
        <v>0</v>
      </c>
      <c r="Q123" s="3">
        <v>0.12</v>
      </c>
      <c r="R123" s="17" t="s">
        <v>36</v>
      </c>
      <c r="S123" s="17">
        <v>10.302</v>
      </c>
      <c r="T123" s="17">
        <v>34.156999999999996</v>
      </c>
      <c r="U123" s="17">
        <v>60.505000000000003</v>
      </c>
      <c r="V123" s="17">
        <v>96.957000000000008</v>
      </c>
      <c r="W123" s="17">
        <v>343.43900000000002</v>
      </c>
      <c r="X123" s="17" t="s">
        <v>36</v>
      </c>
      <c r="Y123" s="17" t="s">
        <v>36</v>
      </c>
      <c r="Z123" s="17" t="s">
        <v>36</v>
      </c>
      <c r="AA123" s="17" t="s">
        <v>36</v>
      </c>
      <c r="AB123" s="17" t="s">
        <v>36</v>
      </c>
      <c r="AC123" s="17" t="s">
        <v>36</v>
      </c>
      <c r="AD123" s="1">
        <f t="shared" si="7"/>
        <v>545.36</v>
      </c>
    </row>
    <row r="124" spans="1:30" ht="15">
      <c r="A124" s="2">
        <v>118</v>
      </c>
      <c r="B124" s="13" t="s">
        <v>153</v>
      </c>
      <c r="C124" s="1">
        <f t="shared" si="6"/>
        <v>1662.3820320729903</v>
      </c>
      <c r="D124" s="16">
        <v>684.42028799999991</v>
      </c>
      <c r="E124" s="16">
        <v>11.494400000000001</v>
      </c>
      <c r="F124" s="16">
        <v>67.469843999999995</v>
      </c>
      <c r="G124" s="16">
        <v>216.93829200000002</v>
      </c>
      <c r="H124" s="16">
        <v>86.683745999999999</v>
      </c>
      <c r="I124" s="1">
        <v>182.89560836136471</v>
      </c>
      <c r="J124" s="3">
        <v>0.33</v>
      </c>
      <c r="K124" s="16">
        <v>202.340902</v>
      </c>
      <c r="L124" s="16" t="s">
        <v>36</v>
      </c>
      <c r="M124" s="16">
        <v>8.30518</v>
      </c>
      <c r="N124" s="16">
        <v>147.11715300000006</v>
      </c>
      <c r="O124" s="16">
        <v>38.545124999999999</v>
      </c>
      <c r="P124" s="1">
        <v>16.171493711625565</v>
      </c>
      <c r="Q124" s="3">
        <v>0.12</v>
      </c>
      <c r="R124" s="17">
        <v>22.004000000000001</v>
      </c>
      <c r="S124" s="17">
        <v>1.6</v>
      </c>
      <c r="T124" s="17">
        <v>15.425000000000001</v>
      </c>
      <c r="U124" s="17">
        <v>75.472000000000008</v>
      </c>
      <c r="V124" s="17">
        <v>85.02600000000001</v>
      </c>
      <c r="W124" s="17">
        <v>543.63</v>
      </c>
      <c r="X124" s="17">
        <v>5.9390000000000001</v>
      </c>
      <c r="Y124" s="17" t="s">
        <v>36</v>
      </c>
      <c r="Z124" s="17">
        <v>0.58699999999999997</v>
      </c>
      <c r="AA124" s="17">
        <v>16.969000000000005</v>
      </c>
      <c r="AB124" s="17">
        <v>15.895999999999999</v>
      </c>
      <c r="AC124" s="17">
        <v>55.576000000000008</v>
      </c>
      <c r="AD124" s="1">
        <f t="shared" si="7"/>
        <v>838.12400000000002</v>
      </c>
    </row>
    <row r="125" spans="1:30" ht="15">
      <c r="A125" s="2">
        <v>119</v>
      </c>
      <c r="B125" s="13" t="s">
        <v>154</v>
      </c>
      <c r="C125" s="1">
        <f t="shared" si="6"/>
        <v>309.38924908544004</v>
      </c>
      <c r="D125" s="16" t="s">
        <v>36</v>
      </c>
      <c r="E125" s="16">
        <v>176.942869</v>
      </c>
      <c r="F125" s="16">
        <v>33.782759000000006</v>
      </c>
      <c r="G125" s="16">
        <v>52.646028000000022</v>
      </c>
      <c r="H125" s="16">
        <v>17.110984000000002</v>
      </c>
      <c r="I125" s="1">
        <v>28.906609085439989</v>
      </c>
      <c r="J125" s="3">
        <v>0.33</v>
      </c>
      <c r="K125" s="16" t="s">
        <v>36</v>
      </c>
      <c r="L125" s="16" t="s">
        <v>36</v>
      </c>
      <c r="M125" s="16" t="s">
        <v>36</v>
      </c>
      <c r="N125" s="16" t="s">
        <v>36</v>
      </c>
      <c r="O125" s="16" t="s">
        <v>36</v>
      </c>
      <c r="P125" s="1">
        <v>0</v>
      </c>
      <c r="Q125" s="3">
        <v>0.12</v>
      </c>
      <c r="R125" s="17" t="s">
        <v>36</v>
      </c>
      <c r="S125" s="17">
        <v>32.657000000000004</v>
      </c>
      <c r="T125" s="17">
        <v>16.957000000000001</v>
      </c>
      <c r="U125" s="17">
        <v>50.730999999999995</v>
      </c>
      <c r="V125" s="17">
        <v>49.08100000000001</v>
      </c>
      <c r="W125" s="17">
        <v>251.25900000000001</v>
      </c>
      <c r="X125" s="17" t="s">
        <v>36</v>
      </c>
      <c r="Y125" s="17" t="s">
        <v>36</v>
      </c>
      <c r="Z125" s="17" t="s">
        <v>36</v>
      </c>
      <c r="AA125" s="17" t="s">
        <v>36</v>
      </c>
      <c r="AB125" s="17" t="s">
        <v>36</v>
      </c>
      <c r="AC125" s="17" t="s">
        <v>36</v>
      </c>
      <c r="AD125" s="1">
        <f t="shared" si="7"/>
        <v>400.68500000000006</v>
      </c>
    </row>
    <row r="126" spans="1:30" ht="15">
      <c r="A126" s="2">
        <v>120</v>
      </c>
      <c r="B126" s="13" t="s">
        <v>155</v>
      </c>
      <c r="C126" s="1">
        <f t="shared" si="6"/>
        <v>1045.0730222067373</v>
      </c>
      <c r="D126" s="16">
        <v>251.78604999999999</v>
      </c>
      <c r="E126" s="16">
        <v>369.95995400000004</v>
      </c>
      <c r="F126" s="16" t="s">
        <v>36</v>
      </c>
      <c r="G126" s="16">
        <v>142.39417700000001</v>
      </c>
      <c r="H126" s="16">
        <v>55.561139000000004</v>
      </c>
      <c r="I126" s="1">
        <v>55.524021044384241</v>
      </c>
      <c r="J126" s="3">
        <v>0.33</v>
      </c>
      <c r="K126" s="16" t="s">
        <v>36</v>
      </c>
      <c r="L126" s="16" t="s">
        <v>36</v>
      </c>
      <c r="M126" s="16">
        <v>61.077683</v>
      </c>
      <c r="N126" s="16">
        <v>59.756948999999992</v>
      </c>
      <c r="O126" s="16">
        <v>23.684532000000004</v>
      </c>
      <c r="P126" s="1">
        <v>25.328517162352949</v>
      </c>
      <c r="Q126" s="3">
        <v>0.12</v>
      </c>
      <c r="R126" s="17">
        <v>7.6749999999999998</v>
      </c>
      <c r="S126" s="17">
        <v>19.506</v>
      </c>
      <c r="T126" s="17" t="s">
        <v>36</v>
      </c>
      <c r="U126" s="17">
        <v>47.958000000000006</v>
      </c>
      <c r="V126" s="17">
        <v>52.301000000000009</v>
      </c>
      <c r="W126" s="17">
        <v>158.38200000000003</v>
      </c>
      <c r="X126" s="17" t="s">
        <v>36</v>
      </c>
      <c r="Y126" s="17" t="s">
        <v>36</v>
      </c>
      <c r="Z126" s="17">
        <v>2.72</v>
      </c>
      <c r="AA126" s="17">
        <v>7.2390000000000017</v>
      </c>
      <c r="AB126" s="17">
        <v>5.0999999999999996</v>
      </c>
      <c r="AC126" s="17">
        <v>45.45</v>
      </c>
      <c r="AD126" s="1">
        <f t="shared" si="7"/>
        <v>346.33100000000007</v>
      </c>
    </row>
    <row r="127" spans="1:30" ht="15">
      <c r="A127" s="2"/>
      <c r="B127" s="13"/>
      <c r="C127" s="1"/>
      <c r="D127" s="1"/>
      <c r="E127" s="1"/>
      <c r="F127" s="1"/>
      <c r="G127" s="1"/>
      <c r="H127" s="1"/>
      <c r="J127" s="3"/>
      <c r="K127" s="1"/>
      <c r="L127" s="1"/>
      <c r="M127" s="1"/>
      <c r="N127" s="1"/>
      <c r="O127" s="1"/>
      <c r="Q127" s="3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"/>
    </row>
    <row r="128" spans="1:30" ht="15">
      <c r="A128" s="2"/>
      <c r="B128" s="2" t="s">
        <v>156</v>
      </c>
      <c r="C128" s="1">
        <f t="shared" ref="C128:I128" si="8">SUM(C7:C126)</f>
        <v>132224.26319602324</v>
      </c>
      <c r="D128" s="1">
        <f t="shared" si="8"/>
        <v>16841.063996999997</v>
      </c>
      <c r="E128" s="1">
        <f t="shared" si="8"/>
        <v>17613.625217000001</v>
      </c>
      <c r="F128" s="1">
        <f t="shared" si="8"/>
        <v>6955.7520309999991</v>
      </c>
      <c r="G128" s="1">
        <f t="shared" si="8"/>
        <v>15635.278675999994</v>
      </c>
      <c r="H128" s="1">
        <f t="shared" si="8"/>
        <v>7023.2948350000006</v>
      </c>
      <c r="I128" s="1">
        <f t="shared" si="8"/>
        <v>10371.802583175953</v>
      </c>
      <c r="J128" s="1"/>
      <c r="K128" s="1">
        <f t="shared" ref="K128:P128" si="9">SUM(K7:K126)</f>
        <v>15966.238923000003</v>
      </c>
      <c r="L128" s="1">
        <f t="shared" si="9"/>
        <v>2373.9229050000004</v>
      </c>
      <c r="M128" s="1">
        <f t="shared" si="9"/>
        <v>12665.860708000002</v>
      </c>
      <c r="N128" s="1">
        <f t="shared" si="9"/>
        <v>11954.995526000001</v>
      </c>
      <c r="O128" s="1">
        <f t="shared" si="9"/>
        <v>5290.5672600000007</v>
      </c>
      <c r="P128" s="1">
        <f t="shared" si="9"/>
        <v>9531.8605348472847</v>
      </c>
      <c r="Q128" s="1"/>
      <c r="R128" s="1">
        <f t="shared" ref="R128:AD128" si="10">SUM(R7:R126)</f>
        <v>535.9369999999999</v>
      </c>
      <c r="S128" s="1">
        <f t="shared" si="10"/>
        <v>2052.6999999999994</v>
      </c>
      <c r="T128" s="1">
        <f t="shared" si="10"/>
        <v>1606.979</v>
      </c>
      <c r="U128" s="1">
        <f t="shared" si="10"/>
        <v>6991.675000000002</v>
      </c>
      <c r="V128" s="1">
        <f t="shared" si="10"/>
        <v>9510.9319999999989</v>
      </c>
      <c r="W128" s="1">
        <f t="shared" si="10"/>
        <v>42342.69</v>
      </c>
      <c r="X128" s="1">
        <f t="shared" si="10"/>
        <v>226.45099999999994</v>
      </c>
      <c r="Y128" s="1">
        <f t="shared" si="10"/>
        <v>91.424999999999983</v>
      </c>
      <c r="Z128" s="1">
        <f t="shared" si="10"/>
        <v>650.226</v>
      </c>
      <c r="AA128" s="1">
        <f t="shared" si="10"/>
        <v>1180.6769999999999</v>
      </c>
      <c r="AB128" s="1">
        <f t="shared" si="10"/>
        <v>1143.7749999999996</v>
      </c>
      <c r="AC128" s="1">
        <f t="shared" si="10"/>
        <v>7786.5639999999985</v>
      </c>
      <c r="AD128" s="1">
        <f t="shared" si="10"/>
        <v>74120.031000000017</v>
      </c>
    </row>
  </sheetData>
  <mergeCells count="4">
    <mergeCell ref="D4:I4"/>
    <mergeCell ref="K4:P4"/>
    <mergeCell ref="R4:W4"/>
    <mergeCell ref="X4:AC4"/>
  </mergeCells>
  <phoneticPr fontId="5" type="noConversion"/>
  <pageMargins left="0.5" right="0.5" top="0.6" bottom="0.25" header="0.22" footer="0"/>
  <pageSetup paperSize="5" pageOrder="overThenDown" orientation="landscape" horizontalDpi="300" verticalDpi="300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9D31ED7-A181-482B-92E5-75724D50D182}"/>
</file>

<file path=customXml/itemProps2.xml><?xml version="1.0" encoding="utf-8"?>
<ds:datastoreItem xmlns:ds="http://schemas.openxmlformats.org/officeDocument/2006/customXml" ds:itemID="{1171914F-C5CA-434D-BF0A-98D4E9DDE420}"/>
</file>

<file path=customXml/itemProps3.xml><?xml version="1.0" encoding="utf-8"?>
<ds:datastoreItem xmlns:ds="http://schemas.openxmlformats.org/officeDocument/2006/customXml" ds:itemID="{789456BD-6D4B-484A-959B-2C1C3000F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VMT1</vt:lpstr>
      <vt:lpstr>VMT1!Print_Titles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Enter your name here</dc:creator>
  <cp:lastModifiedBy>Sanford, Gretchen (KYTC)</cp:lastModifiedBy>
  <dcterms:created xsi:type="dcterms:W3CDTF">2000-09-06T17:52:56Z</dcterms:created>
  <dcterms:modified xsi:type="dcterms:W3CDTF">2013-08-20T20:19:20Z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