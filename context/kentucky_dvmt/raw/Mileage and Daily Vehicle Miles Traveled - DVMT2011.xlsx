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12" yWindow="588" windowWidth="18348" windowHeight="11808"/>
  </bookViews>
  <sheets>
    <sheet name="Curr" sheetId="6" r:id="rId1"/>
  </sheets>
  <definedNames>
    <definedName name="_xlnm._FilterDatabase" localSheetId="0" hidden="1">Curr!$A$1:$AD$141</definedName>
    <definedName name="_xlnm.Print_Titles" localSheetId="0">Curr!$A:$B,Curr!$5:$7</definedName>
    <definedName name="Z_42EEE160_96A8_11D3_9088_00C04FACEB10_.wvu.PrintTitles" localSheetId="0" hidden="1">Curr!$A:$B,Curr!$5:$7</definedName>
    <definedName name="Z_9B35B1A4_5380_11D4_9606_00B0D02CABC0_.wvu.FilterData" localSheetId="0" hidden="1">Curr!$A$2:$AD$127</definedName>
    <definedName name="Z_9B35B1A4_5380_11D4_9606_00B0D02CABC0_.wvu.PrintTitles" localSheetId="0" hidden="1">Curr!$A:$B,Curr!$5:$7</definedName>
  </definedNames>
  <calcPr calcId="125725"/>
</workbook>
</file>

<file path=xl/calcChain.xml><?xml version="1.0" encoding="utf-8"?>
<calcChain xmlns="http://schemas.openxmlformats.org/spreadsheetml/2006/main">
  <c r="D9" i="6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8"/>
  <c r="R129"/>
  <c r="S129"/>
  <c r="T129"/>
  <c r="U129"/>
  <c r="V129"/>
  <c r="W129"/>
  <c r="X129"/>
  <c r="Y129"/>
  <c r="Z129"/>
  <c r="AA129"/>
  <c r="AB129"/>
  <c r="AC129"/>
  <c r="F129"/>
  <c r="G129"/>
  <c r="H129"/>
  <c r="I129"/>
  <c r="E129"/>
  <c r="K129"/>
  <c r="L129"/>
  <c r="M129"/>
  <c r="N129"/>
  <c r="O129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J129"/>
  <c r="AD129"/>
  <c r="AB130" s="1"/>
  <c r="P129"/>
  <c r="D129"/>
  <c r="K130" s="1"/>
  <c r="S130"/>
  <c r="X130"/>
  <c r="AA130"/>
  <c r="R130"/>
  <c r="V130"/>
  <c r="Y130"/>
  <c r="P130" l="1"/>
  <c r="N130"/>
  <c r="L130"/>
  <c r="J130"/>
  <c r="H130"/>
  <c r="F130"/>
  <c r="E130"/>
  <c r="O130"/>
  <c r="M130"/>
  <c r="I130"/>
  <c r="G130"/>
  <c r="U130"/>
  <c r="AC130"/>
  <c r="Z130"/>
  <c r="W130"/>
  <c r="T130"/>
</calcChain>
</file>

<file path=xl/sharedStrings.xml><?xml version="1.0" encoding="utf-8"?>
<sst xmlns="http://schemas.openxmlformats.org/spreadsheetml/2006/main" count="423" uniqueCount="163">
  <si>
    <t>Rural DVMT (x1,000)</t>
  </si>
  <si>
    <t>Urban DVMT (x1,000)</t>
  </si>
  <si>
    <t>Rural Miles</t>
  </si>
  <si>
    <t>Urban Miles</t>
  </si>
  <si>
    <t>County</t>
  </si>
  <si>
    <t>INTER.</t>
  </si>
  <si>
    <t>PR.ART</t>
  </si>
  <si>
    <t>MN.ART</t>
  </si>
  <si>
    <t>MJ.COL</t>
  </si>
  <si>
    <t>MN.COL</t>
  </si>
  <si>
    <t>LOCAL</t>
  </si>
  <si>
    <t>EXPR.</t>
  </si>
  <si>
    <t>COLL.</t>
  </si>
  <si>
    <t>TOTAL</t>
  </si>
  <si>
    <t>11</t>
  </si>
  <si>
    <t>12</t>
  </si>
  <si>
    <t>14</t>
  </si>
  <si>
    <t>16</t>
  </si>
  <si>
    <t>17</t>
  </si>
  <si>
    <t>19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</si>
  <si>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</si>
  <si>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</si>
  <si>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</si>
  <si>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</si>
  <si>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</si>
  <si>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</si>
  <si>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</si>
  <si>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</si>
  <si>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</si>
  <si>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</si>
  <si>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</si>
  <si>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</si>
  <si>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</si>
  <si>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</si>
  <si>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</si>
  <si>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</si>
  <si>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</si>
  <si>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</si>
  <si>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</si>
  <si>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</si>
  <si>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</si>
  <si>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</si>
  <si>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</si>
  <si>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</si>
  <si>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</si>
  <si>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</si>
  <si>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</si>
  <si>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</si>
  <si>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</si>
  <si>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</si>
  <si>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</si>
  <si>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</si>
  <si>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</si>
  <si>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</si>
  <si>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</si>
  <si>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</si>
  <si>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</si>
  <si>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</si>
  <si>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</si>
  <si>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</si>
  <si>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</si>
  <si>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</si>
  <si>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</si>
  <si>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</si>
  <si>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</si>
  <si>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</si>
  <si>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</si>
  <si>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</si>
  <si>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</si>
  <si>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</si>
  <si>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</si>
  <si>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</si>
  <si>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</si>
  <si>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</si>
  <si>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</si>
  <si>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</si>
  <si>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</si>
  <si>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</si>
  <si>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</si>
  <si>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</si>
  <si>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</si>
  <si>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</si>
  <si>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</si>
  <si>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</si>
  <si>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</si>
  <si>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</si>
  <si>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</si>
  <si>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</si>
  <si>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</si>
  <si>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</si>
  <si>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</si>
  <si>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</si>
  <si>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</si>
  <si>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</si>
  <si>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</si>
  <si>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</si>
  <si>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</si>
  <si>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</si>
  <si>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</si>
  <si>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</si>
  <si>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</si>
  <si>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</si>
  <si>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</si>
  <si>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</si>
  <si>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</si>
  <si>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</si>
  <si>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</si>
  <si>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</si>
  <si>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</si>
  <si>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</si>
  <si>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</si>
  <si>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</si>
  <si>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</si>
  <si>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</si>
  <si>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</si>
  <si>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</si>
  <si>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</si>
  <si>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</si>
  <si>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</si>
  <si>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</si>
  <si>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</si>
  <si>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</si>
  <si>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</si>
  <si>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</si>
  <si>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</si>
  <si>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</si>
  <si>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</si>
  <si>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</si>
  <si>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</si>
  <si>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</si>
  <si>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</si>
  <si>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</si>
  <si>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</si>
  <si>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</si>
  <si>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</si>
  <si>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</si>
  <si>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</si>
  <si>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</si>
  <si>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</si>
  <si>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</si>
  <si>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</si>
  <si>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</si>
  <si>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09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</si>
  <si>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</si>
  <si>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</si>
  <si>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</si>
  <si>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</si>
  <si>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</si>
  <si>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</si>
  <si>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</si>
  <si>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</si>
  <si>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</si>
  <si>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Uz</t>
  </si>
  <si>
    <t>Percent of Total</t>
  </si>
  <si>
    <t>01</t>
  </si>
  <si>
    <t>02</t>
  </si>
  <si>
    <t>06</t>
  </si>
  <si>
    <t>07</t>
  </si>
  <si>
    <t>08</t>
  </si>
  <si>
    <t xml:space="preserve"> </t>
  </si>
  <si>
    <t>-</t>
  </si>
  <si>
    <t>LOC.Est.</t>
  </si>
  <si>
    <t>2011 DVMT (in thousands) and Mileage by County and Functional Class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</si>
</sst>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[$-409]mmmm\ d\,\ yyyy;@"/>
  </numFmts>
  <fonts count="18">
    <font>
      <sz val="10"/>
      <name val="Arial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72">
    <xf numFmtId="0" fontId="0" fillId="0" borderId="0" xfId="0"/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2" fillId="0" borderId="0" xfId="0" applyNumberFormat="1" applyFont="1"/>
    <xf numFmtId="3" fontId="0" fillId="0" borderId="0" xfId="0" applyNumberFormat="1"/>
    <xf numFmtId="0" fontId="6" fillId="0" borderId="0" xfId="0" applyFont="1"/>
    <xf numFmtId="0" fontId="7" fillId="0" borderId="0" xfId="0" applyFont="1"/>
    <xf numFmtId="3" fontId="3" fillId="0" borderId="0" xfId="0" applyNumberFormat="1" applyFont="1"/>
    <xf numFmtId="3" fontId="6" fillId="0" borderId="0" xfId="0" applyNumberFormat="1" applyFont="1"/>
    <xf numFmtId="0" fontId="8" fillId="0" borderId="0" xfId="0" applyFont="1"/>
    <xf numFmtId="0" fontId="9" fillId="0" borderId="0" xfId="0" applyFont="1"/>
    <xf numFmtId="15" fontId="9" fillId="0" borderId="0" xfId="0" quotePrefix="1" applyNumberFormat="1" applyFont="1"/>
    <xf numFmtId="0" fontId="10" fillId="0" borderId="0" xfId="0" applyFont="1"/>
    <xf numFmtId="49" fontId="10" fillId="0" borderId="0" xfId="0" applyNumberFormat="1" applyFont="1" applyAlignment="1">
      <alignment horizontal="left"/>
    </xf>
    <xf numFmtId="49" fontId="9" fillId="0" borderId="0" xfId="0" applyNumberFormat="1" applyFont="1"/>
    <xf numFmtId="49" fontId="10" fillId="0" borderId="0" xfId="0" applyNumberFormat="1" applyFont="1"/>
    <xf numFmtId="0" fontId="11" fillId="0" borderId="0" xfId="0" applyFont="1"/>
    <xf numFmtId="15" fontId="12" fillId="0" borderId="0" xfId="0" applyNumberFormat="1" applyFont="1"/>
    <xf numFmtId="0" fontId="2" fillId="0" borderId="0" xfId="0" applyFont="1" applyBorder="1"/>
    <xf numFmtId="49" fontId="2" fillId="0" borderId="0" xfId="0" applyNumberFormat="1" applyFont="1" applyBorder="1"/>
    <xf numFmtId="49" fontId="9" fillId="0" borderId="0" xfId="0" applyNumberFormat="1" applyFont="1" applyBorder="1"/>
    <xf numFmtId="3" fontId="5" fillId="0" borderId="0" xfId="3" applyNumberFormat="1" applyFont="1" applyFill="1" applyBorder="1" applyAlignment="1">
      <alignment horizontal="right" wrapText="1"/>
    </xf>
    <xf numFmtId="3" fontId="4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13" fillId="0" borderId="0" xfId="0" applyFont="1"/>
    <xf numFmtId="165" fontId="2" fillId="0" borderId="0" xfId="0" applyNumberFormat="1" applyFont="1"/>
    <xf numFmtId="0" fontId="3" fillId="3" borderId="0" xfId="0" applyFont="1" applyFill="1" applyAlignment="1">
      <alignment horizontal="right"/>
    </xf>
    <xf numFmtId="3" fontId="3" fillId="3" borderId="0" xfId="0" applyNumberFormat="1" applyFont="1" applyFill="1"/>
    <xf numFmtId="3" fontId="3" fillId="3" borderId="0" xfId="0" applyNumberFormat="1" applyFont="1" applyFill="1" applyBorder="1"/>
    <xf numFmtId="1" fontId="3" fillId="3" borderId="0" xfId="0" quotePrefix="1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9" fillId="3" borderId="0" xfId="0" applyFont="1" applyFill="1"/>
    <xf numFmtId="0" fontId="7" fillId="3" borderId="0" xfId="0" applyFont="1" applyFill="1" applyAlignment="1">
      <alignment horizontal="right"/>
    </xf>
    <xf numFmtId="164" fontId="7" fillId="3" borderId="0" xfId="0" applyNumberFormat="1" applyFont="1" applyFill="1"/>
    <xf numFmtId="1" fontId="4" fillId="0" borderId="0" xfId="2" applyNumberFormat="1"/>
    <xf numFmtId="1" fontId="15" fillId="0" borderId="1" xfId="2" applyNumberFormat="1" applyFont="1" applyFill="1" applyBorder="1" applyAlignment="1">
      <alignment horizontal="right" wrapText="1"/>
    </xf>
    <xf numFmtId="1" fontId="4" fillId="0" borderId="0" xfId="1" applyNumberFormat="1" applyFont="1" applyFill="1" applyBorder="1" applyAlignment="1">
      <alignment horizontal="right" wrapText="1"/>
    </xf>
    <xf numFmtId="1" fontId="2" fillId="0" borderId="0" xfId="0" applyNumberFormat="1" applyFont="1" applyBorder="1"/>
    <xf numFmtId="1" fontId="3" fillId="3" borderId="0" xfId="0" applyNumberFormat="1" applyFont="1" applyFill="1"/>
    <xf numFmtId="1" fontId="5" fillId="0" borderId="0" xfId="2" applyNumberFormat="1" applyFont="1"/>
    <xf numFmtId="1" fontId="5" fillId="0" borderId="1" xfId="2" applyNumberFormat="1" applyFont="1" applyFill="1" applyBorder="1" applyAlignment="1">
      <alignment horizontal="right" wrapText="1"/>
    </xf>
    <xf numFmtId="1" fontId="5" fillId="4" borderId="1" xfId="2" applyNumberFormat="1" applyFont="1" applyFill="1" applyBorder="1" applyAlignment="1">
      <alignment horizontal="right" wrapText="1"/>
    </xf>
    <xf numFmtId="1" fontId="5" fillId="4" borderId="0" xfId="2" applyNumberFormat="1" applyFont="1" applyFill="1"/>
    <xf numFmtId="0" fontId="15" fillId="2" borderId="4" xfId="2" quotePrefix="1" applyFont="1" applyFill="1" applyBorder="1" applyAlignment="1">
      <alignment horizontal="center"/>
    </xf>
    <xf numFmtId="0" fontId="15" fillId="5" borderId="4" xfId="2" quotePrefix="1" applyFont="1" applyFill="1" applyBorder="1" applyAlignment="1">
      <alignment horizontal="center"/>
    </xf>
    <xf numFmtId="0" fontId="15" fillId="2" borderId="4" xfId="2" applyFont="1" applyFill="1" applyBorder="1" applyAlignment="1">
      <alignment horizontal="center"/>
    </xf>
    <xf numFmtId="0" fontId="15" fillId="5" borderId="4" xfId="2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3" fontId="2" fillId="6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right"/>
    </xf>
    <xf numFmtId="0" fontId="15" fillId="7" borderId="2" xfId="2" applyFont="1" applyFill="1" applyBorder="1" applyAlignment="1">
      <alignment horizontal="center"/>
    </xf>
    <xf numFmtId="1" fontId="5" fillId="6" borderId="0" xfId="2" applyNumberFormat="1" applyFont="1" applyFill="1"/>
    <xf numFmtId="1" fontId="4" fillId="6" borderId="0" xfId="2" applyNumberFormat="1" applyFill="1"/>
    <xf numFmtId="1" fontId="3" fillId="6" borderId="0" xfId="0" applyNumberFormat="1" applyFont="1" applyFill="1"/>
    <xf numFmtId="164" fontId="7" fillId="6" borderId="0" xfId="0" applyNumberFormat="1" applyFont="1" applyFill="1"/>
    <xf numFmtId="0" fontId="0" fillId="0" borderId="0" xfId="0" applyFill="1"/>
    <xf numFmtId="0" fontId="6" fillId="0" borderId="0" xfId="0" applyFont="1" applyFill="1"/>
    <xf numFmtId="0" fontId="11" fillId="0" borderId="0" xfId="0" applyFont="1" applyFill="1"/>
    <xf numFmtId="3" fontId="6" fillId="0" borderId="0" xfId="0" applyNumberFormat="1" applyFont="1" applyFill="1"/>
    <xf numFmtId="1" fontId="0" fillId="0" borderId="0" xfId="0" applyNumberFormat="1" applyFill="1"/>
    <xf numFmtId="3" fontId="2" fillId="0" borderId="0" xfId="0" applyNumberFormat="1" applyFont="1" applyFill="1"/>
    <xf numFmtId="3" fontId="14" fillId="0" borderId="0" xfId="0" applyNumberFormat="1" applyFont="1" applyFill="1"/>
    <xf numFmtId="0" fontId="14" fillId="0" borderId="0" xfId="0" applyFont="1" applyFill="1"/>
    <xf numFmtId="3" fontId="0" fillId="0" borderId="0" xfId="0" applyNumberFormat="1" applyFill="1"/>
    <xf numFmtId="0" fontId="17" fillId="0" borderId="0" xfId="0" applyFont="1" applyFill="1"/>
    <xf numFmtId="3" fontId="2" fillId="0" borderId="3" xfId="0" applyNumberFormat="1" applyFont="1" applyBorder="1" applyAlignment="1">
      <alignment horizontal="center"/>
    </xf>
  </cellXfs>
  <cellStyles count="4">
    <cellStyle name="Normal" xfId="0" builtinId="0"/>
    <cellStyle name="Normal_2000_1" xfId="1"/>
    <cellStyle name="Normal_Curr" xfId="2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7"/>
  <sheetViews>
    <sheetView tabSelected="1" zoomScaleNormal="100" workbookViewId="0">
      <pane xSplit="2" ySplit="7" topLeftCell="F119" activePane="bottomRight" state="frozen"/>
      <selection activeCell="T139" sqref="T139"/>
      <selection pane="topRight" activeCell="T139" sqref="T139"/>
      <selection pane="bottomLeft" activeCell="T139" sqref="T139"/>
      <selection pane="bottomRight" activeCell="E129" sqref="E129:P129"/>
    </sheetView>
  </sheetViews>
  <sheetFormatPr defaultRowHeight="15"/>
  <cols>
    <col min="1" max="1" width="5.109375" customWidth="1"/>
    <col min="2" max="2" width="18.33203125" customWidth="1"/>
    <col min="3" max="3" width="5.6640625" style="20" customWidth="1"/>
    <col min="4" max="4" width="11.5546875" style="12" customWidth="1"/>
    <col min="5" max="16" width="9.6640625" style="8" customWidth="1"/>
    <col min="17" max="17" width="2.5546875" style="8" customWidth="1"/>
    <col min="18" max="22" width="9.6640625" style="2" customWidth="1"/>
    <col min="23" max="23" width="11.44140625" style="2" bestFit="1" customWidth="1"/>
    <col min="24" max="28" width="9.6640625" style="2" customWidth="1"/>
    <col min="29" max="29" width="11.44140625" style="2" bestFit="1" customWidth="1"/>
    <col min="30" max="30" width="13.6640625" style="9" customWidth="1"/>
  </cols>
  <sheetData>
    <row r="1" spans="1:30" ht="15.6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AD1" s="1"/>
    </row>
    <row r="2" spans="1:30" ht="15.6">
      <c r="A2" s="1" t="s">
        <v>162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AD2" s="1"/>
    </row>
    <row r="3" spans="1:30" ht="15.6">
      <c r="A3" s="10" t="s">
        <v>141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AD3" s="1"/>
    </row>
    <row r="4" spans="1:30" ht="16.2" thickBot="1">
      <c r="A4" s="3"/>
      <c r="B4" s="29">
        <v>41105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AD4" s="1"/>
    </row>
    <row r="5" spans="1:30" ht="16.2" thickBot="1">
      <c r="A5" s="3"/>
      <c r="B5" s="3"/>
      <c r="C5" s="16" t="s">
        <v>146</v>
      </c>
      <c r="D5" s="33"/>
      <c r="E5" s="71" t="s">
        <v>0</v>
      </c>
      <c r="F5" s="71"/>
      <c r="G5" s="71"/>
      <c r="H5" s="71"/>
      <c r="I5" s="71"/>
      <c r="J5" s="71"/>
      <c r="K5" s="71" t="s">
        <v>1</v>
      </c>
      <c r="L5" s="71"/>
      <c r="M5" s="71"/>
      <c r="N5" s="71"/>
      <c r="O5" s="71"/>
      <c r="P5" s="71"/>
      <c r="Q5" s="54"/>
      <c r="R5" s="71" t="s">
        <v>2</v>
      </c>
      <c r="S5" s="71"/>
      <c r="T5" s="71"/>
      <c r="U5" s="71"/>
      <c r="V5" s="71"/>
      <c r="W5" s="71"/>
      <c r="X5" s="71" t="s">
        <v>3</v>
      </c>
      <c r="Y5" s="71"/>
      <c r="Z5" s="71"/>
      <c r="AA5" s="71"/>
      <c r="AB5" s="71"/>
      <c r="AC5" s="71"/>
      <c r="AD5" s="1"/>
    </row>
    <row r="6" spans="1:30" s="6" customFormat="1" ht="16.2" thickBot="1">
      <c r="A6" s="4"/>
      <c r="B6" s="5" t="s">
        <v>4</v>
      </c>
      <c r="C6" s="17" t="s">
        <v>147</v>
      </c>
      <c r="D6" s="30" t="s">
        <v>150</v>
      </c>
      <c r="E6" s="52" t="s">
        <v>5</v>
      </c>
      <c r="F6" s="52" t="s">
        <v>6</v>
      </c>
      <c r="G6" s="52" t="s">
        <v>7</v>
      </c>
      <c r="H6" s="52" t="s">
        <v>8</v>
      </c>
      <c r="I6" s="52" t="s">
        <v>9</v>
      </c>
      <c r="J6" s="53" t="s">
        <v>161</v>
      </c>
      <c r="K6" s="52" t="s">
        <v>5</v>
      </c>
      <c r="L6" s="52" t="s">
        <v>11</v>
      </c>
      <c r="M6" s="52" t="s">
        <v>6</v>
      </c>
      <c r="N6" s="52" t="s">
        <v>7</v>
      </c>
      <c r="O6" s="52" t="s">
        <v>12</v>
      </c>
      <c r="P6" s="53" t="s">
        <v>161</v>
      </c>
      <c r="Q6" s="55"/>
      <c r="R6" s="52" t="s">
        <v>5</v>
      </c>
      <c r="S6" s="52" t="s">
        <v>6</v>
      </c>
      <c r="T6" s="52" t="s">
        <v>7</v>
      </c>
      <c r="U6" s="52" t="s">
        <v>8</v>
      </c>
      <c r="V6" s="52" t="s">
        <v>9</v>
      </c>
      <c r="W6" s="52" t="s">
        <v>10</v>
      </c>
      <c r="X6" s="52" t="s">
        <v>5</v>
      </c>
      <c r="Y6" s="52" t="s">
        <v>11</v>
      </c>
      <c r="Z6" s="52" t="s">
        <v>6</v>
      </c>
      <c r="AA6" s="52" t="s">
        <v>7</v>
      </c>
      <c r="AB6" s="52" t="s">
        <v>12</v>
      </c>
      <c r="AC6" s="52" t="s">
        <v>10</v>
      </c>
      <c r="AD6" s="30" t="s">
        <v>13</v>
      </c>
    </row>
    <row r="7" spans="1:30" ht="15" customHeight="1">
      <c r="A7" s="3"/>
      <c r="B7" s="7"/>
      <c r="C7" s="18"/>
      <c r="D7" s="34" t="s">
        <v>148</v>
      </c>
      <c r="E7" s="48" t="s">
        <v>154</v>
      </c>
      <c r="F7" s="48" t="s">
        <v>155</v>
      </c>
      <c r="G7" s="48" t="s">
        <v>156</v>
      </c>
      <c r="H7" s="48" t="s">
        <v>157</v>
      </c>
      <c r="I7" s="48" t="s">
        <v>158</v>
      </c>
      <c r="J7" s="49" t="s">
        <v>142</v>
      </c>
      <c r="K7" s="50" t="s">
        <v>14</v>
      </c>
      <c r="L7" s="50" t="s">
        <v>15</v>
      </c>
      <c r="M7" s="50" t="s">
        <v>16</v>
      </c>
      <c r="N7" s="50" t="s">
        <v>17</v>
      </c>
      <c r="O7" s="50" t="s">
        <v>18</v>
      </c>
      <c r="P7" s="51">
        <v>19</v>
      </c>
      <c r="Q7" s="56"/>
      <c r="R7" s="48" t="s">
        <v>154</v>
      </c>
      <c r="S7" s="48" t="s">
        <v>155</v>
      </c>
      <c r="T7" s="48" t="s">
        <v>156</v>
      </c>
      <c r="U7" s="48" t="s">
        <v>157</v>
      </c>
      <c r="V7" s="48" t="s">
        <v>158</v>
      </c>
      <c r="W7" s="48" t="s">
        <v>142</v>
      </c>
      <c r="X7" s="50" t="s">
        <v>14</v>
      </c>
      <c r="Y7" s="50" t="s">
        <v>15</v>
      </c>
      <c r="Z7" s="50" t="s">
        <v>16</v>
      </c>
      <c r="AA7" s="50" t="s">
        <v>17</v>
      </c>
      <c r="AB7" s="50" t="s">
        <v>18</v>
      </c>
      <c r="AC7" s="50" t="s">
        <v>19</v>
      </c>
      <c r="AD7" s="30" t="s">
        <v>149</v>
      </c>
    </row>
    <row r="8" spans="1:30" ht="15" customHeight="1">
      <c r="A8" s="3">
        <v>1</v>
      </c>
      <c r="B8" s="7" t="s">
        <v>20</v>
      </c>
      <c r="C8" s="19" t="s">
        <v>143</v>
      </c>
      <c r="D8" s="31">
        <f>SUM(E8:P8)</f>
        <v>580</v>
      </c>
      <c r="E8" s="44"/>
      <c r="F8" s="45">
        <v>179</v>
      </c>
      <c r="G8" s="45">
        <v>86</v>
      </c>
      <c r="H8" s="45">
        <v>121</v>
      </c>
      <c r="I8" s="45">
        <v>72</v>
      </c>
      <c r="J8" s="46">
        <v>122</v>
      </c>
      <c r="K8"/>
      <c r="L8"/>
      <c r="M8"/>
      <c r="N8"/>
      <c r="O8"/>
      <c r="P8" s="47"/>
      <c r="Q8" s="57" t="s">
        <v>160</v>
      </c>
      <c r="R8"/>
      <c r="S8">
        <v>33.256999999999998</v>
      </c>
      <c r="T8">
        <v>24.286000000000001</v>
      </c>
      <c r="U8">
        <v>57.975999999999999</v>
      </c>
      <c r="V8">
        <v>115.04900000000001</v>
      </c>
      <c r="W8">
        <v>651.01900000000001</v>
      </c>
      <c r="X8"/>
      <c r="Y8"/>
      <c r="Z8"/>
      <c r="AA8"/>
      <c r="AB8"/>
      <c r="AC8"/>
      <c r="AD8" s="31">
        <f t="shared" ref="AD8:AD39" si="0">SUM(R8:AC8)</f>
        <v>881.58699999999999</v>
      </c>
    </row>
    <row r="9" spans="1:30" ht="15" customHeight="1">
      <c r="A9" s="3">
        <v>2</v>
      </c>
      <c r="B9" s="7" t="s">
        <v>21</v>
      </c>
      <c r="C9" s="19" t="s">
        <v>143</v>
      </c>
      <c r="D9" s="31">
        <f t="shared" ref="D9:D72" si="1">SUM(E9:P9)</f>
        <v>439</v>
      </c>
      <c r="E9" s="44"/>
      <c r="F9" s="45">
        <v>104</v>
      </c>
      <c r="G9" s="45">
        <v>48</v>
      </c>
      <c r="H9" s="45">
        <v>128</v>
      </c>
      <c r="I9" s="45">
        <v>58</v>
      </c>
      <c r="J9" s="46">
        <v>101</v>
      </c>
      <c r="K9"/>
      <c r="L9"/>
      <c r="M9"/>
      <c r="N9"/>
      <c r="O9"/>
      <c r="P9" s="47"/>
      <c r="Q9" s="57" t="s">
        <v>160</v>
      </c>
      <c r="R9"/>
      <c r="S9">
        <v>17.175999999999998</v>
      </c>
      <c r="T9">
        <v>10.582000000000001</v>
      </c>
      <c r="U9">
        <v>58.338000000000001</v>
      </c>
      <c r="V9">
        <v>85.628</v>
      </c>
      <c r="W9">
        <v>517.00599999999997</v>
      </c>
      <c r="X9"/>
      <c r="Y9"/>
      <c r="Z9"/>
      <c r="AA9"/>
      <c r="AB9"/>
      <c r="AC9"/>
      <c r="AD9" s="31">
        <f t="shared" si="0"/>
        <v>688.73</v>
      </c>
    </row>
    <row r="10" spans="1:30" ht="15" customHeight="1">
      <c r="A10" s="3">
        <v>3</v>
      </c>
      <c r="B10" s="7" t="s">
        <v>22</v>
      </c>
      <c r="C10" s="19" t="s">
        <v>144</v>
      </c>
      <c r="D10" s="31">
        <f t="shared" si="1"/>
        <v>636</v>
      </c>
      <c r="E10" s="44"/>
      <c r="F10" s="45">
        <v>283</v>
      </c>
      <c r="G10" s="45">
        <v>26</v>
      </c>
      <c r="H10" s="45">
        <v>56</v>
      </c>
      <c r="I10" s="45">
        <v>30</v>
      </c>
      <c r="J10" s="46">
        <v>50</v>
      </c>
      <c r="K10"/>
      <c r="L10"/>
      <c r="M10">
        <v>73</v>
      </c>
      <c r="N10"/>
      <c r="O10">
        <v>75</v>
      </c>
      <c r="P10" s="47">
        <v>43</v>
      </c>
      <c r="Q10" s="57" t="s">
        <v>160</v>
      </c>
      <c r="R10"/>
      <c r="S10">
        <v>20.952999999999999</v>
      </c>
      <c r="T10">
        <v>4.5869999999999997</v>
      </c>
      <c r="U10">
        <v>37.411000000000001</v>
      </c>
      <c r="V10">
        <v>39.713000000000001</v>
      </c>
      <c r="W10">
        <v>237.59800000000001</v>
      </c>
      <c r="X10"/>
      <c r="Y10"/>
      <c r="Z10">
        <v>3.629</v>
      </c>
      <c r="AA10"/>
      <c r="AB10">
        <v>11.683</v>
      </c>
      <c r="AC10">
        <v>54.009</v>
      </c>
      <c r="AD10" s="31">
        <f t="shared" si="0"/>
        <v>409.58300000000003</v>
      </c>
    </row>
    <row r="11" spans="1:30" ht="15" customHeight="1">
      <c r="A11" s="3">
        <v>4</v>
      </c>
      <c r="B11" s="7" t="s">
        <v>23</v>
      </c>
      <c r="C11" s="19" t="s">
        <v>143</v>
      </c>
      <c r="D11" s="31">
        <f t="shared" si="1"/>
        <v>254</v>
      </c>
      <c r="E11" s="44"/>
      <c r="F11" s="45">
        <v>129</v>
      </c>
      <c r="G11" s="45">
        <v>48</v>
      </c>
      <c r="H11" s="44"/>
      <c r="I11" s="45">
        <v>36</v>
      </c>
      <c r="J11" s="46">
        <v>41</v>
      </c>
      <c r="K11"/>
      <c r="L11"/>
      <c r="M11"/>
      <c r="N11"/>
      <c r="O11"/>
      <c r="P11" s="47"/>
      <c r="Q11" s="57" t="s">
        <v>160</v>
      </c>
      <c r="R11"/>
      <c r="S11">
        <v>25.234000000000002</v>
      </c>
      <c r="T11">
        <v>24.786000000000001</v>
      </c>
      <c r="U11"/>
      <c r="V11">
        <v>87.906999999999996</v>
      </c>
      <c r="W11">
        <v>287.15499999999997</v>
      </c>
      <c r="X11"/>
      <c r="Y11"/>
      <c r="Z11"/>
      <c r="AA11"/>
      <c r="AB11"/>
      <c r="AC11"/>
      <c r="AD11" s="31">
        <f t="shared" si="0"/>
        <v>425.08199999999999</v>
      </c>
    </row>
    <row r="12" spans="1:30" ht="15" customHeight="1">
      <c r="A12" s="3">
        <v>5</v>
      </c>
      <c r="B12" s="7" t="s">
        <v>24</v>
      </c>
      <c r="C12" s="19" t="s">
        <v>144</v>
      </c>
      <c r="D12" s="31">
        <f t="shared" si="1"/>
        <v>1567</v>
      </c>
      <c r="E12" s="45">
        <v>305</v>
      </c>
      <c r="F12" s="45">
        <v>163</v>
      </c>
      <c r="G12" s="45">
        <v>280</v>
      </c>
      <c r="H12" s="45">
        <v>174</v>
      </c>
      <c r="I12" s="45">
        <v>130</v>
      </c>
      <c r="J12" s="46">
        <v>148</v>
      </c>
      <c r="K12"/>
      <c r="L12">
        <v>24</v>
      </c>
      <c r="M12">
        <v>129</v>
      </c>
      <c r="N12">
        <v>81</v>
      </c>
      <c r="O12">
        <v>76</v>
      </c>
      <c r="P12" s="47">
        <v>57</v>
      </c>
      <c r="Q12" s="57" t="s">
        <v>160</v>
      </c>
      <c r="R12">
        <v>8.4380000000000006</v>
      </c>
      <c r="S12">
        <v>19.797000000000001</v>
      </c>
      <c r="T12">
        <v>41.344999999999999</v>
      </c>
      <c r="U12">
        <v>71.8</v>
      </c>
      <c r="V12">
        <v>152.80500000000001</v>
      </c>
      <c r="W12">
        <v>655.27099999999996</v>
      </c>
      <c r="X12"/>
      <c r="Y12">
        <v>2.56</v>
      </c>
      <c r="Z12">
        <v>8.08</v>
      </c>
      <c r="AA12">
        <v>10.349</v>
      </c>
      <c r="AB12">
        <v>19.068999999999999</v>
      </c>
      <c r="AC12">
        <v>94.891000000000005</v>
      </c>
      <c r="AD12" s="31">
        <f t="shared" si="0"/>
        <v>1084.405</v>
      </c>
    </row>
    <row r="13" spans="1:30" ht="15" customHeight="1">
      <c r="A13" s="3">
        <v>6</v>
      </c>
      <c r="B13" s="7" t="s">
        <v>25</v>
      </c>
      <c r="C13" s="19" t="s">
        <v>143</v>
      </c>
      <c r="D13" s="31">
        <f t="shared" si="1"/>
        <v>475</v>
      </c>
      <c r="E13" s="45">
        <v>249</v>
      </c>
      <c r="F13" s="44"/>
      <c r="G13" s="45">
        <v>36</v>
      </c>
      <c r="H13" s="45">
        <v>117</v>
      </c>
      <c r="I13" s="45">
        <v>24</v>
      </c>
      <c r="J13" s="46">
        <v>49</v>
      </c>
      <c r="K13"/>
      <c r="L13"/>
      <c r="M13"/>
      <c r="N13"/>
      <c r="O13"/>
      <c r="P13" s="47"/>
      <c r="Q13" s="57" t="s">
        <v>160</v>
      </c>
      <c r="R13">
        <v>13.308</v>
      </c>
      <c r="S13"/>
      <c r="T13">
        <v>12.288</v>
      </c>
      <c r="U13">
        <v>59.164000000000001</v>
      </c>
      <c r="V13">
        <v>53.869</v>
      </c>
      <c r="W13">
        <v>326.38900000000001</v>
      </c>
      <c r="X13"/>
      <c r="Y13"/>
      <c r="Z13"/>
      <c r="AA13"/>
      <c r="AB13"/>
      <c r="AC13"/>
      <c r="AD13" s="31">
        <f t="shared" si="0"/>
        <v>465.01800000000003</v>
      </c>
    </row>
    <row r="14" spans="1:30" ht="15" customHeight="1">
      <c r="A14" s="3">
        <v>7</v>
      </c>
      <c r="B14" s="7" t="s">
        <v>26</v>
      </c>
      <c r="C14" s="19" t="s">
        <v>144</v>
      </c>
      <c r="D14" s="31">
        <f t="shared" si="1"/>
        <v>801</v>
      </c>
      <c r="E14" s="44"/>
      <c r="F14" s="45">
        <v>414</v>
      </c>
      <c r="G14" s="44"/>
      <c r="H14" s="45">
        <v>116</v>
      </c>
      <c r="I14" s="45">
        <v>37</v>
      </c>
      <c r="J14" s="46">
        <v>61</v>
      </c>
      <c r="K14"/>
      <c r="L14"/>
      <c r="M14">
        <v>41</v>
      </c>
      <c r="N14">
        <v>59</v>
      </c>
      <c r="O14">
        <v>37</v>
      </c>
      <c r="P14" s="47">
        <v>36</v>
      </c>
      <c r="Q14" s="57" t="s">
        <v>160</v>
      </c>
      <c r="R14"/>
      <c r="S14">
        <v>32.56</v>
      </c>
      <c r="T14"/>
      <c r="U14">
        <v>86.554000000000002</v>
      </c>
      <c r="V14">
        <v>55.524999999999999</v>
      </c>
      <c r="W14">
        <v>311.52999999999997</v>
      </c>
      <c r="X14"/>
      <c r="Y14"/>
      <c r="Z14">
        <v>1.9710000000000001</v>
      </c>
      <c r="AA14">
        <v>6.9550000000000001</v>
      </c>
      <c r="AB14">
        <v>12.162000000000001</v>
      </c>
      <c r="AC14">
        <v>71.173000000000002</v>
      </c>
      <c r="AD14" s="31">
        <f t="shared" si="0"/>
        <v>578.42999999999995</v>
      </c>
    </row>
    <row r="15" spans="1:30" ht="15" customHeight="1">
      <c r="A15" s="3">
        <v>8</v>
      </c>
      <c r="B15" s="7" t="s">
        <v>27</v>
      </c>
      <c r="C15" s="19" t="s">
        <v>145</v>
      </c>
      <c r="D15" s="31">
        <f t="shared" si="1"/>
        <v>3997</v>
      </c>
      <c r="E15" s="45">
        <v>616</v>
      </c>
      <c r="F15" s="44"/>
      <c r="G15" s="44">
        <v>34</v>
      </c>
      <c r="H15" s="45">
        <v>135</v>
      </c>
      <c r="I15" s="45">
        <v>63</v>
      </c>
      <c r="J15" s="46">
        <v>58</v>
      </c>
      <c r="K15">
        <v>1711</v>
      </c>
      <c r="L15"/>
      <c r="M15">
        <v>464</v>
      </c>
      <c r="N15">
        <v>546</v>
      </c>
      <c r="O15">
        <v>176</v>
      </c>
      <c r="P15" s="47">
        <v>194</v>
      </c>
      <c r="Q15" s="57" t="s">
        <v>160</v>
      </c>
      <c r="R15">
        <v>14.326000000000001</v>
      </c>
      <c r="S15"/>
      <c r="T15">
        <v>4.2069999999999999</v>
      </c>
      <c r="U15">
        <v>58.957000000000001</v>
      </c>
      <c r="V15">
        <v>50.710999999999999</v>
      </c>
      <c r="W15">
        <v>202.83799999999999</v>
      </c>
      <c r="X15">
        <v>19.657</v>
      </c>
      <c r="Y15"/>
      <c r="Z15">
        <v>20.170999999999999</v>
      </c>
      <c r="AA15">
        <v>40.712000000000003</v>
      </c>
      <c r="AB15">
        <v>40.454999999999998</v>
      </c>
      <c r="AC15">
        <v>308.13</v>
      </c>
      <c r="AD15" s="31">
        <f t="shared" si="0"/>
        <v>760.16399999999999</v>
      </c>
    </row>
    <row r="16" spans="1:30" ht="15" customHeight="1">
      <c r="A16" s="3">
        <v>9</v>
      </c>
      <c r="B16" s="7" t="s">
        <v>28</v>
      </c>
      <c r="C16" s="19" t="s">
        <v>144</v>
      </c>
      <c r="D16" s="31">
        <f t="shared" si="1"/>
        <v>573</v>
      </c>
      <c r="E16" s="44"/>
      <c r="F16" s="45">
        <v>184</v>
      </c>
      <c r="G16" s="45">
        <v>75</v>
      </c>
      <c r="H16" s="45">
        <v>46</v>
      </c>
      <c r="I16" s="45">
        <v>47</v>
      </c>
      <c r="J16" s="46">
        <v>38</v>
      </c>
      <c r="K16"/>
      <c r="L16"/>
      <c r="M16">
        <v>85</v>
      </c>
      <c r="N16">
        <v>44</v>
      </c>
      <c r="O16">
        <v>30</v>
      </c>
      <c r="P16" s="47">
        <v>24</v>
      </c>
      <c r="Q16" s="57" t="s">
        <v>160</v>
      </c>
      <c r="R16"/>
      <c r="S16">
        <v>20.626000000000001</v>
      </c>
      <c r="T16">
        <v>28.925000000000001</v>
      </c>
      <c r="U16">
        <v>33.454999999999998</v>
      </c>
      <c r="V16">
        <v>59.753999999999998</v>
      </c>
      <c r="W16">
        <v>175.12700000000001</v>
      </c>
      <c r="X16"/>
      <c r="Y16"/>
      <c r="Z16">
        <v>5.8959999999999999</v>
      </c>
      <c r="AA16">
        <v>5.774</v>
      </c>
      <c r="AB16">
        <v>9.5210000000000008</v>
      </c>
      <c r="AC16">
        <v>46.957000000000001</v>
      </c>
      <c r="AD16" s="31">
        <f t="shared" si="0"/>
        <v>386.03500000000003</v>
      </c>
    </row>
    <row r="17" spans="1:30" ht="15" customHeight="1">
      <c r="A17" s="3">
        <v>10</v>
      </c>
      <c r="B17" s="7" t="s">
        <v>29</v>
      </c>
      <c r="C17" s="19" t="s">
        <v>145</v>
      </c>
      <c r="D17" s="31">
        <f t="shared" si="1"/>
        <v>1292</v>
      </c>
      <c r="E17" s="45">
        <v>189</v>
      </c>
      <c r="F17" s="45">
        <v>125</v>
      </c>
      <c r="G17" s="44"/>
      <c r="H17" s="45">
        <v>101</v>
      </c>
      <c r="I17" s="45">
        <v>29</v>
      </c>
      <c r="J17" s="46">
        <v>42</v>
      </c>
      <c r="K17"/>
      <c r="L17"/>
      <c r="M17">
        <v>457</v>
      </c>
      <c r="N17">
        <v>70</v>
      </c>
      <c r="O17">
        <v>139</v>
      </c>
      <c r="P17" s="47">
        <v>140</v>
      </c>
      <c r="Q17" s="57" t="s">
        <v>160</v>
      </c>
      <c r="R17">
        <v>10.695</v>
      </c>
      <c r="S17">
        <v>12.167</v>
      </c>
      <c r="T17"/>
      <c r="U17">
        <v>28.111000000000001</v>
      </c>
      <c r="V17">
        <v>37.429000000000002</v>
      </c>
      <c r="W17">
        <v>197.43799999999999</v>
      </c>
      <c r="X17"/>
      <c r="Y17"/>
      <c r="Z17">
        <v>23.167999999999999</v>
      </c>
      <c r="AA17">
        <v>12.313000000000001</v>
      </c>
      <c r="AB17">
        <v>35.472000000000001</v>
      </c>
      <c r="AC17">
        <v>237.90299999999999</v>
      </c>
      <c r="AD17" s="31">
        <f t="shared" si="0"/>
        <v>594.69599999999991</v>
      </c>
    </row>
    <row r="18" spans="1:30" ht="15" customHeight="1">
      <c r="A18" s="3">
        <v>11</v>
      </c>
      <c r="B18" s="7" t="s">
        <v>30</v>
      </c>
      <c r="C18" s="19" t="s">
        <v>144</v>
      </c>
      <c r="D18" s="31">
        <f t="shared" si="1"/>
        <v>738</v>
      </c>
      <c r="E18" s="44"/>
      <c r="F18" s="45">
        <v>213</v>
      </c>
      <c r="G18" s="45">
        <v>38</v>
      </c>
      <c r="H18" s="45">
        <v>30</v>
      </c>
      <c r="I18" s="45">
        <v>36</v>
      </c>
      <c r="J18" s="46">
        <v>46</v>
      </c>
      <c r="K18"/>
      <c r="L18"/>
      <c r="M18">
        <v>245</v>
      </c>
      <c r="N18">
        <v>38</v>
      </c>
      <c r="O18">
        <v>42</v>
      </c>
      <c r="P18" s="47">
        <v>50</v>
      </c>
      <c r="Q18" s="57" t="s">
        <v>160</v>
      </c>
      <c r="R18"/>
      <c r="S18">
        <v>24.224</v>
      </c>
      <c r="T18">
        <v>14.768000000000001</v>
      </c>
      <c r="U18">
        <v>13.704000000000001</v>
      </c>
      <c r="V18">
        <v>40.174999999999997</v>
      </c>
      <c r="W18">
        <v>198.75700000000001</v>
      </c>
      <c r="X18"/>
      <c r="Y18"/>
      <c r="Z18">
        <v>16.23</v>
      </c>
      <c r="AA18">
        <v>5.99</v>
      </c>
      <c r="AB18">
        <v>11.186999999999999</v>
      </c>
      <c r="AC18">
        <v>87.36</v>
      </c>
      <c r="AD18" s="31">
        <f t="shared" si="0"/>
        <v>412.3950000000001</v>
      </c>
    </row>
    <row r="19" spans="1:30" ht="15" customHeight="1">
      <c r="A19" s="3">
        <v>12</v>
      </c>
      <c r="B19" s="7" t="s">
        <v>31</v>
      </c>
      <c r="C19" s="19" t="s">
        <v>143</v>
      </c>
      <c r="D19" s="31">
        <f t="shared" si="1"/>
        <v>260</v>
      </c>
      <c r="E19" s="44"/>
      <c r="F19" s="45">
        <v>123</v>
      </c>
      <c r="G19" s="45">
        <v>13</v>
      </c>
      <c r="H19" s="45">
        <v>65</v>
      </c>
      <c r="I19" s="45">
        <v>26</v>
      </c>
      <c r="J19" s="46">
        <v>33</v>
      </c>
      <c r="K19"/>
      <c r="L19"/>
      <c r="M19"/>
      <c r="N19"/>
      <c r="O19"/>
      <c r="P19" s="47"/>
      <c r="Q19" s="57" t="s">
        <v>160</v>
      </c>
      <c r="R19"/>
      <c r="S19">
        <v>19.856999999999999</v>
      </c>
      <c r="T19">
        <v>8.4649999999999999</v>
      </c>
      <c r="U19">
        <v>45.014000000000003</v>
      </c>
      <c r="V19">
        <v>61.279000000000003</v>
      </c>
      <c r="W19">
        <v>223.739</v>
      </c>
      <c r="X19"/>
      <c r="Y19"/>
      <c r="Z19"/>
      <c r="AA19"/>
      <c r="AB19"/>
      <c r="AC19"/>
      <c r="AD19" s="31">
        <f t="shared" si="0"/>
        <v>358.35400000000004</v>
      </c>
    </row>
    <row r="20" spans="1:30" ht="15" customHeight="1">
      <c r="A20" s="3">
        <v>13</v>
      </c>
      <c r="B20" s="7" t="s">
        <v>32</v>
      </c>
      <c r="C20" s="19" t="s">
        <v>143</v>
      </c>
      <c r="D20" s="31">
        <f t="shared" si="1"/>
        <v>432</v>
      </c>
      <c r="E20" s="44"/>
      <c r="F20" s="45">
        <v>195</v>
      </c>
      <c r="G20" s="45">
        <v>11</v>
      </c>
      <c r="H20" s="45">
        <v>120</v>
      </c>
      <c r="I20" s="45">
        <v>57</v>
      </c>
      <c r="J20" s="46">
        <v>49</v>
      </c>
      <c r="K20"/>
      <c r="L20"/>
      <c r="M20"/>
      <c r="N20"/>
      <c r="O20"/>
      <c r="P20" s="47"/>
      <c r="Q20" s="57" t="s">
        <v>160</v>
      </c>
      <c r="R20"/>
      <c r="S20">
        <v>26.446000000000002</v>
      </c>
      <c r="T20">
        <v>6.3289999999999997</v>
      </c>
      <c r="U20">
        <v>85.453999999999994</v>
      </c>
      <c r="V20">
        <v>129.24700000000001</v>
      </c>
      <c r="W20">
        <v>328.91500000000002</v>
      </c>
      <c r="X20"/>
      <c r="Y20"/>
      <c r="Z20"/>
      <c r="AA20"/>
      <c r="AB20"/>
      <c r="AC20"/>
      <c r="AD20" s="31">
        <f t="shared" si="0"/>
        <v>576.39100000000008</v>
      </c>
    </row>
    <row r="21" spans="1:30" ht="15" customHeight="1">
      <c r="A21" s="3">
        <v>14</v>
      </c>
      <c r="B21" s="7" t="s">
        <v>33</v>
      </c>
      <c r="C21" s="19" t="s">
        <v>143</v>
      </c>
      <c r="D21" s="31">
        <f t="shared" si="1"/>
        <v>464</v>
      </c>
      <c r="E21" s="44"/>
      <c r="F21" s="45">
        <v>161</v>
      </c>
      <c r="G21" s="45">
        <v>75</v>
      </c>
      <c r="H21" s="45">
        <v>59</v>
      </c>
      <c r="I21" s="45">
        <v>73</v>
      </c>
      <c r="J21" s="46">
        <v>96</v>
      </c>
      <c r="K21"/>
      <c r="L21"/>
      <c r="M21"/>
      <c r="N21"/>
      <c r="O21"/>
      <c r="P21" s="47"/>
      <c r="Q21" s="57" t="s">
        <v>160</v>
      </c>
      <c r="R21"/>
      <c r="S21">
        <v>31.811</v>
      </c>
      <c r="T21">
        <v>29.699000000000002</v>
      </c>
      <c r="U21">
        <v>44.106999999999999</v>
      </c>
      <c r="V21">
        <v>165.56299999999999</v>
      </c>
      <c r="W21">
        <v>638.54100000000005</v>
      </c>
      <c r="X21"/>
      <c r="Y21"/>
      <c r="Z21"/>
      <c r="AA21"/>
      <c r="AB21"/>
      <c r="AC21"/>
      <c r="AD21" s="31">
        <f t="shared" si="0"/>
        <v>909.721</v>
      </c>
    </row>
    <row r="22" spans="1:30" ht="15" customHeight="1">
      <c r="A22" s="3">
        <v>15</v>
      </c>
      <c r="B22" s="7" t="s">
        <v>34</v>
      </c>
      <c r="C22" s="19" t="s">
        <v>145</v>
      </c>
      <c r="D22" s="31">
        <f t="shared" si="1"/>
        <v>2506</v>
      </c>
      <c r="E22" s="45">
        <v>742</v>
      </c>
      <c r="F22" s="45">
        <v>88</v>
      </c>
      <c r="G22" s="45">
        <v>81</v>
      </c>
      <c r="H22" s="45">
        <v>64</v>
      </c>
      <c r="I22" s="45">
        <v>62</v>
      </c>
      <c r="J22" s="46">
        <v>74</v>
      </c>
      <c r="K22">
        <v>679</v>
      </c>
      <c r="L22"/>
      <c r="M22">
        <v>379</v>
      </c>
      <c r="N22">
        <v>90</v>
      </c>
      <c r="O22">
        <v>72</v>
      </c>
      <c r="P22" s="47">
        <v>175</v>
      </c>
      <c r="Q22" s="57" t="s">
        <v>160</v>
      </c>
      <c r="R22">
        <v>12.266</v>
      </c>
      <c r="S22">
        <v>7.4770000000000003</v>
      </c>
      <c r="T22">
        <v>16.931999999999999</v>
      </c>
      <c r="U22">
        <v>13.262</v>
      </c>
      <c r="V22">
        <v>56.74</v>
      </c>
      <c r="W22">
        <v>279.084</v>
      </c>
      <c r="X22">
        <v>7.6059999999999999</v>
      </c>
      <c r="Y22"/>
      <c r="Z22">
        <v>28.748000000000001</v>
      </c>
      <c r="AA22">
        <v>14.364000000000001</v>
      </c>
      <c r="AB22">
        <v>13.965</v>
      </c>
      <c r="AC22">
        <v>250.494</v>
      </c>
      <c r="AD22" s="31">
        <f t="shared" si="0"/>
        <v>700.93799999999987</v>
      </c>
    </row>
    <row r="23" spans="1:30" ht="15" customHeight="1">
      <c r="A23" s="3">
        <v>16</v>
      </c>
      <c r="B23" s="7" t="s">
        <v>35</v>
      </c>
      <c r="C23" s="19" t="s">
        <v>143</v>
      </c>
      <c r="D23" s="31">
        <f t="shared" si="1"/>
        <v>458</v>
      </c>
      <c r="E23" s="44"/>
      <c r="F23" s="45">
        <v>164</v>
      </c>
      <c r="G23" s="45">
        <v>22</v>
      </c>
      <c r="H23" s="45">
        <v>168</v>
      </c>
      <c r="I23" s="45">
        <v>38</v>
      </c>
      <c r="J23" s="46">
        <v>66</v>
      </c>
      <c r="K23"/>
      <c r="L23"/>
      <c r="M23"/>
      <c r="N23"/>
      <c r="O23"/>
      <c r="P23" s="47"/>
      <c r="Q23" s="57" t="s">
        <v>160</v>
      </c>
      <c r="R23"/>
      <c r="S23">
        <v>17.786000000000001</v>
      </c>
      <c r="T23">
        <v>13.257999999999999</v>
      </c>
      <c r="U23">
        <v>77.602999999999994</v>
      </c>
      <c r="V23">
        <v>94.355999999999995</v>
      </c>
      <c r="W23">
        <v>467.10500000000002</v>
      </c>
      <c r="X23"/>
      <c r="Y23"/>
      <c r="Z23"/>
      <c r="AA23"/>
      <c r="AB23"/>
      <c r="AC23"/>
      <c r="AD23" s="31">
        <f t="shared" si="0"/>
        <v>670.10799999999995</v>
      </c>
    </row>
    <row r="24" spans="1:30" ht="15" customHeight="1">
      <c r="A24" s="3">
        <v>17</v>
      </c>
      <c r="B24" s="7" t="s">
        <v>36</v>
      </c>
      <c r="C24" s="19" t="s">
        <v>144</v>
      </c>
      <c r="D24" s="31">
        <f t="shared" si="1"/>
        <v>483</v>
      </c>
      <c r="E24" s="45">
        <v>187</v>
      </c>
      <c r="F24" s="45">
        <v>14</v>
      </c>
      <c r="G24" s="44"/>
      <c r="H24" s="45">
        <v>115</v>
      </c>
      <c r="I24" s="45">
        <v>22</v>
      </c>
      <c r="J24" s="46">
        <v>46</v>
      </c>
      <c r="K24"/>
      <c r="L24"/>
      <c r="M24"/>
      <c r="N24">
        <v>75</v>
      </c>
      <c r="O24">
        <v>4</v>
      </c>
      <c r="P24" s="47">
        <v>20</v>
      </c>
      <c r="Q24" s="57" t="s">
        <v>160</v>
      </c>
      <c r="R24">
        <v>18.701000000000001</v>
      </c>
      <c r="S24">
        <v>4.6289999999999996</v>
      </c>
      <c r="T24"/>
      <c r="U24">
        <v>75.474999999999994</v>
      </c>
      <c r="V24">
        <v>69.542000000000002</v>
      </c>
      <c r="W24">
        <v>375.601</v>
      </c>
      <c r="X24"/>
      <c r="Y24"/>
      <c r="Z24"/>
      <c r="AA24">
        <v>14.592000000000001</v>
      </c>
      <c r="AB24">
        <v>1.9770000000000001</v>
      </c>
      <c r="AC24">
        <v>51.274999999999999</v>
      </c>
      <c r="AD24" s="31">
        <f t="shared" si="0"/>
        <v>611.79199999999992</v>
      </c>
    </row>
    <row r="25" spans="1:30" ht="15" customHeight="1">
      <c r="A25" s="3">
        <v>18</v>
      </c>
      <c r="B25" s="7" t="s">
        <v>37</v>
      </c>
      <c r="C25" s="19" t="s">
        <v>144</v>
      </c>
      <c r="D25" s="31">
        <f t="shared" si="1"/>
        <v>884</v>
      </c>
      <c r="E25" s="44"/>
      <c r="F25" s="45">
        <v>191</v>
      </c>
      <c r="G25" s="45">
        <v>18</v>
      </c>
      <c r="H25" s="45">
        <v>125</v>
      </c>
      <c r="I25" s="45">
        <v>78</v>
      </c>
      <c r="J25" s="46">
        <v>149</v>
      </c>
      <c r="K25"/>
      <c r="L25"/>
      <c r="M25">
        <v>101</v>
      </c>
      <c r="N25">
        <v>96</v>
      </c>
      <c r="O25">
        <v>63</v>
      </c>
      <c r="P25" s="47">
        <v>63</v>
      </c>
      <c r="Q25" s="57" t="s">
        <v>160</v>
      </c>
      <c r="R25"/>
      <c r="S25">
        <v>33.344000000000001</v>
      </c>
      <c r="T25">
        <v>3.496</v>
      </c>
      <c r="U25">
        <v>40.210999999999999</v>
      </c>
      <c r="V25">
        <v>111.001</v>
      </c>
      <c r="W25">
        <v>738.86199999999997</v>
      </c>
      <c r="X25"/>
      <c r="Y25"/>
      <c r="Z25">
        <v>6.7830000000000004</v>
      </c>
      <c r="AA25">
        <v>11.151</v>
      </c>
      <c r="AB25">
        <v>14.823</v>
      </c>
      <c r="AC25">
        <v>102.18600000000001</v>
      </c>
      <c r="AD25" s="31">
        <f t="shared" si="0"/>
        <v>1061.857</v>
      </c>
    </row>
    <row r="26" spans="1:30" ht="15" customHeight="1">
      <c r="A26" s="3">
        <v>19</v>
      </c>
      <c r="B26" s="7" t="s">
        <v>38</v>
      </c>
      <c r="C26" s="19" t="s">
        <v>145</v>
      </c>
      <c r="D26" s="31">
        <f t="shared" si="1"/>
        <v>2127</v>
      </c>
      <c r="E26" s="44"/>
      <c r="F26" s="45">
        <v>159</v>
      </c>
      <c r="G26" s="45">
        <v>9</v>
      </c>
      <c r="H26" s="45">
        <v>29</v>
      </c>
      <c r="I26" s="45">
        <v>28</v>
      </c>
      <c r="J26" s="46">
        <v>40</v>
      </c>
      <c r="K26">
        <v>839</v>
      </c>
      <c r="L26">
        <v>28</v>
      </c>
      <c r="M26">
        <v>536</v>
      </c>
      <c r="N26">
        <v>214</v>
      </c>
      <c r="O26">
        <v>124</v>
      </c>
      <c r="P26" s="47">
        <v>121</v>
      </c>
      <c r="Q26" s="57" t="s">
        <v>160</v>
      </c>
      <c r="R26"/>
      <c r="S26">
        <v>15.676</v>
      </c>
      <c r="T26">
        <v>4.5279999999999996</v>
      </c>
      <c r="U26">
        <v>25.024999999999999</v>
      </c>
      <c r="V26">
        <v>33.409999999999997</v>
      </c>
      <c r="W26">
        <v>178.96600000000001</v>
      </c>
      <c r="X26">
        <v>9.5340000000000007</v>
      </c>
      <c r="Y26">
        <v>0.69799999999999995</v>
      </c>
      <c r="Z26">
        <v>26.292000000000002</v>
      </c>
      <c r="AA26">
        <v>26.536000000000001</v>
      </c>
      <c r="AB26">
        <v>41.707000000000001</v>
      </c>
      <c r="AC26">
        <v>244.28399999999999</v>
      </c>
      <c r="AD26" s="31">
        <f t="shared" si="0"/>
        <v>606.65599999999995</v>
      </c>
    </row>
    <row r="27" spans="1:30" ht="15" customHeight="1">
      <c r="A27" s="3">
        <v>20</v>
      </c>
      <c r="B27" s="7" t="s">
        <v>39</v>
      </c>
      <c r="C27" s="19" t="s">
        <v>143</v>
      </c>
      <c r="D27" s="31">
        <f t="shared" si="1"/>
        <v>148</v>
      </c>
      <c r="E27" s="44"/>
      <c r="F27" s="45">
        <v>28</v>
      </c>
      <c r="G27" s="45">
        <v>54</v>
      </c>
      <c r="H27" s="45">
        <v>26</v>
      </c>
      <c r="I27" s="45">
        <v>18</v>
      </c>
      <c r="J27" s="46">
        <v>22</v>
      </c>
      <c r="K27"/>
      <c r="L27"/>
      <c r="M27"/>
      <c r="N27"/>
      <c r="O27"/>
      <c r="P27" s="47"/>
      <c r="Q27" s="57" t="s">
        <v>160</v>
      </c>
      <c r="R27"/>
      <c r="S27">
        <v>12.654999999999999</v>
      </c>
      <c r="T27">
        <v>30.398</v>
      </c>
      <c r="U27">
        <v>24.263000000000002</v>
      </c>
      <c r="V27">
        <v>66.784999999999997</v>
      </c>
      <c r="W27">
        <v>202.99799999999999</v>
      </c>
      <c r="X27"/>
      <c r="Y27"/>
      <c r="Z27"/>
      <c r="AA27"/>
      <c r="AB27"/>
      <c r="AC27"/>
      <c r="AD27" s="31">
        <f t="shared" si="0"/>
        <v>337.09899999999999</v>
      </c>
    </row>
    <row r="28" spans="1:30" ht="15" customHeight="1">
      <c r="A28" s="3">
        <v>21</v>
      </c>
      <c r="B28" s="7" t="s">
        <v>40</v>
      </c>
      <c r="C28" s="19" t="s">
        <v>143</v>
      </c>
      <c r="D28" s="31">
        <f t="shared" si="1"/>
        <v>676</v>
      </c>
      <c r="E28" s="45">
        <v>415</v>
      </c>
      <c r="F28" s="44"/>
      <c r="G28" s="45">
        <v>74</v>
      </c>
      <c r="H28" s="45">
        <v>139</v>
      </c>
      <c r="I28" s="45">
        <v>25</v>
      </c>
      <c r="J28" s="46">
        <v>23</v>
      </c>
      <c r="K28"/>
      <c r="L28"/>
      <c r="M28"/>
      <c r="N28"/>
      <c r="O28"/>
      <c r="P28" s="47"/>
      <c r="Q28" s="57" t="s">
        <v>160</v>
      </c>
      <c r="R28">
        <v>14.625</v>
      </c>
      <c r="S28"/>
      <c r="T28">
        <v>7.6820000000000004</v>
      </c>
      <c r="U28">
        <v>40.133000000000003</v>
      </c>
      <c r="V28">
        <v>50.372999999999998</v>
      </c>
      <c r="W28">
        <v>143.34800000000001</v>
      </c>
      <c r="X28"/>
      <c r="Y28"/>
      <c r="Z28"/>
      <c r="AA28"/>
      <c r="AB28"/>
      <c r="AC28"/>
      <c r="AD28" s="31">
        <f t="shared" si="0"/>
        <v>256.161</v>
      </c>
    </row>
    <row r="29" spans="1:30" ht="15" customHeight="1">
      <c r="A29" s="3">
        <v>22</v>
      </c>
      <c r="B29" s="7" t="s">
        <v>41</v>
      </c>
      <c r="C29" s="19" t="s">
        <v>143</v>
      </c>
      <c r="D29" s="31">
        <f t="shared" si="1"/>
        <v>1084</v>
      </c>
      <c r="E29" s="45">
        <v>491</v>
      </c>
      <c r="F29" s="45">
        <v>76</v>
      </c>
      <c r="G29" s="45">
        <v>62</v>
      </c>
      <c r="H29" s="45">
        <v>210</v>
      </c>
      <c r="I29" s="45">
        <v>78</v>
      </c>
      <c r="J29" s="46">
        <v>167</v>
      </c>
      <c r="K29"/>
      <c r="L29"/>
      <c r="M29"/>
      <c r="N29"/>
      <c r="O29"/>
      <c r="P29" s="47"/>
      <c r="Q29" s="57" t="s">
        <v>160</v>
      </c>
      <c r="R29">
        <v>32.146999999999998</v>
      </c>
      <c r="S29">
        <v>19.103999999999999</v>
      </c>
      <c r="T29">
        <v>11.721</v>
      </c>
      <c r="U29">
        <v>69.427999999999997</v>
      </c>
      <c r="V29">
        <v>90.253</v>
      </c>
      <c r="W29">
        <v>733.99</v>
      </c>
      <c r="X29"/>
      <c r="Y29"/>
      <c r="Z29"/>
      <c r="AA29"/>
      <c r="AB29"/>
      <c r="AC29"/>
      <c r="AD29" s="31">
        <f t="shared" si="0"/>
        <v>956.64300000000003</v>
      </c>
    </row>
    <row r="30" spans="1:30" ht="15" customHeight="1">
      <c r="A30" s="3">
        <v>23</v>
      </c>
      <c r="B30" s="7" t="s">
        <v>42</v>
      </c>
      <c r="C30" s="19" t="s">
        <v>143</v>
      </c>
      <c r="D30" s="31">
        <f t="shared" si="1"/>
        <v>398</v>
      </c>
      <c r="E30" s="44"/>
      <c r="F30" s="45">
        <v>118</v>
      </c>
      <c r="G30" s="44"/>
      <c r="H30" s="45">
        <v>108</v>
      </c>
      <c r="I30" s="45">
        <v>60</v>
      </c>
      <c r="J30" s="46">
        <v>112</v>
      </c>
      <c r="K30"/>
      <c r="L30"/>
      <c r="M30"/>
      <c r="N30"/>
      <c r="O30"/>
      <c r="P30" s="47"/>
      <c r="Q30" s="57" t="s">
        <v>160</v>
      </c>
      <c r="R30"/>
      <c r="S30">
        <v>23.715</v>
      </c>
      <c r="T30"/>
      <c r="U30">
        <v>70.748000000000005</v>
      </c>
      <c r="V30">
        <v>89.986999999999995</v>
      </c>
      <c r="W30">
        <v>574.57299999999998</v>
      </c>
      <c r="X30"/>
      <c r="Y30"/>
      <c r="Z30"/>
      <c r="AA30"/>
      <c r="AB30"/>
      <c r="AC30"/>
      <c r="AD30" s="31">
        <f t="shared" si="0"/>
        <v>759.02299999999991</v>
      </c>
    </row>
    <row r="31" spans="1:30" ht="15" customHeight="1">
      <c r="A31" s="3">
        <v>24</v>
      </c>
      <c r="B31" s="7" t="s">
        <v>43</v>
      </c>
      <c r="C31" s="19" t="s">
        <v>151</v>
      </c>
      <c r="D31" s="31">
        <f t="shared" si="1"/>
        <v>2475</v>
      </c>
      <c r="E31" s="45">
        <v>722</v>
      </c>
      <c r="F31" s="45">
        <v>325</v>
      </c>
      <c r="G31" s="45">
        <v>12</v>
      </c>
      <c r="H31" s="45">
        <v>170</v>
      </c>
      <c r="I31" s="45">
        <v>79</v>
      </c>
      <c r="J31" s="46">
        <v>107</v>
      </c>
      <c r="K31"/>
      <c r="L31">
        <v>88</v>
      </c>
      <c r="M31">
        <v>524</v>
      </c>
      <c r="N31">
        <v>201</v>
      </c>
      <c r="O31">
        <v>77</v>
      </c>
      <c r="P31" s="47">
        <v>170</v>
      </c>
      <c r="Q31" s="57" t="s">
        <v>160</v>
      </c>
      <c r="R31">
        <v>23.542999999999999</v>
      </c>
      <c r="S31">
        <v>40.936</v>
      </c>
      <c r="T31">
        <v>4.173</v>
      </c>
      <c r="U31">
        <v>100.86199999999999</v>
      </c>
      <c r="V31">
        <v>141.85400000000001</v>
      </c>
      <c r="W31">
        <v>613.69500000000005</v>
      </c>
      <c r="X31"/>
      <c r="Y31">
        <v>6.5220000000000002</v>
      </c>
      <c r="Z31">
        <v>36.966000000000001</v>
      </c>
      <c r="AA31">
        <v>28.131</v>
      </c>
      <c r="AB31">
        <v>19.027999999999999</v>
      </c>
      <c r="AC31">
        <v>283.709</v>
      </c>
      <c r="AD31" s="31">
        <f t="shared" si="0"/>
        <v>1299.4190000000001</v>
      </c>
    </row>
    <row r="32" spans="1:30" ht="15" customHeight="1">
      <c r="A32" s="3">
        <v>25</v>
      </c>
      <c r="B32" s="7" t="s">
        <v>44</v>
      </c>
      <c r="C32" s="19" t="s">
        <v>144</v>
      </c>
      <c r="D32" s="31">
        <f t="shared" si="1"/>
        <v>1205</v>
      </c>
      <c r="E32" s="45">
        <v>413</v>
      </c>
      <c r="F32" s="45">
        <v>190</v>
      </c>
      <c r="G32" s="45">
        <v>50</v>
      </c>
      <c r="H32" s="45">
        <v>114</v>
      </c>
      <c r="I32" s="45">
        <v>31</v>
      </c>
      <c r="J32" s="46">
        <v>36</v>
      </c>
      <c r="K32">
        <v>93</v>
      </c>
      <c r="L32"/>
      <c r="M32">
        <v>69</v>
      </c>
      <c r="N32">
        <v>128</v>
      </c>
      <c r="O32">
        <v>30</v>
      </c>
      <c r="P32" s="47">
        <v>51</v>
      </c>
      <c r="Q32" s="57" t="s">
        <v>160</v>
      </c>
      <c r="R32">
        <v>12.768000000000001</v>
      </c>
      <c r="S32">
        <v>17.803000000000001</v>
      </c>
      <c r="T32">
        <v>8.9890000000000008</v>
      </c>
      <c r="U32">
        <v>52.673999999999999</v>
      </c>
      <c r="V32">
        <v>50.69</v>
      </c>
      <c r="W32">
        <v>192.01599999999999</v>
      </c>
      <c r="X32">
        <v>2.012</v>
      </c>
      <c r="Y32"/>
      <c r="Z32">
        <v>3.4460000000000002</v>
      </c>
      <c r="AA32">
        <v>14.712</v>
      </c>
      <c r="AB32">
        <v>9.5419999999999998</v>
      </c>
      <c r="AC32">
        <v>100.88200000000001</v>
      </c>
      <c r="AD32" s="31">
        <f t="shared" si="0"/>
        <v>465.53399999999999</v>
      </c>
    </row>
    <row r="33" spans="1:30" ht="15" customHeight="1">
      <c r="A33" s="3">
        <v>26</v>
      </c>
      <c r="B33" s="7" t="s">
        <v>45</v>
      </c>
      <c r="C33" s="19" t="s">
        <v>143</v>
      </c>
      <c r="D33" s="31">
        <f t="shared" si="1"/>
        <v>605</v>
      </c>
      <c r="E33" s="44"/>
      <c r="F33" s="45">
        <v>186</v>
      </c>
      <c r="G33" s="45">
        <v>101</v>
      </c>
      <c r="H33" s="45">
        <v>156</v>
      </c>
      <c r="I33" s="45">
        <v>53</v>
      </c>
      <c r="J33" s="46">
        <v>109</v>
      </c>
      <c r="K33"/>
      <c r="L33"/>
      <c r="M33"/>
      <c r="N33"/>
      <c r="O33"/>
      <c r="P33" s="47"/>
      <c r="Q33" s="57" t="s">
        <v>160</v>
      </c>
      <c r="R33"/>
      <c r="S33">
        <v>25.335999999999999</v>
      </c>
      <c r="T33">
        <v>16.096</v>
      </c>
      <c r="U33">
        <v>102.354</v>
      </c>
      <c r="V33">
        <v>75.021000000000001</v>
      </c>
      <c r="W33">
        <v>538.52499999999998</v>
      </c>
      <c r="X33"/>
      <c r="Y33"/>
      <c r="Z33"/>
      <c r="AA33"/>
      <c r="AB33"/>
      <c r="AC33"/>
      <c r="AD33" s="31">
        <f t="shared" si="0"/>
        <v>757.33199999999999</v>
      </c>
    </row>
    <row r="34" spans="1:30" ht="15" customHeight="1">
      <c r="A34" s="3">
        <v>27</v>
      </c>
      <c r="B34" s="7" t="s">
        <v>46</v>
      </c>
      <c r="C34" s="19" t="s">
        <v>143</v>
      </c>
      <c r="D34" s="31">
        <f t="shared" si="1"/>
        <v>288</v>
      </c>
      <c r="E34" s="44"/>
      <c r="F34" s="45">
        <v>82</v>
      </c>
      <c r="G34" s="45">
        <v>49</v>
      </c>
      <c r="H34" s="45">
        <v>47</v>
      </c>
      <c r="I34" s="45">
        <v>57</v>
      </c>
      <c r="J34" s="46">
        <v>53</v>
      </c>
      <c r="K34"/>
      <c r="L34"/>
      <c r="M34"/>
      <c r="N34"/>
      <c r="O34"/>
      <c r="P34" s="47"/>
      <c r="Q34" s="57" t="s">
        <v>160</v>
      </c>
      <c r="R34"/>
      <c r="S34">
        <v>21.291</v>
      </c>
      <c r="T34">
        <v>12.816000000000001</v>
      </c>
      <c r="U34">
        <v>8.82</v>
      </c>
      <c r="V34">
        <v>80.855999999999995</v>
      </c>
      <c r="W34">
        <v>263.76400000000001</v>
      </c>
      <c r="X34"/>
      <c r="Y34"/>
      <c r="Z34"/>
      <c r="AA34"/>
      <c r="AB34"/>
      <c r="AC34"/>
      <c r="AD34" s="31">
        <f t="shared" si="0"/>
        <v>387.54700000000003</v>
      </c>
    </row>
    <row r="35" spans="1:30" ht="15" customHeight="1">
      <c r="A35" s="3">
        <v>28</v>
      </c>
      <c r="B35" s="7" t="s">
        <v>47</v>
      </c>
      <c r="C35" s="19" t="s">
        <v>143</v>
      </c>
      <c r="D35" s="31">
        <f t="shared" si="1"/>
        <v>222</v>
      </c>
      <c r="E35" s="44"/>
      <c r="F35" s="45">
        <v>110</v>
      </c>
      <c r="G35" s="44"/>
      <c r="H35" s="45">
        <v>20</v>
      </c>
      <c r="I35" s="45">
        <v>35</v>
      </c>
      <c r="J35" s="46">
        <v>57</v>
      </c>
      <c r="K35"/>
      <c r="L35"/>
      <c r="M35"/>
      <c r="N35"/>
      <c r="O35"/>
      <c r="P35" s="47"/>
      <c r="Q35" s="57" t="s">
        <v>160</v>
      </c>
      <c r="R35"/>
      <c r="S35">
        <v>30.512</v>
      </c>
      <c r="T35"/>
      <c r="U35">
        <v>28.303000000000001</v>
      </c>
      <c r="V35">
        <v>90.950999999999993</v>
      </c>
      <c r="W35">
        <v>411.81299999999999</v>
      </c>
      <c r="X35"/>
      <c r="Y35"/>
      <c r="Z35"/>
      <c r="AA35"/>
      <c r="AB35"/>
      <c r="AC35"/>
      <c r="AD35" s="31">
        <f t="shared" si="0"/>
        <v>561.57899999999995</v>
      </c>
    </row>
    <row r="36" spans="1:30" ht="15" customHeight="1">
      <c r="A36" s="3">
        <v>29</v>
      </c>
      <c r="B36" s="7" t="s">
        <v>48</v>
      </c>
      <c r="C36" s="19" t="s">
        <v>143</v>
      </c>
      <c r="D36" s="31">
        <f t="shared" si="1"/>
        <v>215</v>
      </c>
      <c r="E36" s="44"/>
      <c r="F36" s="44"/>
      <c r="G36" s="45">
        <v>147</v>
      </c>
      <c r="H36" s="44"/>
      <c r="I36" s="45">
        <v>26</v>
      </c>
      <c r="J36" s="46">
        <v>42</v>
      </c>
      <c r="K36"/>
      <c r="L36"/>
      <c r="M36"/>
      <c r="N36"/>
      <c r="O36"/>
      <c r="P36" s="47"/>
      <c r="Q36" s="57" t="s">
        <v>160</v>
      </c>
      <c r="R36"/>
      <c r="S36"/>
      <c r="T36">
        <v>48.61</v>
      </c>
      <c r="U36"/>
      <c r="V36">
        <v>84.076999999999998</v>
      </c>
      <c r="W36">
        <v>342.75</v>
      </c>
      <c r="X36"/>
      <c r="Y36"/>
      <c r="Z36"/>
      <c r="AA36"/>
      <c r="AB36"/>
      <c r="AC36"/>
      <c r="AD36" s="31">
        <f t="shared" si="0"/>
        <v>475.43700000000001</v>
      </c>
    </row>
    <row r="37" spans="1:30" ht="15" customHeight="1">
      <c r="A37" s="3">
        <v>30</v>
      </c>
      <c r="B37" s="7" t="s">
        <v>49</v>
      </c>
      <c r="C37" s="19" t="s">
        <v>145</v>
      </c>
      <c r="D37" s="31">
        <f t="shared" si="1"/>
        <v>2160</v>
      </c>
      <c r="E37" s="44"/>
      <c r="F37" s="45">
        <v>356</v>
      </c>
      <c r="G37" s="45">
        <v>33</v>
      </c>
      <c r="H37" s="45">
        <v>218</v>
      </c>
      <c r="I37" s="45">
        <v>66</v>
      </c>
      <c r="J37" s="46">
        <v>123</v>
      </c>
      <c r="K37"/>
      <c r="L37">
        <v>244</v>
      </c>
      <c r="M37">
        <v>384</v>
      </c>
      <c r="N37">
        <v>367</v>
      </c>
      <c r="O37">
        <v>186</v>
      </c>
      <c r="P37" s="47">
        <v>183</v>
      </c>
      <c r="Q37" s="57" t="s">
        <v>160</v>
      </c>
      <c r="R37"/>
      <c r="S37">
        <v>39.792999999999999</v>
      </c>
      <c r="T37">
        <v>9.3719999999999999</v>
      </c>
      <c r="U37">
        <v>53.798000000000002</v>
      </c>
      <c r="V37">
        <v>78.896000000000001</v>
      </c>
      <c r="W37">
        <v>550.12800000000004</v>
      </c>
      <c r="X37"/>
      <c r="Y37">
        <v>10.212</v>
      </c>
      <c r="Z37">
        <v>21.741</v>
      </c>
      <c r="AA37">
        <v>42.063000000000002</v>
      </c>
      <c r="AB37">
        <v>44.875999999999998</v>
      </c>
      <c r="AC37">
        <v>301.51400000000001</v>
      </c>
      <c r="AD37" s="31">
        <f t="shared" si="0"/>
        <v>1152.393</v>
      </c>
    </row>
    <row r="38" spans="1:30" ht="15" customHeight="1">
      <c r="A38" s="3">
        <v>31</v>
      </c>
      <c r="B38" s="7" t="s">
        <v>50</v>
      </c>
      <c r="C38" s="19" t="s">
        <v>143</v>
      </c>
      <c r="D38" s="31">
        <f t="shared" si="1"/>
        <v>369</v>
      </c>
      <c r="E38" s="45">
        <v>94</v>
      </c>
      <c r="F38" s="44"/>
      <c r="G38" s="45">
        <v>104</v>
      </c>
      <c r="H38" s="45">
        <v>77</v>
      </c>
      <c r="I38" s="45">
        <v>34</v>
      </c>
      <c r="J38" s="46">
        <v>60</v>
      </c>
      <c r="K38"/>
      <c r="L38"/>
      <c r="M38"/>
      <c r="N38"/>
      <c r="O38"/>
      <c r="P38" s="47"/>
      <c r="Q38" s="57" t="s">
        <v>160</v>
      </c>
      <c r="R38">
        <v>2.6280000000000001</v>
      </c>
      <c r="S38"/>
      <c r="T38">
        <v>19.925000000000001</v>
      </c>
      <c r="U38">
        <v>58.59</v>
      </c>
      <c r="V38">
        <v>55.53</v>
      </c>
      <c r="W38">
        <v>323.33999999999997</v>
      </c>
      <c r="X38"/>
      <c r="Y38"/>
      <c r="Z38"/>
      <c r="AA38"/>
      <c r="AB38"/>
      <c r="AC38"/>
      <c r="AD38" s="31">
        <f t="shared" si="0"/>
        <v>460.01299999999998</v>
      </c>
    </row>
    <row r="39" spans="1:30" ht="15" customHeight="1">
      <c r="A39" s="3">
        <v>32</v>
      </c>
      <c r="B39" s="7" t="s">
        <v>51</v>
      </c>
      <c r="C39" s="19" t="s">
        <v>143</v>
      </c>
      <c r="D39" s="31">
        <f t="shared" si="1"/>
        <v>132</v>
      </c>
      <c r="E39" s="44"/>
      <c r="F39" s="44"/>
      <c r="G39" s="45">
        <v>46</v>
      </c>
      <c r="H39" s="45">
        <v>18</v>
      </c>
      <c r="I39" s="45">
        <v>22</v>
      </c>
      <c r="J39" s="46">
        <v>46</v>
      </c>
      <c r="K39"/>
      <c r="L39"/>
      <c r="M39"/>
      <c r="N39"/>
      <c r="O39"/>
      <c r="P39" s="47"/>
      <c r="Q39" s="57" t="s">
        <v>160</v>
      </c>
      <c r="R39"/>
      <c r="S39"/>
      <c r="T39">
        <v>18.48</v>
      </c>
      <c r="U39">
        <v>24.812000000000001</v>
      </c>
      <c r="V39">
        <v>65.756</v>
      </c>
      <c r="W39">
        <v>355.85700000000003</v>
      </c>
      <c r="X39"/>
      <c r="Y39"/>
      <c r="Z39"/>
      <c r="AA39"/>
      <c r="AB39"/>
      <c r="AC39"/>
      <c r="AD39" s="31">
        <f t="shared" si="0"/>
        <v>464.90500000000003</v>
      </c>
    </row>
    <row r="40" spans="1:30" ht="15" customHeight="1">
      <c r="A40" s="3">
        <v>33</v>
      </c>
      <c r="B40" s="7" t="s">
        <v>52</v>
      </c>
      <c r="C40" s="19" t="s">
        <v>143</v>
      </c>
      <c r="D40" s="31">
        <f t="shared" si="1"/>
        <v>341</v>
      </c>
      <c r="E40" s="44"/>
      <c r="F40" s="44"/>
      <c r="G40" s="45">
        <v>104</v>
      </c>
      <c r="H40" s="45">
        <v>108</v>
      </c>
      <c r="I40" s="45">
        <v>61</v>
      </c>
      <c r="J40" s="46">
        <v>68</v>
      </c>
      <c r="K40"/>
      <c r="L40"/>
      <c r="M40"/>
      <c r="N40"/>
      <c r="O40"/>
      <c r="P40" s="47"/>
      <c r="Q40" s="57" t="s">
        <v>160</v>
      </c>
      <c r="R40"/>
      <c r="S40"/>
      <c r="T40">
        <v>9.48</v>
      </c>
      <c r="U40">
        <v>52.246000000000002</v>
      </c>
      <c r="V40">
        <v>70.195999999999998</v>
      </c>
      <c r="W40">
        <v>297.83600000000001</v>
      </c>
      <c r="X40"/>
      <c r="Y40"/>
      <c r="Z40"/>
      <c r="AA40"/>
      <c r="AB40"/>
      <c r="AC40"/>
      <c r="AD40" s="31">
        <f t="shared" ref="AD40:AD71" si="2">SUM(R40:AC40)</f>
        <v>429.75800000000004</v>
      </c>
    </row>
    <row r="41" spans="1:30" ht="15" customHeight="1">
      <c r="A41" s="3">
        <v>34</v>
      </c>
      <c r="B41" s="7" t="s">
        <v>53</v>
      </c>
      <c r="C41" s="19" t="s">
        <v>152</v>
      </c>
      <c r="D41" s="31">
        <f t="shared" si="1"/>
        <v>7720</v>
      </c>
      <c r="E41" s="45">
        <v>1399</v>
      </c>
      <c r="F41" s="45">
        <v>289</v>
      </c>
      <c r="G41" s="45">
        <v>122</v>
      </c>
      <c r="H41" s="45">
        <v>174</v>
      </c>
      <c r="I41" s="45">
        <v>79</v>
      </c>
      <c r="J41" s="46">
        <v>58</v>
      </c>
      <c r="K41">
        <v>555</v>
      </c>
      <c r="L41">
        <v>881</v>
      </c>
      <c r="M41">
        <v>2504</v>
      </c>
      <c r="N41">
        <v>538</v>
      </c>
      <c r="O41">
        <v>535</v>
      </c>
      <c r="P41" s="47">
        <v>586</v>
      </c>
      <c r="Q41" s="57" t="s">
        <v>160</v>
      </c>
      <c r="R41">
        <v>28.245000000000001</v>
      </c>
      <c r="S41">
        <v>13.882</v>
      </c>
      <c r="T41">
        <v>10.74</v>
      </c>
      <c r="U41">
        <v>55.823999999999998</v>
      </c>
      <c r="V41">
        <v>50.914000000000001</v>
      </c>
      <c r="W41">
        <v>174.4</v>
      </c>
      <c r="X41">
        <v>7.016</v>
      </c>
      <c r="Y41">
        <v>13.763999999999999</v>
      </c>
      <c r="Z41">
        <v>83.399000000000001</v>
      </c>
      <c r="AA41">
        <v>47.448</v>
      </c>
      <c r="AB41">
        <v>86.42</v>
      </c>
      <c r="AC41">
        <v>749.07799999999997</v>
      </c>
      <c r="AD41" s="31">
        <f t="shared" si="2"/>
        <v>1321.13</v>
      </c>
    </row>
    <row r="42" spans="1:30" ht="15" customHeight="1">
      <c r="A42" s="3">
        <v>35</v>
      </c>
      <c r="B42" s="7" t="s">
        <v>54</v>
      </c>
      <c r="C42" s="19" t="s">
        <v>143</v>
      </c>
      <c r="D42" s="31">
        <f t="shared" si="1"/>
        <v>377</v>
      </c>
      <c r="E42" s="44"/>
      <c r="F42" s="45">
        <v>18</v>
      </c>
      <c r="G42" s="45">
        <v>143</v>
      </c>
      <c r="H42" s="45">
        <v>94</v>
      </c>
      <c r="I42" s="45">
        <v>50</v>
      </c>
      <c r="J42" s="46">
        <v>72</v>
      </c>
      <c r="K42"/>
      <c r="L42"/>
      <c r="M42"/>
      <c r="N42"/>
      <c r="O42"/>
      <c r="P42" s="47"/>
      <c r="Q42" s="57" t="s">
        <v>160</v>
      </c>
      <c r="R42"/>
      <c r="S42">
        <v>5.423</v>
      </c>
      <c r="T42">
        <v>34.582000000000001</v>
      </c>
      <c r="U42">
        <v>45.72</v>
      </c>
      <c r="V42">
        <v>80.545000000000002</v>
      </c>
      <c r="W42">
        <v>389.30599999999998</v>
      </c>
      <c r="X42"/>
      <c r="Y42"/>
      <c r="Z42"/>
      <c r="AA42"/>
      <c r="AB42"/>
      <c r="AC42"/>
      <c r="AD42" s="31">
        <f t="shared" si="2"/>
        <v>555.57600000000002</v>
      </c>
    </row>
    <row r="43" spans="1:30" ht="15" customHeight="1">
      <c r="A43" s="3">
        <v>36</v>
      </c>
      <c r="B43" s="7" t="s">
        <v>55</v>
      </c>
      <c r="C43" s="19" t="s">
        <v>143</v>
      </c>
      <c r="D43" s="31">
        <f t="shared" si="1"/>
        <v>1324</v>
      </c>
      <c r="E43" s="44"/>
      <c r="F43" s="45">
        <v>712</v>
      </c>
      <c r="G43" s="45">
        <v>60</v>
      </c>
      <c r="H43" s="45">
        <v>307</v>
      </c>
      <c r="I43" s="45">
        <v>115</v>
      </c>
      <c r="J43" s="46">
        <v>130</v>
      </c>
      <c r="K43"/>
      <c r="L43"/>
      <c r="M43"/>
      <c r="N43"/>
      <c r="O43"/>
      <c r="P43" s="47"/>
      <c r="Q43" s="57" t="s">
        <v>160</v>
      </c>
      <c r="R43"/>
      <c r="S43">
        <v>52.378999999999998</v>
      </c>
      <c r="T43">
        <v>6.8070000000000004</v>
      </c>
      <c r="U43">
        <v>108.429</v>
      </c>
      <c r="V43">
        <v>114.084</v>
      </c>
      <c r="W43">
        <v>516.17200000000003</v>
      </c>
      <c r="X43"/>
      <c r="Y43"/>
      <c r="Z43"/>
      <c r="AA43"/>
      <c r="AB43"/>
      <c r="AC43"/>
      <c r="AD43" s="31">
        <f t="shared" si="2"/>
        <v>797.87100000000009</v>
      </c>
    </row>
    <row r="44" spans="1:30" ht="15" customHeight="1">
      <c r="A44" s="3">
        <v>37</v>
      </c>
      <c r="B44" s="7" t="s">
        <v>56</v>
      </c>
      <c r="C44" s="19" t="s">
        <v>144</v>
      </c>
      <c r="D44" s="31">
        <f t="shared" si="1"/>
        <v>1515</v>
      </c>
      <c r="E44" s="45">
        <v>523</v>
      </c>
      <c r="F44" s="45">
        <v>145</v>
      </c>
      <c r="G44" s="45">
        <v>91</v>
      </c>
      <c r="H44" s="45"/>
      <c r="I44" s="45">
        <v>60</v>
      </c>
      <c r="J44" s="46">
        <v>39</v>
      </c>
      <c r="K44"/>
      <c r="L44"/>
      <c r="M44">
        <v>346</v>
      </c>
      <c r="N44">
        <v>162</v>
      </c>
      <c r="O44">
        <v>64</v>
      </c>
      <c r="P44" s="47">
        <v>85</v>
      </c>
      <c r="Q44" s="57" t="s">
        <v>160</v>
      </c>
      <c r="R44">
        <v>13.128</v>
      </c>
      <c r="S44">
        <v>14.875</v>
      </c>
      <c r="T44">
        <v>26.091000000000001</v>
      </c>
      <c r="U44">
        <v>0.184</v>
      </c>
      <c r="V44">
        <v>80.397999999999996</v>
      </c>
      <c r="W44">
        <v>185.31800000000001</v>
      </c>
      <c r="X44"/>
      <c r="Y44"/>
      <c r="Z44">
        <v>16.634</v>
      </c>
      <c r="AA44">
        <v>15.923</v>
      </c>
      <c r="AB44">
        <v>17.591999999999999</v>
      </c>
      <c r="AC44">
        <v>151.578</v>
      </c>
      <c r="AD44" s="31">
        <f t="shared" si="2"/>
        <v>521.721</v>
      </c>
    </row>
    <row r="45" spans="1:30" ht="15" customHeight="1">
      <c r="A45" s="3">
        <v>38</v>
      </c>
      <c r="B45" s="7" t="s">
        <v>57</v>
      </c>
      <c r="C45" s="19" t="s">
        <v>143</v>
      </c>
      <c r="D45" s="31">
        <f t="shared" si="1"/>
        <v>210</v>
      </c>
      <c r="E45" s="44"/>
      <c r="F45" s="45">
        <v>39</v>
      </c>
      <c r="G45" s="45">
        <v>33</v>
      </c>
      <c r="H45" s="45">
        <v>74</v>
      </c>
      <c r="I45" s="45">
        <v>27</v>
      </c>
      <c r="J45" s="46">
        <v>37</v>
      </c>
      <c r="K45"/>
      <c r="L45"/>
      <c r="M45"/>
      <c r="N45"/>
      <c r="O45"/>
      <c r="P45" s="47"/>
      <c r="Q45" s="57" t="s">
        <v>160</v>
      </c>
      <c r="R45"/>
      <c r="S45">
        <v>8.1159999999999997</v>
      </c>
      <c r="T45">
        <v>25.109000000000002</v>
      </c>
      <c r="U45">
        <v>41.118000000000002</v>
      </c>
      <c r="V45">
        <v>55.758000000000003</v>
      </c>
      <c r="W45">
        <v>231.53700000000001</v>
      </c>
      <c r="X45"/>
      <c r="Y45"/>
      <c r="Z45"/>
      <c r="AA45"/>
      <c r="AB45"/>
      <c r="AC45"/>
      <c r="AD45" s="31">
        <f t="shared" si="2"/>
        <v>361.63800000000003</v>
      </c>
    </row>
    <row r="46" spans="1:30" ht="15" customHeight="1">
      <c r="A46" s="3">
        <v>39</v>
      </c>
      <c r="B46" s="7" t="s">
        <v>58</v>
      </c>
      <c r="C46" s="19" t="s">
        <v>143</v>
      </c>
      <c r="D46" s="31">
        <f t="shared" si="1"/>
        <v>699</v>
      </c>
      <c r="E46" s="45">
        <v>499</v>
      </c>
      <c r="F46" s="45">
        <v>6</v>
      </c>
      <c r="G46" s="45">
        <v>26</v>
      </c>
      <c r="H46" s="45">
        <v>117</v>
      </c>
      <c r="I46" s="45">
        <v>33</v>
      </c>
      <c r="J46" s="46">
        <v>18</v>
      </c>
      <c r="K46"/>
      <c r="L46"/>
      <c r="M46"/>
      <c r="N46"/>
      <c r="O46"/>
      <c r="P46" s="47"/>
      <c r="Q46" s="57" t="s">
        <v>160</v>
      </c>
      <c r="R46">
        <v>16.457000000000001</v>
      </c>
      <c r="S46">
        <v>2.085</v>
      </c>
      <c r="T46">
        <v>9.2569999999999997</v>
      </c>
      <c r="U46">
        <v>27.478999999999999</v>
      </c>
      <c r="V46">
        <v>49.082000000000001</v>
      </c>
      <c r="W46">
        <v>90.144000000000005</v>
      </c>
      <c r="X46"/>
      <c r="Y46"/>
      <c r="Z46"/>
      <c r="AA46"/>
      <c r="AB46"/>
      <c r="AC46"/>
      <c r="AD46" s="31">
        <f t="shared" si="2"/>
        <v>194.50400000000002</v>
      </c>
    </row>
    <row r="47" spans="1:30" ht="15" customHeight="1">
      <c r="A47" s="3">
        <v>40</v>
      </c>
      <c r="B47" s="7" t="s">
        <v>59</v>
      </c>
      <c r="C47" s="19" t="s">
        <v>143</v>
      </c>
      <c r="D47" s="31">
        <f t="shared" si="1"/>
        <v>435</v>
      </c>
      <c r="E47" s="44"/>
      <c r="F47" s="45">
        <v>225</v>
      </c>
      <c r="G47" s="45">
        <v>89</v>
      </c>
      <c r="H47" s="45">
        <v>27</v>
      </c>
      <c r="I47" s="45">
        <v>41</v>
      </c>
      <c r="J47" s="46">
        <v>53</v>
      </c>
      <c r="K47"/>
      <c r="L47"/>
      <c r="M47"/>
      <c r="N47"/>
      <c r="O47"/>
      <c r="P47" s="47"/>
      <c r="Q47" s="57" t="s">
        <v>160</v>
      </c>
      <c r="R47"/>
      <c r="S47">
        <v>18.027000000000001</v>
      </c>
      <c r="T47">
        <v>27.815999999999999</v>
      </c>
      <c r="U47">
        <v>14.528</v>
      </c>
      <c r="V47">
        <v>60.225999999999999</v>
      </c>
      <c r="W47">
        <v>272.90499999999997</v>
      </c>
      <c r="X47"/>
      <c r="Y47"/>
      <c r="Z47"/>
      <c r="AA47"/>
      <c r="AB47"/>
      <c r="AC47"/>
      <c r="AD47" s="31">
        <f t="shared" si="2"/>
        <v>393.50199999999995</v>
      </c>
    </row>
    <row r="48" spans="1:30" ht="15" customHeight="1">
      <c r="A48" s="3">
        <v>41</v>
      </c>
      <c r="B48" s="7" t="s">
        <v>60</v>
      </c>
      <c r="C48" s="19" t="s">
        <v>143</v>
      </c>
      <c r="D48" s="31">
        <f t="shared" si="1"/>
        <v>1379</v>
      </c>
      <c r="E48" s="45">
        <v>1028</v>
      </c>
      <c r="F48" s="44"/>
      <c r="G48" s="45">
        <v>104</v>
      </c>
      <c r="H48" s="45">
        <v>97</v>
      </c>
      <c r="I48" s="45">
        <v>73</v>
      </c>
      <c r="J48" s="46">
        <v>77</v>
      </c>
      <c r="K48"/>
      <c r="L48"/>
      <c r="M48"/>
      <c r="N48"/>
      <c r="O48"/>
      <c r="P48" s="47"/>
      <c r="Q48" s="57" t="s">
        <v>160</v>
      </c>
      <c r="R48">
        <v>23.024000000000001</v>
      </c>
      <c r="S48"/>
      <c r="T48">
        <v>32.198</v>
      </c>
      <c r="U48">
        <v>33.286999999999999</v>
      </c>
      <c r="V48">
        <v>72.192999999999998</v>
      </c>
      <c r="W48">
        <v>303.70999999999998</v>
      </c>
      <c r="X48"/>
      <c r="Y48"/>
      <c r="Z48"/>
      <c r="AA48"/>
      <c r="AB48"/>
      <c r="AC48"/>
      <c r="AD48" s="31">
        <f t="shared" si="2"/>
        <v>464.41199999999998</v>
      </c>
    </row>
    <row r="49" spans="1:30" ht="15" customHeight="1">
      <c r="A49" s="3">
        <v>42</v>
      </c>
      <c r="B49" s="7" t="s">
        <v>61</v>
      </c>
      <c r="C49" s="19" t="s">
        <v>144</v>
      </c>
      <c r="D49" s="31">
        <f t="shared" si="1"/>
        <v>1146</v>
      </c>
      <c r="E49" s="44"/>
      <c r="F49" s="45">
        <v>366</v>
      </c>
      <c r="G49" s="45">
        <v>26</v>
      </c>
      <c r="H49" s="45">
        <v>231</v>
      </c>
      <c r="I49" s="45">
        <v>109</v>
      </c>
      <c r="J49" s="46">
        <v>134</v>
      </c>
      <c r="K49"/>
      <c r="L49">
        <v>48</v>
      </c>
      <c r="M49">
        <v>98</v>
      </c>
      <c r="N49">
        <v>53</v>
      </c>
      <c r="O49">
        <v>34</v>
      </c>
      <c r="P49" s="47">
        <v>47</v>
      </c>
      <c r="Q49" s="57" t="s">
        <v>160</v>
      </c>
      <c r="R49"/>
      <c r="S49">
        <v>42.857999999999997</v>
      </c>
      <c r="T49">
        <v>10.009</v>
      </c>
      <c r="U49">
        <v>129.20400000000001</v>
      </c>
      <c r="V49">
        <v>179.18100000000001</v>
      </c>
      <c r="W49">
        <v>731.21900000000005</v>
      </c>
      <c r="X49"/>
      <c r="Y49">
        <v>3.4420000000000002</v>
      </c>
      <c r="Z49">
        <v>11.026</v>
      </c>
      <c r="AA49">
        <v>9.4469999999999992</v>
      </c>
      <c r="AB49">
        <v>9.0839999999999996</v>
      </c>
      <c r="AC49">
        <v>81.614000000000004</v>
      </c>
      <c r="AD49" s="31">
        <f t="shared" si="2"/>
        <v>1207.0840000000001</v>
      </c>
    </row>
    <row r="50" spans="1:30" ht="15" customHeight="1">
      <c r="A50" s="3">
        <v>43</v>
      </c>
      <c r="B50" s="7" t="s">
        <v>62</v>
      </c>
      <c r="C50" s="19" t="s">
        <v>143</v>
      </c>
      <c r="D50" s="31">
        <f t="shared" si="1"/>
        <v>867</v>
      </c>
      <c r="E50" s="44"/>
      <c r="F50" s="45">
        <v>290</v>
      </c>
      <c r="G50" s="45">
        <v>49</v>
      </c>
      <c r="H50" s="45">
        <v>200</v>
      </c>
      <c r="I50" s="45">
        <v>58</v>
      </c>
      <c r="J50" s="46">
        <v>118</v>
      </c>
      <c r="K50"/>
      <c r="L50"/>
      <c r="M50"/>
      <c r="N50">
        <v>82</v>
      </c>
      <c r="O50">
        <v>40</v>
      </c>
      <c r="P50" s="47">
        <v>30</v>
      </c>
      <c r="Q50" s="57" t="s">
        <v>160</v>
      </c>
      <c r="R50"/>
      <c r="S50">
        <v>31.216000000000001</v>
      </c>
      <c r="T50">
        <v>17.667000000000002</v>
      </c>
      <c r="U50">
        <v>113.095</v>
      </c>
      <c r="V50">
        <v>93.808999999999997</v>
      </c>
      <c r="W50">
        <v>637.66700000000003</v>
      </c>
      <c r="X50"/>
      <c r="Y50"/>
      <c r="Z50"/>
      <c r="AA50">
        <v>10.759</v>
      </c>
      <c r="AB50">
        <v>8.7840000000000007</v>
      </c>
      <c r="AC50">
        <v>45.600999999999999</v>
      </c>
      <c r="AD50" s="31">
        <f t="shared" si="2"/>
        <v>958.59800000000007</v>
      </c>
    </row>
    <row r="51" spans="1:30" ht="15" customHeight="1">
      <c r="A51" s="3">
        <v>44</v>
      </c>
      <c r="B51" s="7" t="s">
        <v>63</v>
      </c>
      <c r="C51" s="19" t="s">
        <v>143</v>
      </c>
      <c r="D51" s="31">
        <f t="shared" si="1"/>
        <v>254</v>
      </c>
      <c r="E51" s="44"/>
      <c r="F51" s="45">
        <v>3</v>
      </c>
      <c r="G51" s="45">
        <v>112</v>
      </c>
      <c r="H51" s="45">
        <v>51</v>
      </c>
      <c r="I51" s="45">
        <v>28</v>
      </c>
      <c r="J51" s="46">
        <v>60</v>
      </c>
      <c r="K51"/>
      <c r="L51"/>
      <c r="M51"/>
      <c r="N51"/>
      <c r="O51"/>
      <c r="P51" s="47"/>
      <c r="Q51" s="57" t="s">
        <v>160</v>
      </c>
      <c r="R51"/>
      <c r="S51">
        <v>0.75</v>
      </c>
      <c r="T51">
        <v>30.800999999999998</v>
      </c>
      <c r="U51">
        <v>32.709000000000003</v>
      </c>
      <c r="V51">
        <v>69.540999999999997</v>
      </c>
      <c r="W51">
        <v>422.27300000000002</v>
      </c>
      <c r="X51"/>
      <c r="Y51"/>
      <c r="Z51"/>
      <c r="AA51"/>
      <c r="AB51"/>
      <c r="AC51"/>
      <c r="AD51" s="31">
        <f t="shared" si="2"/>
        <v>556.07400000000007</v>
      </c>
    </row>
    <row r="52" spans="1:30" ht="15" customHeight="1">
      <c r="A52" s="3">
        <v>45</v>
      </c>
      <c r="B52" s="7" t="s">
        <v>64</v>
      </c>
      <c r="C52" s="19" t="s">
        <v>145</v>
      </c>
      <c r="D52" s="31">
        <f t="shared" si="1"/>
        <v>919</v>
      </c>
      <c r="E52" s="44"/>
      <c r="F52" s="45">
        <v>279</v>
      </c>
      <c r="G52" s="45">
        <v>14</v>
      </c>
      <c r="H52" s="45">
        <v>92</v>
      </c>
      <c r="I52" s="45">
        <v>40</v>
      </c>
      <c r="J52" s="46">
        <v>91</v>
      </c>
      <c r="K52"/>
      <c r="L52"/>
      <c r="M52">
        <v>208</v>
      </c>
      <c r="N52">
        <v>82</v>
      </c>
      <c r="O52">
        <v>37</v>
      </c>
      <c r="P52" s="47">
        <v>76</v>
      </c>
      <c r="Q52" s="57" t="s">
        <v>160</v>
      </c>
      <c r="R52"/>
      <c r="S52">
        <v>44.542000000000002</v>
      </c>
      <c r="T52">
        <v>2</v>
      </c>
      <c r="U52">
        <v>59.634999999999998</v>
      </c>
      <c r="V52">
        <v>70.272999999999996</v>
      </c>
      <c r="W52">
        <v>518.55499999999995</v>
      </c>
      <c r="X52"/>
      <c r="Y52"/>
      <c r="Z52">
        <v>11.734</v>
      </c>
      <c r="AA52">
        <v>8.3719999999999999</v>
      </c>
      <c r="AB52">
        <v>11.497999999999999</v>
      </c>
      <c r="AC52">
        <v>145.221</v>
      </c>
      <c r="AD52" s="31">
        <f t="shared" si="2"/>
        <v>871.82999999999993</v>
      </c>
    </row>
    <row r="53" spans="1:30" ht="15" customHeight="1">
      <c r="A53" s="3">
        <v>46</v>
      </c>
      <c r="B53" s="7" t="s">
        <v>65</v>
      </c>
      <c r="C53" s="19" t="s">
        <v>143</v>
      </c>
      <c r="D53" s="31">
        <f t="shared" si="1"/>
        <v>248</v>
      </c>
      <c r="E53" s="44"/>
      <c r="F53" s="45">
        <v>146</v>
      </c>
      <c r="G53" s="44"/>
      <c r="H53" s="45">
        <v>28</v>
      </c>
      <c r="I53" s="45">
        <v>31</v>
      </c>
      <c r="J53" s="46">
        <v>43</v>
      </c>
      <c r="K53"/>
      <c r="L53"/>
      <c r="M53"/>
      <c r="N53"/>
      <c r="O53"/>
      <c r="P53" s="47"/>
      <c r="Q53" s="57" t="s">
        <v>160</v>
      </c>
      <c r="R53"/>
      <c r="S53">
        <v>18.753</v>
      </c>
      <c r="T53"/>
      <c r="U53">
        <v>17.431999999999999</v>
      </c>
      <c r="V53">
        <v>57.506</v>
      </c>
      <c r="W53">
        <v>252.767</v>
      </c>
      <c r="X53"/>
      <c r="Y53"/>
      <c r="Z53"/>
      <c r="AA53"/>
      <c r="AB53"/>
      <c r="AC53"/>
      <c r="AD53" s="31">
        <f t="shared" si="2"/>
        <v>346.45799999999997</v>
      </c>
    </row>
    <row r="54" spans="1:30" ht="15" customHeight="1">
      <c r="A54" s="3">
        <v>47</v>
      </c>
      <c r="B54" s="7" t="s">
        <v>66</v>
      </c>
      <c r="C54" s="19" t="s">
        <v>145</v>
      </c>
      <c r="D54" s="31">
        <f t="shared" si="1"/>
        <v>3659</v>
      </c>
      <c r="E54" s="45">
        <v>910</v>
      </c>
      <c r="F54" s="45">
        <v>402</v>
      </c>
      <c r="G54" s="45">
        <v>134</v>
      </c>
      <c r="H54" s="45">
        <v>188</v>
      </c>
      <c r="I54" s="45">
        <v>137</v>
      </c>
      <c r="J54" s="46">
        <v>183</v>
      </c>
      <c r="K54">
        <v>168</v>
      </c>
      <c r="L54">
        <v>26</v>
      </c>
      <c r="M54">
        <v>780</v>
      </c>
      <c r="N54">
        <v>311</v>
      </c>
      <c r="O54">
        <v>156</v>
      </c>
      <c r="P54" s="47">
        <v>264</v>
      </c>
      <c r="Q54" s="57" t="s">
        <v>160</v>
      </c>
      <c r="R54">
        <v>21.579000000000001</v>
      </c>
      <c r="S54">
        <v>38.020000000000003</v>
      </c>
      <c r="T54">
        <v>28.669</v>
      </c>
      <c r="U54">
        <v>68.986999999999995</v>
      </c>
      <c r="V54">
        <v>115.31699999999999</v>
      </c>
      <c r="W54">
        <v>656.73400000000004</v>
      </c>
      <c r="X54">
        <v>3.0680000000000001</v>
      </c>
      <c r="Y54">
        <v>1.1020000000000001</v>
      </c>
      <c r="Z54">
        <v>35.901000000000003</v>
      </c>
      <c r="AA54">
        <v>34.832000000000001</v>
      </c>
      <c r="AB54">
        <v>33.024000000000001</v>
      </c>
      <c r="AC54">
        <v>399.685</v>
      </c>
      <c r="AD54" s="31">
        <f t="shared" si="2"/>
        <v>1436.9179999999999</v>
      </c>
    </row>
    <row r="55" spans="1:30" ht="15" customHeight="1">
      <c r="A55" s="3">
        <v>48</v>
      </c>
      <c r="B55" s="7" t="s">
        <v>67</v>
      </c>
      <c r="C55" s="19" t="s">
        <v>143</v>
      </c>
      <c r="D55" s="31">
        <f t="shared" si="1"/>
        <v>782</v>
      </c>
      <c r="E55" s="44"/>
      <c r="F55" s="45">
        <v>259</v>
      </c>
      <c r="G55" s="45">
        <v>166</v>
      </c>
      <c r="H55" s="45">
        <v>131</v>
      </c>
      <c r="I55" s="45">
        <v>105</v>
      </c>
      <c r="J55" s="46">
        <v>121</v>
      </c>
      <c r="K55"/>
      <c r="L55"/>
      <c r="M55"/>
      <c r="N55"/>
      <c r="O55"/>
      <c r="P55" s="47"/>
      <c r="Q55" s="57" t="s">
        <v>160</v>
      </c>
      <c r="R55"/>
      <c r="S55">
        <v>39.182000000000002</v>
      </c>
      <c r="T55">
        <v>37.896999999999998</v>
      </c>
      <c r="U55">
        <v>54.609000000000002</v>
      </c>
      <c r="V55">
        <v>76.078999999999994</v>
      </c>
      <c r="W55">
        <v>396.25799999999998</v>
      </c>
      <c r="X55"/>
      <c r="Y55"/>
      <c r="Z55"/>
      <c r="AA55"/>
      <c r="AB55"/>
      <c r="AC55"/>
      <c r="AD55" s="31">
        <f t="shared" si="2"/>
        <v>604.02499999999998</v>
      </c>
    </row>
    <row r="56" spans="1:30" ht="15" customHeight="1">
      <c r="A56" s="3">
        <v>49</v>
      </c>
      <c r="B56" s="7" t="s">
        <v>68</v>
      </c>
      <c r="C56" s="19" t="s">
        <v>144</v>
      </c>
      <c r="D56" s="31">
        <f t="shared" si="1"/>
        <v>392</v>
      </c>
      <c r="E56" s="44"/>
      <c r="F56" s="45">
        <v>123</v>
      </c>
      <c r="G56" s="45">
        <v>26</v>
      </c>
      <c r="H56" s="45">
        <v>50</v>
      </c>
      <c r="I56" s="45">
        <v>41</v>
      </c>
      <c r="J56" s="46">
        <v>61</v>
      </c>
      <c r="K56"/>
      <c r="L56"/>
      <c r="M56">
        <v>29</v>
      </c>
      <c r="N56">
        <v>20</v>
      </c>
      <c r="O56">
        <v>26</v>
      </c>
      <c r="P56" s="47">
        <v>16</v>
      </c>
      <c r="Q56" s="57" t="s">
        <v>160</v>
      </c>
      <c r="R56"/>
      <c r="S56">
        <v>26.388000000000002</v>
      </c>
      <c r="T56">
        <v>15.308999999999999</v>
      </c>
      <c r="U56">
        <v>33.421999999999997</v>
      </c>
      <c r="V56">
        <v>64.649000000000001</v>
      </c>
      <c r="W56">
        <v>321.20699999999999</v>
      </c>
      <c r="X56"/>
      <c r="Y56"/>
      <c r="Z56">
        <v>2.2480000000000002</v>
      </c>
      <c r="AA56">
        <v>3.1640000000000001</v>
      </c>
      <c r="AB56">
        <v>7.2839999999999998</v>
      </c>
      <c r="AC56">
        <v>28.352</v>
      </c>
      <c r="AD56" s="31">
        <f t="shared" si="2"/>
        <v>502.02299999999997</v>
      </c>
    </row>
    <row r="57" spans="1:30" ht="15" customHeight="1">
      <c r="A57" s="3">
        <v>50</v>
      </c>
      <c r="B57" s="7" t="s">
        <v>69</v>
      </c>
      <c r="C57" s="19" t="s">
        <v>143</v>
      </c>
      <c r="D57" s="31">
        <f t="shared" si="1"/>
        <v>1160</v>
      </c>
      <c r="E57" s="45">
        <v>768</v>
      </c>
      <c r="F57" s="44"/>
      <c r="G57" s="45">
        <v>58</v>
      </c>
      <c r="H57" s="45">
        <v>202</v>
      </c>
      <c r="I57" s="45">
        <v>52</v>
      </c>
      <c r="J57" s="46">
        <v>80</v>
      </c>
      <c r="K57"/>
      <c r="L57"/>
      <c r="M57"/>
      <c r="N57"/>
      <c r="O57"/>
      <c r="P57" s="47"/>
      <c r="Q57" s="57" t="s">
        <v>160</v>
      </c>
      <c r="R57">
        <v>20.666</v>
      </c>
      <c r="S57"/>
      <c r="T57">
        <v>21.574999999999999</v>
      </c>
      <c r="U57">
        <v>92.159000000000006</v>
      </c>
      <c r="V57">
        <v>107.93600000000001</v>
      </c>
      <c r="W57">
        <v>503.077</v>
      </c>
      <c r="X57"/>
      <c r="Y57"/>
      <c r="Z57"/>
      <c r="AA57"/>
      <c r="AB57"/>
      <c r="AC57"/>
      <c r="AD57" s="31">
        <f t="shared" si="2"/>
        <v>745.41300000000001</v>
      </c>
    </row>
    <row r="58" spans="1:30" ht="15" customHeight="1">
      <c r="A58" s="3">
        <v>51</v>
      </c>
      <c r="B58" s="7" t="s">
        <v>70</v>
      </c>
      <c r="C58" s="19" t="s">
        <v>145</v>
      </c>
      <c r="D58" s="31">
        <f t="shared" si="1"/>
        <v>1464</v>
      </c>
      <c r="E58" s="44"/>
      <c r="F58" s="45">
        <v>332</v>
      </c>
      <c r="G58" s="45">
        <v>99</v>
      </c>
      <c r="H58" s="45">
        <v>79</v>
      </c>
      <c r="I58" s="45">
        <v>60</v>
      </c>
      <c r="J58" s="46">
        <v>97</v>
      </c>
      <c r="K58"/>
      <c r="L58">
        <v>113</v>
      </c>
      <c r="M58">
        <v>430</v>
      </c>
      <c r="N58">
        <v>94</v>
      </c>
      <c r="O58">
        <v>78</v>
      </c>
      <c r="P58" s="47">
        <v>82</v>
      </c>
      <c r="Q58" s="57" t="s">
        <v>160</v>
      </c>
      <c r="R58"/>
      <c r="S58">
        <v>34.055</v>
      </c>
      <c r="T58">
        <v>24.065999999999999</v>
      </c>
      <c r="U58">
        <v>31.372</v>
      </c>
      <c r="V58">
        <v>82.941999999999993</v>
      </c>
      <c r="W58">
        <v>471.04500000000002</v>
      </c>
      <c r="X58"/>
      <c r="Y58">
        <v>4.4580000000000002</v>
      </c>
      <c r="Z58">
        <v>21.803000000000001</v>
      </c>
      <c r="AA58">
        <v>18.792000000000002</v>
      </c>
      <c r="AB58">
        <v>16.844999999999999</v>
      </c>
      <c r="AC58">
        <v>125.83799999999999</v>
      </c>
      <c r="AD58" s="31">
        <f t="shared" si="2"/>
        <v>831.21600000000001</v>
      </c>
    </row>
    <row r="59" spans="1:30" ht="15" customHeight="1">
      <c r="A59" s="3">
        <v>52</v>
      </c>
      <c r="B59" s="7" t="s">
        <v>71</v>
      </c>
      <c r="C59" s="19" t="s">
        <v>143</v>
      </c>
      <c r="D59" s="31">
        <f t="shared" si="1"/>
        <v>754</v>
      </c>
      <c r="E59" s="45">
        <v>444</v>
      </c>
      <c r="F59" s="44"/>
      <c r="G59" s="45">
        <v>100</v>
      </c>
      <c r="H59" s="45">
        <v>100</v>
      </c>
      <c r="I59" s="45">
        <v>66</v>
      </c>
      <c r="J59" s="46">
        <v>44</v>
      </c>
      <c r="K59"/>
      <c r="L59"/>
      <c r="M59"/>
      <c r="N59"/>
      <c r="O59"/>
      <c r="P59" s="47"/>
      <c r="Q59" s="57" t="s">
        <v>160</v>
      </c>
      <c r="R59">
        <v>13.359</v>
      </c>
      <c r="S59"/>
      <c r="T59">
        <v>30.687000000000001</v>
      </c>
      <c r="U59">
        <v>41.447000000000003</v>
      </c>
      <c r="V59">
        <v>118.535</v>
      </c>
      <c r="W59">
        <v>255.19</v>
      </c>
      <c r="X59"/>
      <c r="Y59"/>
      <c r="Z59"/>
      <c r="AA59"/>
      <c r="AB59"/>
      <c r="AC59"/>
      <c r="AD59" s="31">
        <f t="shared" si="2"/>
        <v>459.21799999999996</v>
      </c>
    </row>
    <row r="60" spans="1:30" ht="15" customHeight="1">
      <c r="A60" s="3">
        <v>53</v>
      </c>
      <c r="B60" s="7" t="s">
        <v>72</v>
      </c>
      <c r="C60" s="19" t="s">
        <v>143</v>
      </c>
      <c r="D60" s="31">
        <f t="shared" si="1"/>
        <v>173</v>
      </c>
      <c r="E60" s="44"/>
      <c r="F60" s="45">
        <v>73</v>
      </c>
      <c r="G60" s="45">
        <v>7</v>
      </c>
      <c r="H60" s="45">
        <v>45</v>
      </c>
      <c r="I60" s="45">
        <v>15</v>
      </c>
      <c r="J60" s="46">
        <v>33</v>
      </c>
      <c r="K60"/>
      <c r="L60"/>
      <c r="M60"/>
      <c r="N60"/>
      <c r="O60"/>
      <c r="P60" s="47"/>
      <c r="Q60" s="57" t="s">
        <v>160</v>
      </c>
      <c r="R60"/>
      <c r="S60">
        <v>20.013000000000002</v>
      </c>
      <c r="T60">
        <v>18.376999999999999</v>
      </c>
      <c r="U60">
        <v>45.56</v>
      </c>
      <c r="V60">
        <v>49.895000000000003</v>
      </c>
      <c r="W60">
        <v>280.85599999999999</v>
      </c>
      <c r="X60"/>
      <c r="Y60"/>
      <c r="Z60"/>
      <c r="AA60"/>
      <c r="AB60"/>
      <c r="AC60"/>
      <c r="AD60" s="31">
        <f t="shared" si="2"/>
        <v>414.70100000000002</v>
      </c>
    </row>
    <row r="61" spans="1:30" ht="15" customHeight="1">
      <c r="A61" s="3">
        <v>54</v>
      </c>
      <c r="B61" s="7" t="s">
        <v>73</v>
      </c>
      <c r="C61" s="19" t="s">
        <v>144</v>
      </c>
      <c r="D61" s="31">
        <f t="shared" si="1"/>
        <v>1642</v>
      </c>
      <c r="E61" s="44">
        <v>172</v>
      </c>
      <c r="F61" s="45">
        <v>510</v>
      </c>
      <c r="G61" s="45">
        <v>64</v>
      </c>
      <c r="H61" s="45">
        <v>234</v>
      </c>
      <c r="I61" s="45">
        <v>103</v>
      </c>
      <c r="J61" s="46">
        <v>159</v>
      </c>
      <c r="K61"/>
      <c r="L61">
        <v>54</v>
      </c>
      <c r="M61">
        <v>61</v>
      </c>
      <c r="N61">
        <v>153</v>
      </c>
      <c r="O61">
        <v>67</v>
      </c>
      <c r="P61" s="47">
        <v>65</v>
      </c>
      <c r="Q61" s="57" t="s">
        <v>160</v>
      </c>
      <c r="R61">
        <v>16.562000000000001</v>
      </c>
      <c r="S61">
        <v>30.087</v>
      </c>
      <c r="T61">
        <v>9.7029999999999994</v>
      </c>
      <c r="U61">
        <v>95.31</v>
      </c>
      <c r="V61">
        <v>98.789000000000001</v>
      </c>
      <c r="W61">
        <v>617.01800000000003</v>
      </c>
      <c r="X61"/>
      <c r="Y61">
        <v>1.919</v>
      </c>
      <c r="Z61">
        <v>4.2930000000000001</v>
      </c>
      <c r="AA61">
        <v>12.413</v>
      </c>
      <c r="AB61">
        <v>20.402000000000001</v>
      </c>
      <c r="AC61">
        <v>123.68</v>
      </c>
      <c r="AD61" s="31">
        <f t="shared" si="2"/>
        <v>1030.1760000000002</v>
      </c>
    </row>
    <row r="62" spans="1:30" ht="15" customHeight="1">
      <c r="A62" s="3">
        <v>55</v>
      </c>
      <c r="B62" s="7" t="s">
        <v>74</v>
      </c>
      <c r="C62" s="19" t="s">
        <v>143</v>
      </c>
      <c r="D62" s="31">
        <f t="shared" si="1"/>
        <v>301</v>
      </c>
      <c r="E62" s="44"/>
      <c r="F62" s="44"/>
      <c r="G62" s="45">
        <v>143</v>
      </c>
      <c r="H62" s="45">
        <v>43</v>
      </c>
      <c r="I62" s="45">
        <v>43</v>
      </c>
      <c r="J62" s="46">
        <v>72</v>
      </c>
      <c r="K62"/>
      <c r="L62"/>
      <c r="M62"/>
      <c r="N62"/>
      <c r="O62"/>
      <c r="P62" s="47"/>
      <c r="Q62" s="57" t="s">
        <v>160</v>
      </c>
      <c r="R62"/>
      <c r="S62"/>
      <c r="T62">
        <v>47.883000000000003</v>
      </c>
      <c r="U62">
        <v>29.273</v>
      </c>
      <c r="V62">
        <v>104.206</v>
      </c>
      <c r="W62">
        <v>502.69600000000003</v>
      </c>
      <c r="X62"/>
      <c r="Y62"/>
      <c r="Z62"/>
      <c r="AA62"/>
      <c r="AB62"/>
      <c r="AC62"/>
      <c r="AD62" s="31">
        <f t="shared" si="2"/>
        <v>684.05799999999999</v>
      </c>
    </row>
    <row r="63" spans="1:30" ht="15" customHeight="1">
      <c r="A63" s="3">
        <v>56</v>
      </c>
      <c r="B63" s="7" t="s">
        <v>75</v>
      </c>
      <c r="C63" s="19" t="s">
        <v>145</v>
      </c>
      <c r="D63" s="31">
        <f t="shared" si="1"/>
        <v>19386</v>
      </c>
      <c r="E63" s="45">
        <v>296</v>
      </c>
      <c r="F63" s="45">
        <v>134</v>
      </c>
      <c r="G63" s="45">
        <v>109</v>
      </c>
      <c r="H63" s="45">
        <v>1</v>
      </c>
      <c r="I63" s="45">
        <v>37</v>
      </c>
      <c r="J63" s="46">
        <v>47</v>
      </c>
      <c r="K63">
        <v>8231</v>
      </c>
      <c r="L63">
        <v>587</v>
      </c>
      <c r="M63">
        <v>4657</v>
      </c>
      <c r="N63">
        <v>2495</v>
      </c>
      <c r="O63">
        <v>1077</v>
      </c>
      <c r="P63" s="47">
        <v>1715</v>
      </c>
      <c r="Q63" s="57" t="s">
        <v>160</v>
      </c>
      <c r="R63">
        <v>5.0860000000000003</v>
      </c>
      <c r="S63">
        <v>4.8780000000000001</v>
      </c>
      <c r="T63">
        <v>8.0809999999999995</v>
      </c>
      <c r="U63">
        <v>0.55800000000000005</v>
      </c>
      <c r="V63">
        <v>22.321999999999999</v>
      </c>
      <c r="W63">
        <v>135.999</v>
      </c>
      <c r="X63">
        <v>91.745000000000005</v>
      </c>
      <c r="Y63">
        <v>12.513</v>
      </c>
      <c r="Z63">
        <v>194.751</v>
      </c>
      <c r="AA63">
        <v>238.12899999999999</v>
      </c>
      <c r="AB63">
        <v>216.20500000000001</v>
      </c>
      <c r="AC63">
        <v>2510.6210000000001</v>
      </c>
      <c r="AD63" s="31">
        <f t="shared" si="2"/>
        <v>3440.8879999999999</v>
      </c>
    </row>
    <row r="64" spans="1:30" ht="15" customHeight="1">
      <c r="A64" s="3">
        <v>57</v>
      </c>
      <c r="B64" s="7" t="s">
        <v>76</v>
      </c>
      <c r="C64" s="19" t="s">
        <v>151</v>
      </c>
      <c r="D64" s="31">
        <f t="shared" si="1"/>
        <v>1007</v>
      </c>
      <c r="E64" s="44"/>
      <c r="F64" s="45">
        <v>204</v>
      </c>
      <c r="G64" s="45">
        <v>88</v>
      </c>
      <c r="H64" s="45">
        <v>75</v>
      </c>
      <c r="I64" s="45">
        <v>71</v>
      </c>
      <c r="J64" s="46">
        <v>56</v>
      </c>
      <c r="K64"/>
      <c r="L64"/>
      <c r="M64">
        <v>258</v>
      </c>
      <c r="N64">
        <v>127</v>
      </c>
      <c r="O64">
        <v>47</v>
      </c>
      <c r="P64" s="47">
        <v>81</v>
      </c>
      <c r="Q64" s="57" t="s">
        <v>160</v>
      </c>
      <c r="R64"/>
      <c r="S64">
        <v>8.5429999999999993</v>
      </c>
      <c r="T64">
        <v>15.384</v>
      </c>
      <c r="U64">
        <v>24.300999999999998</v>
      </c>
      <c r="V64">
        <v>55.551000000000002</v>
      </c>
      <c r="W64">
        <v>190.44200000000001</v>
      </c>
      <c r="X64"/>
      <c r="Y64"/>
      <c r="Z64">
        <v>7.86</v>
      </c>
      <c r="AA64">
        <v>11.691000000000001</v>
      </c>
      <c r="AB64">
        <v>11.396000000000001</v>
      </c>
      <c r="AC64">
        <v>133.08600000000001</v>
      </c>
      <c r="AD64" s="31">
        <f t="shared" si="2"/>
        <v>458.25400000000002</v>
      </c>
    </row>
    <row r="65" spans="1:30" ht="15" customHeight="1">
      <c r="A65" s="3">
        <v>58</v>
      </c>
      <c r="B65" s="7" t="s">
        <v>77</v>
      </c>
      <c r="C65" s="19" t="s">
        <v>143</v>
      </c>
      <c r="D65" s="31">
        <f t="shared" si="1"/>
        <v>590</v>
      </c>
      <c r="E65" s="44"/>
      <c r="F65" s="45">
        <v>243</v>
      </c>
      <c r="G65" s="45">
        <v>75</v>
      </c>
      <c r="H65" s="45">
        <v>148</v>
      </c>
      <c r="I65" s="45">
        <v>57</v>
      </c>
      <c r="J65" s="46">
        <v>67</v>
      </c>
      <c r="K65"/>
      <c r="L65"/>
      <c r="M65"/>
      <c r="N65"/>
      <c r="O65"/>
      <c r="P65" s="47"/>
      <c r="Q65" s="57" t="s">
        <v>160</v>
      </c>
      <c r="R65"/>
      <c r="S65">
        <v>29.315000000000001</v>
      </c>
      <c r="T65">
        <v>9.5619999999999994</v>
      </c>
      <c r="U65">
        <v>49.249000000000002</v>
      </c>
      <c r="V65">
        <v>82.879000000000005</v>
      </c>
      <c r="W65">
        <v>336.89600000000002</v>
      </c>
      <c r="X65"/>
      <c r="Y65"/>
      <c r="Z65"/>
      <c r="AA65"/>
      <c r="AB65"/>
      <c r="AC65"/>
      <c r="AD65" s="31">
        <f t="shared" si="2"/>
        <v>507.90100000000001</v>
      </c>
    </row>
    <row r="66" spans="1:30" ht="15" customHeight="1">
      <c r="A66" s="3">
        <v>59</v>
      </c>
      <c r="B66" s="7" t="s">
        <v>78</v>
      </c>
      <c r="C66" s="19" t="s">
        <v>145</v>
      </c>
      <c r="D66" s="31">
        <f t="shared" si="1"/>
        <v>4169</v>
      </c>
      <c r="E66" s="45">
        <v>169</v>
      </c>
      <c r="F66" s="44"/>
      <c r="G66" s="44"/>
      <c r="H66" s="45">
        <v>95</v>
      </c>
      <c r="I66" s="45">
        <v>10</v>
      </c>
      <c r="J66" s="46">
        <v>17</v>
      </c>
      <c r="K66">
        <v>2143</v>
      </c>
      <c r="L66"/>
      <c r="M66">
        <v>524</v>
      </c>
      <c r="N66">
        <v>418</v>
      </c>
      <c r="O66">
        <v>453</v>
      </c>
      <c r="P66" s="47">
        <v>340</v>
      </c>
      <c r="Q66" s="57" t="s">
        <v>160</v>
      </c>
      <c r="R66">
        <v>3.1760000000000002</v>
      </c>
      <c r="S66"/>
      <c r="T66"/>
      <c r="U66">
        <v>37.253</v>
      </c>
      <c r="V66">
        <v>16.47</v>
      </c>
      <c r="W66">
        <v>94.509</v>
      </c>
      <c r="X66">
        <v>16.248000000000001</v>
      </c>
      <c r="Y66"/>
      <c r="Z66">
        <v>34.752000000000002</v>
      </c>
      <c r="AA66">
        <v>35.433999999999997</v>
      </c>
      <c r="AB66">
        <v>91.537000000000006</v>
      </c>
      <c r="AC66">
        <v>500.07400000000001</v>
      </c>
      <c r="AD66" s="31">
        <f t="shared" si="2"/>
        <v>829.45299999999997</v>
      </c>
    </row>
    <row r="67" spans="1:30" ht="15" customHeight="1">
      <c r="A67" s="3">
        <v>60</v>
      </c>
      <c r="B67" s="7" t="s">
        <v>79</v>
      </c>
      <c r="C67" s="19" t="s">
        <v>143</v>
      </c>
      <c r="D67" s="31">
        <f t="shared" si="1"/>
        <v>503</v>
      </c>
      <c r="E67" s="44"/>
      <c r="F67" s="45">
        <v>207</v>
      </c>
      <c r="G67" s="45">
        <v>63</v>
      </c>
      <c r="H67" s="45">
        <v>122</v>
      </c>
      <c r="I67" s="45">
        <v>63</v>
      </c>
      <c r="J67" s="46">
        <v>48</v>
      </c>
      <c r="K67"/>
      <c r="L67"/>
      <c r="M67"/>
      <c r="N67"/>
      <c r="O67"/>
      <c r="P67" s="47"/>
      <c r="Q67" s="57" t="s">
        <v>160</v>
      </c>
      <c r="R67"/>
      <c r="S67">
        <v>29.422000000000001</v>
      </c>
      <c r="T67">
        <v>12.468</v>
      </c>
      <c r="U67">
        <v>69.540999999999997</v>
      </c>
      <c r="V67">
        <v>94.608000000000004</v>
      </c>
      <c r="W67">
        <v>248.708</v>
      </c>
      <c r="X67"/>
      <c r="Y67"/>
      <c r="Z67"/>
      <c r="AA67"/>
      <c r="AB67"/>
      <c r="AC67"/>
      <c r="AD67" s="31">
        <f t="shared" si="2"/>
        <v>454.74699999999996</v>
      </c>
    </row>
    <row r="68" spans="1:30" ht="15" customHeight="1">
      <c r="A68" s="3">
        <v>61</v>
      </c>
      <c r="B68" s="7" t="s">
        <v>80</v>
      </c>
      <c r="C68" s="19" t="s">
        <v>144</v>
      </c>
      <c r="D68" s="31">
        <f t="shared" si="1"/>
        <v>863</v>
      </c>
      <c r="E68" s="44"/>
      <c r="F68" s="45">
        <v>434</v>
      </c>
      <c r="G68" s="44"/>
      <c r="H68" s="45">
        <v>105</v>
      </c>
      <c r="I68" s="45">
        <v>125</v>
      </c>
      <c r="J68" s="46">
        <v>153</v>
      </c>
      <c r="K68"/>
      <c r="L68"/>
      <c r="M68">
        <v>22</v>
      </c>
      <c r="N68">
        <v>16</v>
      </c>
      <c r="O68">
        <v>4</v>
      </c>
      <c r="P68" s="47">
        <v>4</v>
      </c>
      <c r="Q68" s="57" t="s">
        <v>160</v>
      </c>
      <c r="R68"/>
      <c r="S68">
        <v>29.091000000000001</v>
      </c>
      <c r="T68"/>
      <c r="U68">
        <v>54.813000000000002</v>
      </c>
      <c r="V68">
        <v>101.583</v>
      </c>
      <c r="W68">
        <v>539.18799999999999</v>
      </c>
      <c r="X68"/>
      <c r="Y68"/>
      <c r="Z68">
        <v>1.016</v>
      </c>
      <c r="AA68">
        <v>1.3129999999999999</v>
      </c>
      <c r="AB68">
        <v>2.4289999999999998</v>
      </c>
      <c r="AC68">
        <v>11.624000000000001</v>
      </c>
      <c r="AD68" s="31">
        <f t="shared" si="2"/>
        <v>741.0569999999999</v>
      </c>
    </row>
    <row r="69" spans="1:30" ht="15" customHeight="1">
      <c r="A69" s="3">
        <v>62</v>
      </c>
      <c r="B69" s="7" t="s">
        <v>81</v>
      </c>
      <c r="C69" s="19" t="s">
        <v>143</v>
      </c>
      <c r="D69" s="31">
        <f t="shared" si="1"/>
        <v>556</v>
      </c>
      <c r="E69" s="45">
        <v>152</v>
      </c>
      <c r="F69" s="45">
        <v>125</v>
      </c>
      <c r="G69" s="45">
        <v>101</v>
      </c>
      <c r="H69" s="45">
        <v>32</v>
      </c>
      <c r="I69" s="45">
        <v>57</v>
      </c>
      <c r="J69" s="46">
        <v>89</v>
      </c>
      <c r="K69"/>
      <c r="L69"/>
      <c r="M69"/>
      <c r="N69"/>
      <c r="O69"/>
      <c r="P69" s="47"/>
      <c r="Q69" s="57" t="s">
        <v>160</v>
      </c>
      <c r="R69">
        <v>4.0389999999999997</v>
      </c>
      <c r="S69">
        <v>16.254000000000001</v>
      </c>
      <c r="T69">
        <v>28.681999999999999</v>
      </c>
      <c r="U69">
        <v>21.995000000000001</v>
      </c>
      <c r="V69">
        <v>51.247999999999998</v>
      </c>
      <c r="W69">
        <v>333.87200000000001</v>
      </c>
      <c r="X69"/>
      <c r="Y69"/>
      <c r="Z69"/>
      <c r="AA69"/>
      <c r="AB69"/>
      <c r="AC69"/>
      <c r="AD69" s="31">
        <f t="shared" si="2"/>
        <v>456.09000000000003</v>
      </c>
    </row>
    <row r="70" spans="1:30" ht="15" customHeight="1">
      <c r="A70" s="3">
        <v>63</v>
      </c>
      <c r="B70" s="7" t="s">
        <v>82</v>
      </c>
      <c r="C70" s="19" t="s">
        <v>144</v>
      </c>
      <c r="D70" s="31">
        <f t="shared" si="1"/>
        <v>2447</v>
      </c>
      <c r="E70" s="45">
        <v>805</v>
      </c>
      <c r="F70" s="45">
        <v>155</v>
      </c>
      <c r="G70" s="45">
        <v>178</v>
      </c>
      <c r="H70" s="45">
        <v>299</v>
      </c>
      <c r="I70" s="45">
        <v>116</v>
      </c>
      <c r="J70" s="46">
        <v>235</v>
      </c>
      <c r="K70">
        <v>158</v>
      </c>
      <c r="L70"/>
      <c r="M70">
        <v>219</v>
      </c>
      <c r="N70">
        <v>154</v>
      </c>
      <c r="O70">
        <v>73</v>
      </c>
      <c r="P70" s="47">
        <v>55</v>
      </c>
      <c r="Q70" s="57" t="s">
        <v>160</v>
      </c>
      <c r="R70">
        <v>19.378</v>
      </c>
      <c r="S70">
        <v>16.538</v>
      </c>
      <c r="T70">
        <v>19.623999999999999</v>
      </c>
      <c r="U70">
        <v>80.602999999999994</v>
      </c>
      <c r="V70">
        <v>92.123000000000005</v>
      </c>
      <c r="W70">
        <v>812.14099999999996</v>
      </c>
      <c r="X70">
        <v>3.4460000000000002</v>
      </c>
      <c r="Y70"/>
      <c r="Z70">
        <v>11.103</v>
      </c>
      <c r="AA70">
        <v>14.114000000000001</v>
      </c>
      <c r="AB70">
        <v>15.143000000000001</v>
      </c>
      <c r="AC70">
        <v>81.694999999999993</v>
      </c>
      <c r="AD70" s="31">
        <f t="shared" si="2"/>
        <v>1165.9079999999999</v>
      </c>
    </row>
    <row r="71" spans="1:30" ht="15" customHeight="1">
      <c r="A71" s="3">
        <v>64</v>
      </c>
      <c r="B71" s="7" t="s">
        <v>83</v>
      </c>
      <c r="C71" s="19" t="s">
        <v>143</v>
      </c>
      <c r="D71" s="31">
        <f t="shared" si="1"/>
        <v>506</v>
      </c>
      <c r="E71" s="44"/>
      <c r="F71" s="45">
        <v>270</v>
      </c>
      <c r="G71" s="45">
        <v>21</v>
      </c>
      <c r="H71" s="45">
        <v>118</v>
      </c>
      <c r="I71" s="45">
        <v>31</v>
      </c>
      <c r="J71" s="46">
        <v>66</v>
      </c>
      <c r="K71"/>
      <c r="L71"/>
      <c r="M71"/>
      <c r="N71"/>
      <c r="O71"/>
      <c r="P71" s="47"/>
      <c r="Q71" s="57" t="s">
        <v>160</v>
      </c>
      <c r="R71"/>
      <c r="S71">
        <v>34.274000000000001</v>
      </c>
      <c r="T71">
        <v>2.2490000000000001</v>
      </c>
      <c r="U71">
        <v>99.566999999999993</v>
      </c>
      <c r="V71">
        <v>67.393000000000001</v>
      </c>
      <c r="W71">
        <v>429.70600000000002</v>
      </c>
      <c r="X71"/>
      <c r="Y71"/>
      <c r="Z71"/>
      <c r="AA71"/>
      <c r="AB71"/>
      <c r="AC71"/>
      <c r="AD71" s="31">
        <f t="shared" si="2"/>
        <v>633.18900000000008</v>
      </c>
    </row>
    <row r="72" spans="1:30" ht="15" customHeight="1">
      <c r="A72" s="3">
        <v>65</v>
      </c>
      <c r="B72" s="7" t="s">
        <v>84</v>
      </c>
      <c r="C72" s="19" t="s">
        <v>143</v>
      </c>
      <c r="D72" s="31">
        <f t="shared" si="1"/>
        <v>190</v>
      </c>
      <c r="E72" s="44"/>
      <c r="F72" s="44"/>
      <c r="G72" s="45">
        <v>62</v>
      </c>
      <c r="H72" s="45">
        <v>57</v>
      </c>
      <c r="I72" s="45">
        <v>21</v>
      </c>
      <c r="J72" s="46">
        <v>50</v>
      </c>
      <c r="K72"/>
      <c r="L72"/>
      <c r="M72"/>
      <c r="N72"/>
      <c r="O72"/>
      <c r="P72" s="47"/>
      <c r="Q72" s="57" t="s">
        <v>160</v>
      </c>
      <c r="R72"/>
      <c r="S72"/>
      <c r="T72">
        <v>14.845000000000001</v>
      </c>
      <c r="U72">
        <v>41.567999999999998</v>
      </c>
      <c r="V72">
        <v>51.055999999999997</v>
      </c>
      <c r="W72">
        <v>342.14</v>
      </c>
      <c r="X72"/>
      <c r="Y72"/>
      <c r="Z72"/>
      <c r="AA72"/>
      <c r="AB72"/>
      <c r="AC72"/>
      <c r="AD72" s="31">
        <f t="shared" ref="AD72:AD103" si="3">SUM(R72:AC72)</f>
        <v>449.60899999999998</v>
      </c>
    </row>
    <row r="73" spans="1:30" ht="15" customHeight="1">
      <c r="A73" s="3">
        <v>66</v>
      </c>
      <c r="B73" s="7" t="s">
        <v>85</v>
      </c>
      <c r="C73" s="19" t="s">
        <v>143</v>
      </c>
      <c r="D73" s="31">
        <f t="shared" ref="D73:D127" si="4">SUM(E73:P73)</f>
        <v>363</v>
      </c>
      <c r="E73" s="44"/>
      <c r="F73" s="45">
        <v>88</v>
      </c>
      <c r="G73" s="45">
        <v>90</v>
      </c>
      <c r="H73" s="45">
        <v>83</v>
      </c>
      <c r="I73" s="45">
        <v>35</v>
      </c>
      <c r="J73" s="46">
        <v>67</v>
      </c>
      <c r="K73"/>
      <c r="L73"/>
      <c r="M73"/>
      <c r="N73"/>
      <c r="O73"/>
      <c r="P73" s="47"/>
      <c r="Q73" s="57" t="s">
        <v>160</v>
      </c>
      <c r="R73"/>
      <c r="S73">
        <v>15.097</v>
      </c>
      <c r="T73">
        <v>26.036999999999999</v>
      </c>
      <c r="U73">
        <v>54.73</v>
      </c>
      <c r="V73">
        <v>62.625999999999998</v>
      </c>
      <c r="W73">
        <v>384.19499999999999</v>
      </c>
      <c r="X73"/>
      <c r="Y73"/>
      <c r="Z73"/>
      <c r="AA73"/>
      <c r="AB73"/>
      <c r="AC73"/>
      <c r="AD73" s="31">
        <f t="shared" si="3"/>
        <v>542.68499999999995</v>
      </c>
    </row>
    <row r="74" spans="1:30" ht="15" customHeight="1">
      <c r="A74" s="3">
        <v>67</v>
      </c>
      <c r="B74" s="7" t="s">
        <v>86</v>
      </c>
      <c r="C74" s="19" t="s">
        <v>143</v>
      </c>
      <c r="D74" s="31">
        <f t="shared" si="4"/>
        <v>656</v>
      </c>
      <c r="E74" s="44"/>
      <c r="F74" s="45">
        <v>309</v>
      </c>
      <c r="G74" s="44"/>
      <c r="H74" s="45">
        <v>189</v>
      </c>
      <c r="I74" s="45">
        <v>55</v>
      </c>
      <c r="J74" s="46">
        <v>103</v>
      </c>
      <c r="K74"/>
      <c r="L74"/>
      <c r="M74"/>
      <c r="N74"/>
      <c r="O74"/>
      <c r="P74" s="47"/>
      <c r="Q74" s="57" t="s">
        <v>160</v>
      </c>
      <c r="R74"/>
      <c r="S74">
        <v>46.570999999999998</v>
      </c>
      <c r="T74"/>
      <c r="U74">
        <v>98.504000000000005</v>
      </c>
      <c r="V74">
        <v>68.073999999999998</v>
      </c>
      <c r="W74">
        <v>471.28</v>
      </c>
      <c r="X74"/>
      <c r="Y74"/>
      <c r="Z74"/>
      <c r="AA74"/>
      <c r="AB74"/>
      <c r="AC74"/>
      <c r="AD74" s="31">
        <f t="shared" si="3"/>
        <v>684.42899999999997</v>
      </c>
    </row>
    <row r="75" spans="1:30" ht="15" customHeight="1">
      <c r="A75" s="3">
        <v>68</v>
      </c>
      <c r="B75" s="7" t="s">
        <v>87</v>
      </c>
      <c r="C75" s="19" t="s">
        <v>143</v>
      </c>
      <c r="D75" s="31">
        <f t="shared" si="4"/>
        <v>393</v>
      </c>
      <c r="E75" s="44"/>
      <c r="F75" s="45">
        <v>187</v>
      </c>
      <c r="G75" s="45">
        <v>21</v>
      </c>
      <c r="H75" s="45">
        <v>65</v>
      </c>
      <c r="I75" s="45">
        <v>47</v>
      </c>
      <c r="J75" s="46">
        <v>73</v>
      </c>
      <c r="K75"/>
      <c r="L75"/>
      <c r="M75"/>
      <c r="N75"/>
      <c r="O75"/>
      <c r="P75" s="47"/>
      <c r="Q75" s="57" t="s">
        <v>160</v>
      </c>
      <c r="R75"/>
      <c r="S75">
        <v>44.264000000000003</v>
      </c>
      <c r="T75">
        <v>8.4710000000000001</v>
      </c>
      <c r="U75">
        <v>39.938000000000002</v>
      </c>
      <c r="V75">
        <v>77.772999999999996</v>
      </c>
      <c r="W75">
        <v>400.61500000000001</v>
      </c>
      <c r="X75"/>
      <c r="Y75"/>
      <c r="Z75"/>
      <c r="AA75"/>
      <c r="AB75"/>
      <c r="AC75"/>
      <c r="AD75" s="31">
        <f t="shared" si="3"/>
        <v>571.06100000000004</v>
      </c>
    </row>
    <row r="76" spans="1:30" ht="15" customHeight="1">
      <c r="A76" s="3">
        <v>69</v>
      </c>
      <c r="B76" s="7" t="s">
        <v>88</v>
      </c>
      <c r="C76" s="19" t="s">
        <v>143</v>
      </c>
      <c r="D76" s="31">
        <f t="shared" si="4"/>
        <v>641</v>
      </c>
      <c r="E76" s="44"/>
      <c r="F76" s="45">
        <v>339</v>
      </c>
      <c r="G76" s="45">
        <v>62</v>
      </c>
      <c r="H76" s="45">
        <v>62</v>
      </c>
      <c r="I76" s="45">
        <v>83</v>
      </c>
      <c r="J76" s="46">
        <v>95</v>
      </c>
      <c r="K76"/>
      <c r="L76"/>
      <c r="M76"/>
      <c r="N76"/>
      <c r="O76"/>
      <c r="P76" s="47"/>
      <c r="Q76" s="57" t="s">
        <v>160</v>
      </c>
      <c r="R76"/>
      <c r="S76">
        <v>38.134999999999998</v>
      </c>
      <c r="T76">
        <v>13.307</v>
      </c>
      <c r="U76">
        <v>32.780999999999999</v>
      </c>
      <c r="V76">
        <v>112.04300000000001</v>
      </c>
      <c r="W76">
        <v>458.53800000000001</v>
      </c>
      <c r="X76"/>
      <c r="Y76"/>
      <c r="Z76"/>
      <c r="AA76"/>
      <c r="AB76"/>
      <c r="AC76"/>
      <c r="AD76" s="31">
        <f t="shared" si="3"/>
        <v>654.80400000000009</v>
      </c>
    </row>
    <row r="77" spans="1:30" ht="15" customHeight="1">
      <c r="A77" s="3">
        <v>70</v>
      </c>
      <c r="B77" s="7" t="s">
        <v>89</v>
      </c>
      <c r="C77" s="19" t="s">
        <v>143</v>
      </c>
      <c r="D77" s="31">
        <f t="shared" si="4"/>
        <v>390</v>
      </c>
      <c r="E77" s="45">
        <v>112</v>
      </c>
      <c r="F77" s="45">
        <v>137</v>
      </c>
      <c r="G77" s="45">
        <v>19</v>
      </c>
      <c r="H77" s="45">
        <v>42</v>
      </c>
      <c r="I77" s="45">
        <v>36</v>
      </c>
      <c r="J77" s="46">
        <v>44</v>
      </c>
      <c r="K77"/>
      <c r="L77"/>
      <c r="M77"/>
      <c r="N77"/>
      <c r="O77"/>
      <c r="P77" s="47"/>
      <c r="Q77" s="57" t="s">
        <v>160</v>
      </c>
      <c r="R77">
        <v>4.5279999999999996</v>
      </c>
      <c r="S77">
        <v>29.059000000000001</v>
      </c>
      <c r="T77">
        <v>2.8929999999999998</v>
      </c>
      <c r="U77">
        <v>18.59</v>
      </c>
      <c r="V77">
        <v>104.29300000000001</v>
      </c>
      <c r="W77">
        <v>346.26600000000002</v>
      </c>
      <c r="X77"/>
      <c r="Y77"/>
      <c r="Z77"/>
      <c r="AA77"/>
      <c r="AB77"/>
      <c r="AC77"/>
      <c r="AD77" s="31">
        <f t="shared" si="3"/>
        <v>505.62900000000002</v>
      </c>
    </row>
    <row r="78" spans="1:30" ht="15" customHeight="1">
      <c r="A78" s="3">
        <v>71</v>
      </c>
      <c r="B78" s="7" t="s">
        <v>90</v>
      </c>
      <c r="C78" s="19" t="s">
        <v>144</v>
      </c>
      <c r="D78" s="31">
        <f t="shared" si="4"/>
        <v>820</v>
      </c>
      <c r="E78" s="44"/>
      <c r="F78" s="45">
        <v>331</v>
      </c>
      <c r="G78" s="45">
        <v>62</v>
      </c>
      <c r="H78" s="45">
        <v>31</v>
      </c>
      <c r="I78" s="45">
        <v>97</v>
      </c>
      <c r="J78" s="46">
        <v>127</v>
      </c>
      <c r="K78"/>
      <c r="L78"/>
      <c r="M78">
        <v>81</v>
      </c>
      <c r="N78">
        <v>52</v>
      </c>
      <c r="O78">
        <v>17</v>
      </c>
      <c r="P78" s="47">
        <v>22</v>
      </c>
      <c r="Q78" s="57" t="s">
        <v>160</v>
      </c>
      <c r="R78"/>
      <c r="S78">
        <v>59.793999999999997</v>
      </c>
      <c r="T78">
        <v>23.265000000000001</v>
      </c>
      <c r="U78">
        <v>24.03</v>
      </c>
      <c r="V78">
        <v>134.179</v>
      </c>
      <c r="W78">
        <v>619.94299999999998</v>
      </c>
      <c r="X78"/>
      <c r="Y78"/>
      <c r="Z78">
        <v>12.292</v>
      </c>
      <c r="AA78">
        <v>7.8159999999999998</v>
      </c>
      <c r="AB78">
        <v>7.7030000000000003</v>
      </c>
      <c r="AC78">
        <v>54.021999999999998</v>
      </c>
      <c r="AD78" s="31">
        <f t="shared" si="3"/>
        <v>943.0440000000001</v>
      </c>
    </row>
    <row r="79" spans="1:30" ht="15" customHeight="1">
      <c r="A79" s="3">
        <v>72</v>
      </c>
      <c r="B79" s="7" t="s">
        <v>91</v>
      </c>
      <c r="C79" s="19" t="s">
        <v>143</v>
      </c>
      <c r="D79" s="31">
        <f t="shared" si="4"/>
        <v>690</v>
      </c>
      <c r="E79" s="45">
        <v>465</v>
      </c>
      <c r="F79" s="45">
        <v>59</v>
      </c>
      <c r="G79" s="45">
        <v>33</v>
      </c>
      <c r="H79" s="45">
        <v>50</v>
      </c>
      <c r="I79" s="45">
        <v>28</v>
      </c>
      <c r="J79" s="46">
        <v>55</v>
      </c>
      <c r="K79"/>
      <c r="L79"/>
      <c r="M79"/>
      <c r="N79"/>
      <c r="O79"/>
      <c r="P79" s="47"/>
      <c r="Q79" s="57" t="s">
        <v>160</v>
      </c>
      <c r="R79">
        <v>26.571999999999999</v>
      </c>
      <c r="S79">
        <v>11.138999999999999</v>
      </c>
      <c r="T79">
        <v>6.7889999999999997</v>
      </c>
      <c r="U79">
        <v>34.247</v>
      </c>
      <c r="V79">
        <v>56.902000000000001</v>
      </c>
      <c r="W79">
        <v>339.62400000000002</v>
      </c>
      <c r="X79"/>
      <c r="Y79"/>
      <c r="Z79"/>
      <c r="AA79"/>
      <c r="AB79"/>
      <c r="AC79"/>
      <c r="AD79" s="31">
        <f t="shared" si="3"/>
        <v>475.27300000000002</v>
      </c>
    </row>
    <row r="80" spans="1:30" ht="15" customHeight="1">
      <c r="A80" s="3">
        <v>73</v>
      </c>
      <c r="B80" s="7" t="s">
        <v>92</v>
      </c>
      <c r="C80" s="19" t="s">
        <v>144</v>
      </c>
      <c r="D80" s="31">
        <f t="shared" si="4"/>
        <v>2163</v>
      </c>
      <c r="E80" s="45">
        <v>120</v>
      </c>
      <c r="F80" s="45">
        <v>179</v>
      </c>
      <c r="G80" s="45">
        <v>48</v>
      </c>
      <c r="H80" s="45">
        <v>93</v>
      </c>
      <c r="I80" s="45">
        <v>100</v>
      </c>
      <c r="J80" s="46">
        <v>77</v>
      </c>
      <c r="K80">
        <v>485</v>
      </c>
      <c r="L80"/>
      <c r="M80">
        <v>438</v>
      </c>
      <c r="N80">
        <v>284</v>
      </c>
      <c r="O80">
        <v>165</v>
      </c>
      <c r="P80" s="47">
        <v>174</v>
      </c>
      <c r="Q80" s="57" t="s">
        <v>160</v>
      </c>
      <c r="R80">
        <v>4.008</v>
      </c>
      <c r="S80">
        <v>16.716000000000001</v>
      </c>
      <c r="T80">
        <v>10.132</v>
      </c>
      <c r="U80">
        <v>43.473999999999997</v>
      </c>
      <c r="V80">
        <v>75.244</v>
      </c>
      <c r="W80">
        <v>258.92599999999999</v>
      </c>
      <c r="X80">
        <v>13.311999999999999</v>
      </c>
      <c r="Y80"/>
      <c r="Z80">
        <v>27.484999999999999</v>
      </c>
      <c r="AA80">
        <v>41.066000000000003</v>
      </c>
      <c r="AB80">
        <v>43.871000000000002</v>
      </c>
      <c r="AC80">
        <v>304.23599999999999</v>
      </c>
      <c r="AD80" s="31">
        <f t="shared" si="3"/>
        <v>838.47</v>
      </c>
    </row>
    <row r="81" spans="1:30" ht="15" customHeight="1">
      <c r="A81" s="3">
        <v>74</v>
      </c>
      <c r="B81" s="7" t="s">
        <v>93</v>
      </c>
      <c r="C81" s="19" t="s">
        <v>143</v>
      </c>
      <c r="D81" s="31">
        <f t="shared" si="4"/>
        <v>416</v>
      </c>
      <c r="E81" s="44"/>
      <c r="F81" s="45">
        <v>179</v>
      </c>
      <c r="G81" s="45">
        <v>14</v>
      </c>
      <c r="H81" s="45">
        <v>52</v>
      </c>
      <c r="I81" s="45">
        <v>71</v>
      </c>
      <c r="J81" s="46">
        <v>100</v>
      </c>
      <c r="K81"/>
      <c r="L81"/>
      <c r="M81"/>
      <c r="N81"/>
      <c r="O81"/>
      <c r="P81" s="47"/>
      <c r="Q81" s="57" t="s">
        <v>160</v>
      </c>
      <c r="R81"/>
      <c r="S81">
        <v>22.251999999999999</v>
      </c>
      <c r="T81">
        <v>11.92</v>
      </c>
      <c r="U81">
        <v>25.736999999999998</v>
      </c>
      <c r="V81">
        <v>107.646</v>
      </c>
      <c r="W81">
        <v>516.44399999999996</v>
      </c>
      <c r="X81"/>
      <c r="Y81"/>
      <c r="Z81"/>
      <c r="AA81"/>
      <c r="AB81"/>
      <c r="AC81"/>
      <c r="AD81" s="31">
        <f t="shared" si="3"/>
        <v>683.99900000000002</v>
      </c>
    </row>
    <row r="82" spans="1:30" ht="15" customHeight="1">
      <c r="A82" s="3">
        <v>75</v>
      </c>
      <c r="B82" s="7" t="s">
        <v>94</v>
      </c>
      <c r="C82" s="19" t="s">
        <v>143</v>
      </c>
      <c r="D82" s="31">
        <f t="shared" si="4"/>
        <v>280</v>
      </c>
      <c r="E82" s="44"/>
      <c r="F82" s="45">
        <v>63</v>
      </c>
      <c r="G82" s="44"/>
      <c r="H82" s="45">
        <v>138</v>
      </c>
      <c r="I82" s="45">
        <v>30</v>
      </c>
      <c r="J82" s="46">
        <v>49</v>
      </c>
      <c r="K82"/>
      <c r="L82"/>
      <c r="M82"/>
      <c r="N82"/>
      <c r="O82"/>
      <c r="P82" s="47"/>
      <c r="Q82" s="57" t="s">
        <v>160</v>
      </c>
      <c r="R82"/>
      <c r="S82">
        <v>11.573</v>
      </c>
      <c r="T82"/>
      <c r="U82">
        <v>68.578000000000003</v>
      </c>
      <c r="V82">
        <v>58.35</v>
      </c>
      <c r="W82">
        <v>296.291</v>
      </c>
      <c r="X82"/>
      <c r="Y82"/>
      <c r="Z82"/>
      <c r="AA82"/>
      <c r="AB82"/>
      <c r="AC82"/>
      <c r="AD82" s="31">
        <f t="shared" si="3"/>
        <v>434.79200000000003</v>
      </c>
    </row>
    <row r="83" spans="1:30" ht="15" customHeight="1">
      <c r="A83" s="3">
        <v>76</v>
      </c>
      <c r="B83" s="7" t="s">
        <v>95</v>
      </c>
      <c r="C83" s="19" t="s">
        <v>144</v>
      </c>
      <c r="D83" s="31">
        <f t="shared" si="4"/>
        <v>2886</v>
      </c>
      <c r="E83" s="45">
        <v>1153</v>
      </c>
      <c r="F83" s="45">
        <v>57</v>
      </c>
      <c r="G83" s="45">
        <v>274</v>
      </c>
      <c r="H83" s="45">
        <v>83</v>
      </c>
      <c r="I83" s="45">
        <v>98</v>
      </c>
      <c r="J83" s="46">
        <v>125</v>
      </c>
      <c r="K83">
        <v>265</v>
      </c>
      <c r="L83"/>
      <c r="M83">
        <v>375</v>
      </c>
      <c r="N83">
        <v>177</v>
      </c>
      <c r="O83">
        <v>135</v>
      </c>
      <c r="P83" s="47">
        <v>144</v>
      </c>
      <c r="Q83" s="57" t="s">
        <v>160</v>
      </c>
      <c r="R83">
        <v>19.690999999999999</v>
      </c>
      <c r="S83">
        <v>8.8409999999999993</v>
      </c>
      <c r="T83">
        <v>38.344000000000001</v>
      </c>
      <c r="U83">
        <v>37.783000000000001</v>
      </c>
      <c r="V83">
        <v>89.313999999999993</v>
      </c>
      <c r="W83">
        <v>470.88900000000001</v>
      </c>
      <c r="X83">
        <v>4.6040000000000001</v>
      </c>
      <c r="Y83"/>
      <c r="Z83">
        <v>22.489000000000001</v>
      </c>
      <c r="AA83">
        <v>17.942</v>
      </c>
      <c r="AB83">
        <v>28.63</v>
      </c>
      <c r="AC83">
        <v>219.23500000000001</v>
      </c>
      <c r="AD83" s="31">
        <f t="shared" si="3"/>
        <v>957.76200000000017</v>
      </c>
    </row>
    <row r="84" spans="1:30" ht="15" customHeight="1">
      <c r="A84" s="3">
        <v>77</v>
      </c>
      <c r="B84" s="7" t="s">
        <v>96</v>
      </c>
      <c r="C84" s="19" t="s">
        <v>143</v>
      </c>
      <c r="D84" s="31">
        <f t="shared" si="4"/>
        <v>382</v>
      </c>
      <c r="E84" s="44"/>
      <c r="F84" s="45">
        <v>149</v>
      </c>
      <c r="G84" s="45">
        <v>45</v>
      </c>
      <c r="H84" s="45">
        <v>90</v>
      </c>
      <c r="I84" s="45">
        <v>40</v>
      </c>
      <c r="J84" s="46">
        <v>58</v>
      </c>
      <c r="K84"/>
      <c r="L84"/>
      <c r="M84"/>
      <c r="N84"/>
      <c r="O84"/>
      <c r="P84" s="47"/>
      <c r="Q84" s="57" t="s">
        <v>160</v>
      </c>
      <c r="R84"/>
      <c r="S84">
        <v>25.449000000000002</v>
      </c>
      <c r="T84">
        <v>12.486000000000001</v>
      </c>
      <c r="U84">
        <v>55.451000000000001</v>
      </c>
      <c r="V84">
        <v>73.781000000000006</v>
      </c>
      <c r="W84">
        <v>336.05700000000002</v>
      </c>
      <c r="X84"/>
      <c r="Y84"/>
      <c r="Z84"/>
      <c r="AA84"/>
      <c r="AB84"/>
      <c r="AC84"/>
      <c r="AD84" s="31">
        <f t="shared" si="3"/>
        <v>503.22400000000005</v>
      </c>
    </row>
    <row r="85" spans="1:30" ht="15" customHeight="1">
      <c r="A85" s="3">
        <v>78</v>
      </c>
      <c r="B85" s="7" t="s">
        <v>97</v>
      </c>
      <c r="C85" s="19" t="s">
        <v>144</v>
      </c>
      <c r="D85" s="31">
        <f t="shared" si="4"/>
        <v>446</v>
      </c>
      <c r="E85" s="44"/>
      <c r="F85" s="45">
        <v>112</v>
      </c>
      <c r="G85" s="45">
        <v>28</v>
      </c>
      <c r="H85" s="45">
        <v>83</v>
      </c>
      <c r="I85" s="45">
        <v>64</v>
      </c>
      <c r="J85" s="46">
        <v>59</v>
      </c>
      <c r="K85"/>
      <c r="L85"/>
      <c r="M85"/>
      <c r="N85">
        <v>73</v>
      </c>
      <c r="O85">
        <v>13</v>
      </c>
      <c r="P85" s="47">
        <v>14</v>
      </c>
      <c r="Q85" s="57" t="s">
        <v>160</v>
      </c>
      <c r="R85"/>
      <c r="S85">
        <v>15.430999999999999</v>
      </c>
      <c r="T85">
        <v>10.622</v>
      </c>
      <c r="U85">
        <v>49.399000000000001</v>
      </c>
      <c r="V85">
        <v>93.67</v>
      </c>
      <c r="W85">
        <v>299.34899999999999</v>
      </c>
      <c r="X85"/>
      <c r="Y85"/>
      <c r="Z85"/>
      <c r="AA85">
        <v>9.4420000000000002</v>
      </c>
      <c r="AB85">
        <v>4.5940000000000003</v>
      </c>
      <c r="AC85">
        <v>28.404</v>
      </c>
      <c r="AD85" s="31">
        <f t="shared" si="3"/>
        <v>510.911</v>
      </c>
    </row>
    <row r="86" spans="1:30" ht="15" customHeight="1">
      <c r="A86" s="3">
        <v>79</v>
      </c>
      <c r="B86" s="7" t="s">
        <v>98</v>
      </c>
      <c r="C86" s="19" t="s">
        <v>143</v>
      </c>
      <c r="D86" s="31">
        <f t="shared" si="4"/>
        <v>1300</v>
      </c>
      <c r="E86" s="45">
        <v>337</v>
      </c>
      <c r="F86" s="45">
        <v>519</v>
      </c>
      <c r="G86" s="45">
        <v>58</v>
      </c>
      <c r="H86" s="45">
        <v>183</v>
      </c>
      <c r="I86" s="45">
        <v>68</v>
      </c>
      <c r="J86" s="46">
        <v>135</v>
      </c>
      <c r="K86"/>
      <c r="L86"/>
      <c r="M86"/>
      <c r="N86"/>
      <c r="O86"/>
      <c r="P86" s="47"/>
      <c r="Q86" s="57" t="s">
        <v>160</v>
      </c>
      <c r="R86">
        <v>12.032</v>
      </c>
      <c r="S86">
        <v>73.944999999999993</v>
      </c>
      <c r="T86">
        <v>9.7170000000000005</v>
      </c>
      <c r="U86">
        <v>58.570999999999998</v>
      </c>
      <c r="V86">
        <v>82.43</v>
      </c>
      <c r="W86">
        <v>606.18399999999997</v>
      </c>
      <c r="X86"/>
      <c r="Y86"/>
      <c r="Z86"/>
      <c r="AA86"/>
      <c r="AB86"/>
      <c r="AC86"/>
      <c r="AD86" s="31">
        <f t="shared" si="3"/>
        <v>842.87899999999991</v>
      </c>
    </row>
    <row r="87" spans="1:30" ht="15" customHeight="1">
      <c r="A87" s="3">
        <v>80</v>
      </c>
      <c r="B87" s="7" t="s">
        <v>99</v>
      </c>
      <c r="C87" s="19" t="s">
        <v>143</v>
      </c>
      <c r="D87" s="31">
        <f t="shared" si="4"/>
        <v>288</v>
      </c>
      <c r="E87" s="44"/>
      <c r="F87" s="45">
        <v>79</v>
      </c>
      <c r="G87" s="45">
        <v>50</v>
      </c>
      <c r="H87" s="45">
        <v>76</v>
      </c>
      <c r="I87" s="45">
        <v>44</v>
      </c>
      <c r="J87" s="46">
        <v>39</v>
      </c>
      <c r="K87"/>
      <c r="L87"/>
      <c r="M87"/>
      <c r="N87"/>
      <c r="O87"/>
      <c r="P87" s="47"/>
      <c r="Q87" s="57" t="s">
        <v>160</v>
      </c>
      <c r="R87"/>
      <c r="S87">
        <v>17.579000000000001</v>
      </c>
      <c r="T87">
        <v>8.3659999999999997</v>
      </c>
      <c r="U87">
        <v>46.655000000000001</v>
      </c>
      <c r="V87">
        <v>42.863999999999997</v>
      </c>
      <c r="W87">
        <v>153.49700000000001</v>
      </c>
      <c r="X87"/>
      <c r="Y87"/>
      <c r="Z87"/>
      <c r="AA87"/>
      <c r="AB87"/>
      <c r="AC87"/>
      <c r="AD87" s="31">
        <f t="shared" si="3"/>
        <v>268.96100000000001</v>
      </c>
    </row>
    <row r="88" spans="1:30" ht="15" customHeight="1">
      <c r="A88" s="3">
        <v>81</v>
      </c>
      <c r="B88" s="7" t="s">
        <v>100</v>
      </c>
      <c r="C88" s="19" t="s">
        <v>144</v>
      </c>
      <c r="D88" s="31">
        <f t="shared" si="4"/>
        <v>551</v>
      </c>
      <c r="E88" s="44"/>
      <c r="F88" s="45">
        <v>153</v>
      </c>
      <c r="G88" s="45">
        <v>46</v>
      </c>
      <c r="H88" s="45">
        <v>37</v>
      </c>
      <c r="I88" s="45">
        <v>31</v>
      </c>
      <c r="J88" s="46">
        <v>36</v>
      </c>
      <c r="K88"/>
      <c r="L88"/>
      <c r="M88">
        <v>112</v>
      </c>
      <c r="N88">
        <v>77</v>
      </c>
      <c r="O88">
        <v>27</v>
      </c>
      <c r="P88" s="47">
        <v>32</v>
      </c>
      <c r="Q88" s="57" t="s">
        <v>160</v>
      </c>
      <c r="R88"/>
      <c r="S88">
        <v>24.629000000000001</v>
      </c>
      <c r="T88">
        <v>8.4619999999999997</v>
      </c>
      <c r="U88">
        <v>28.494</v>
      </c>
      <c r="V88">
        <v>59.542000000000002</v>
      </c>
      <c r="W88">
        <v>216.91900000000001</v>
      </c>
      <c r="X88"/>
      <c r="Y88"/>
      <c r="Z88">
        <v>12.664999999999999</v>
      </c>
      <c r="AA88">
        <v>10.048999999999999</v>
      </c>
      <c r="AB88">
        <v>11.68</v>
      </c>
      <c r="AC88">
        <v>74.501999999999995</v>
      </c>
      <c r="AD88" s="31">
        <f t="shared" si="3"/>
        <v>446.94200000000006</v>
      </c>
    </row>
    <row r="89" spans="1:30" ht="15" customHeight="1">
      <c r="A89" s="3">
        <v>82</v>
      </c>
      <c r="B89" s="7" t="s">
        <v>101</v>
      </c>
      <c r="C89" s="19" t="s">
        <v>145</v>
      </c>
      <c r="D89" s="31">
        <f t="shared" si="4"/>
        <v>638</v>
      </c>
      <c r="E89" s="44"/>
      <c r="F89" s="45">
        <v>96</v>
      </c>
      <c r="G89" s="45">
        <v>232</v>
      </c>
      <c r="H89" s="45">
        <v>87</v>
      </c>
      <c r="I89" s="45">
        <v>66</v>
      </c>
      <c r="J89" s="46">
        <v>90</v>
      </c>
      <c r="K89"/>
      <c r="L89"/>
      <c r="M89">
        <v>67</v>
      </c>
      <c r="N89"/>
      <c r="O89"/>
      <c r="P89" s="47"/>
      <c r="Q89" s="57" t="s">
        <v>160</v>
      </c>
      <c r="R89"/>
      <c r="S89">
        <v>14.798999999999999</v>
      </c>
      <c r="T89">
        <v>34.499000000000002</v>
      </c>
      <c r="U89">
        <v>48.563000000000002</v>
      </c>
      <c r="V89">
        <v>79.643000000000001</v>
      </c>
      <c r="W89">
        <v>405.13799999999998</v>
      </c>
      <c r="X89"/>
      <c r="Y89"/>
      <c r="Z89">
        <v>3.6669999999999998</v>
      </c>
      <c r="AA89"/>
      <c r="AB89"/>
      <c r="AC89">
        <v>17.198</v>
      </c>
      <c r="AD89" s="31">
        <f t="shared" si="3"/>
        <v>603.50700000000006</v>
      </c>
    </row>
    <row r="90" spans="1:30" ht="15" customHeight="1">
      <c r="A90" s="3">
        <v>83</v>
      </c>
      <c r="B90" s="7" t="s">
        <v>102</v>
      </c>
      <c r="C90" s="19" t="s">
        <v>143</v>
      </c>
      <c r="D90" s="31">
        <f t="shared" si="4"/>
        <v>150</v>
      </c>
      <c r="E90" s="44"/>
      <c r="F90" s="44"/>
      <c r="G90" s="45">
        <v>62</v>
      </c>
      <c r="H90" s="45">
        <v>44</v>
      </c>
      <c r="I90" s="45">
        <v>15</v>
      </c>
      <c r="J90" s="46">
        <v>29</v>
      </c>
      <c r="K90"/>
      <c r="L90"/>
      <c r="M90"/>
      <c r="N90"/>
      <c r="O90"/>
      <c r="P90" s="47"/>
      <c r="Q90" s="57" t="s">
        <v>160</v>
      </c>
      <c r="R90"/>
      <c r="S90"/>
      <c r="T90">
        <v>19.385999999999999</v>
      </c>
      <c r="U90">
        <v>50.006999999999998</v>
      </c>
      <c r="V90">
        <v>35.61</v>
      </c>
      <c r="W90">
        <v>201.78100000000001</v>
      </c>
      <c r="X90"/>
      <c r="Y90"/>
      <c r="Z90"/>
      <c r="AA90"/>
      <c r="AB90"/>
      <c r="AC90"/>
      <c r="AD90" s="31">
        <f t="shared" si="3"/>
        <v>306.78399999999999</v>
      </c>
    </row>
    <row r="91" spans="1:30" ht="15" customHeight="1">
      <c r="A91" s="3">
        <v>84</v>
      </c>
      <c r="B91" s="7" t="s">
        <v>103</v>
      </c>
      <c r="C91" s="19" t="s">
        <v>144</v>
      </c>
      <c r="D91" s="31">
        <f t="shared" si="4"/>
        <v>570</v>
      </c>
      <c r="E91" s="44"/>
      <c r="F91" s="45">
        <v>263</v>
      </c>
      <c r="G91" s="45">
        <v>43</v>
      </c>
      <c r="H91" s="45">
        <v>48</v>
      </c>
      <c r="I91" s="45">
        <v>34</v>
      </c>
      <c r="J91" s="46">
        <v>59</v>
      </c>
      <c r="K91"/>
      <c r="L91"/>
      <c r="M91">
        <v>63</v>
      </c>
      <c r="N91">
        <v>6</v>
      </c>
      <c r="O91">
        <v>30</v>
      </c>
      <c r="P91" s="47">
        <v>24</v>
      </c>
      <c r="Q91" s="57" t="s">
        <v>160</v>
      </c>
      <c r="R91"/>
      <c r="S91">
        <v>21.74</v>
      </c>
      <c r="T91">
        <v>17.869</v>
      </c>
      <c r="U91">
        <v>24.484000000000002</v>
      </c>
      <c r="V91">
        <v>47.039000000000001</v>
      </c>
      <c r="W91">
        <v>286.52300000000002</v>
      </c>
      <c r="X91"/>
      <c r="Y91"/>
      <c r="Z91">
        <v>5.2889999999999997</v>
      </c>
      <c r="AA91">
        <v>1.6419999999999999</v>
      </c>
      <c r="AB91">
        <v>9.5980000000000008</v>
      </c>
      <c r="AC91">
        <v>47.151000000000003</v>
      </c>
      <c r="AD91" s="31">
        <f t="shared" si="3"/>
        <v>461.33500000000004</v>
      </c>
    </row>
    <row r="92" spans="1:30" ht="15" customHeight="1">
      <c r="A92" s="3">
        <v>85</v>
      </c>
      <c r="B92" s="7" t="s">
        <v>104</v>
      </c>
      <c r="C92" s="19" t="s">
        <v>143</v>
      </c>
      <c r="D92" s="31">
        <f t="shared" si="4"/>
        <v>334</v>
      </c>
      <c r="E92" s="44"/>
      <c r="F92" s="45">
        <v>73</v>
      </c>
      <c r="G92" s="45">
        <v>39</v>
      </c>
      <c r="H92" s="45">
        <v>107</v>
      </c>
      <c r="I92" s="45">
        <v>42</v>
      </c>
      <c r="J92" s="46">
        <v>73</v>
      </c>
      <c r="K92"/>
      <c r="L92"/>
      <c r="M92"/>
      <c r="N92"/>
      <c r="O92"/>
      <c r="P92" s="47"/>
      <c r="Q92" s="57" t="s">
        <v>160</v>
      </c>
      <c r="R92"/>
      <c r="S92">
        <v>13.802</v>
      </c>
      <c r="T92">
        <v>12.8</v>
      </c>
      <c r="U92">
        <v>51.722999999999999</v>
      </c>
      <c r="V92">
        <v>74.551000000000002</v>
      </c>
      <c r="W92">
        <v>417.49200000000002</v>
      </c>
      <c r="X92"/>
      <c r="Y92"/>
      <c r="Z92"/>
      <c r="AA92"/>
      <c r="AB92"/>
      <c r="AC92"/>
      <c r="AD92" s="31">
        <f t="shared" si="3"/>
        <v>570.36800000000005</v>
      </c>
    </row>
    <row r="93" spans="1:30" ht="15" customHeight="1">
      <c r="A93" s="3">
        <v>86</v>
      </c>
      <c r="B93" s="7" t="s">
        <v>105</v>
      </c>
      <c r="C93" s="19" t="s">
        <v>143</v>
      </c>
      <c r="D93" s="31">
        <f t="shared" si="4"/>
        <v>298</v>
      </c>
      <c r="E93" s="44"/>
      <c r="F93" s="44"/>
      <c r="G93" s="44"/>
      <c r="H93" s="45">
        <v>129</v>
      </c>
      <c r="I93" s="45">
        <v>74</v>
      </c>
      <c r="J93" s="46">
        <v>95</v>
      </c>
      <c r="K93"/>
      <c r="L93"/>
      <c r="M93"/>
      <c r="N93"/>
      <c r="O93"/>
      <c r="P93" s="47"/>
      <c r="Q93" s="57" t="s">
        <v>160</v>
      </c>
      <c r="R93"/>
      <c r="S93"/>
      <c r="T93"/>
      <c r="U93">
        <v>56.302</v>
      </c>
      <c r="V93">
        <v>97.747</v>
      </c>
      <c r="W93">
        <v>448.33</v>
      </c>
      <c r="X93"/>
      <c r="Y93"/>
      <c r="Z93"/>
      <c r="AA93"/>
      <c r="AB93"/>
      <c r="AC93"/>
      <c r="AD93" s="31">
        <f t="shared" si="3"/>
        <v>602.37900000000002</v>
      </c>
    </row>
    <row r="94" spans="1:30" ht="15" customHeight="1">
      <c r="A94" s="3">
        <v>87</v>
      </c>
      <c r="B94" s="7" t="s">
        <v>106</v>
      </c>
      <c r="C94" s="19" t="s">
        <v>144</v>
      </c>
      <c r="D94" s="31">
        <f t="shared" si="4"/>
        <v>786</v>
      </c>
      <c r="E94" s="45">
        <v>252</v>
      </c>
      <c r="F94" s="44"/>
      <c r="G94" s="45">
        <v>192</v>
      </c>
      <c r="H94" s="45">
        <v>71</v>
      </c>
      <c r="I94" s="45">
        <v>35</v>
      </c>
      <c r="J94" s="46">
        <v>39</v>
      </c>
      <c r="K94"/>
      <c r="L94"/>
      <c r="M94">
        <v>72</v>
      </c>
      <c r="N94">
        <v>88</v>
      </c>
      <c r="O94">
        <v>16</v>
      </c>
      <c r="P94" s="47">
        <v>21</v>
      </c>
      <c r="Q94" s="57" t="s">
        <v>160</v>
      </c>
      <c r="R94">
        <v>11.387</v>
      </c>
      <c r="S94"/>
      <c r="T94">
        <v>32.875</v>
      </c>
      <c r="U94">
        <v>22.568000000000001</v>
      </c>
      <c r="V94">
        <v>42.091999999999999</v>
      </c>
      <c r="W94">
        <v>173.40799999999999</v>
      </c>
      <c r="X94"/>
      <c r="Y94"/>
      <c r="Z94">
        <v>4.4710000000000001</v>
      </c>
      <c r="AA94">
        <v>10.523999999999999</v>
      </c>
      <c r="AB94">
        <v>7.8849999999999998</v>
      </c>
      <c r="AC94">
        <v>54.991</v>
      </c>
      <c r="AD94" s="31">
        <f t="shared" si="3"/>
        <v>360.20099999999996</v>
      </c>
    </row>
    <row r="95" spans="1:30" ht="15" customHeight="1">
      <c r="A95" s="3">
        <v>88</v>
      </c>
      <c r="B95" s="7" t="s">
        <v>107</v>
      </c>
      <c r="C95" s="19" t="s">
        <v>143</v>
      </c>
      <c r="D95" s="31">
        <f t="shared" si="4"/>
        <v>390</v>
      </c>
      <c r="E95" s="44"/>
      <c r="F95" s="45">
        <v>25</v>
      </c>
      <c r="G95" s="45">
        <v>170</v>
      </c>
      <c r="H95" s="45">
        <v>59</v>
      </c>
      <c r="I95" s="45">
        <v>59</v>
      </c>
      <c r="J95" s="46">
        <v>77</v>
      </c>
      <c r="K95"/>
      <c r="L95"/>
      <c r="M95"/>
      <c r="N95"/>
      <c r="O95"/>
      <c r="P95" s="47"/>
      <c r="Q95" s="57" t="s">
        <v>160</v>
      </c>
      <c r="R95"/>
      <c r="S95">
        <v>5.4029999999999996</v>
      </c>
      <c r="T95">
        <v>56.991</v>
      </c>
      <c r="U95">
        <v>45.938000000000002</v>
      </c>
      <c r="V95">
        <v>97.004000000000005</v>
      </c>
      <c r="W95">
        <v>421.33699999999999</v>
      </c>
      <c r="X95"/>
      <c r="Y95"/>
      <c r="Z95"/>
      <c r="AA95"/>
      <c r="AB95"/>
      <c r="AC95"/>
      <c r="AD95" s="31">
        <f t="shared" si="3"/>
        <v>626.673</v>
      </c>
    </row>
    <row r="96" spans="1:30" ht="15" customHeight="1">
      <c r="A96" s="3">
        <v>89</v>
      </c>
      <c r="B96" s="7" t="s">
        <v>108</v>
      </c>
      <c r="C96" s="19" t="s">
        <v>143</v>
      </c>
      <c r="D96" s="31">
        <f t="shared" si="4"/>
        <v>1000</v>
      </c>
      <c r="E96" s="44"/>
      <c r="F96" s="45">
        <v>366</v>
      </c>
      <c r="G96" s="44"/>
      <c r="H96" s="45">
        <v>285</v>
      </c>
      <c r="I96" s="45">
        <v>95</v>
      </c>
      <c r="J96" s="46">
        <v>151</v>
      </c>
      <c r="K96"/>
      <c r="L96"/>
      <c r="M96">
        <v>41</v>
      </c>
      <c r="N96">
        <v>27</v>
      </c>
      <c r="O96">
        <v>15</v>
      </c>
      <c r="P96" s="47">
        <v>20</v>
      </c>
      <c r="Q96" s="57" t="s">
        <v>160</v>
      </c>
      <c r="R96"/>
      <c r="S96">
        <v>46.235999999999997</v>
      </c>
      <c r="T96"/>
      <c r="U96">
        <v>85.632999999999996</v>
      </c>
      <c r="V96">
        <v>92.254999999999995</v>
      </c>
      <c r="W96">
        <v>592.43100000000004</v>
      </c>
      <c r="X96"/>
      <c r="Y96"/>
      <c r="Z96">
        <v>5.8179999999999996</v>
      </c>
      <c r="AA96">
        <v>6.5510000000000002</v>
      </c>
      <c r="AB96">
        <v>4.585</v>
      </c>
      <c r="AC96">
        <v>37.817</v>
      </c>
      <c r="AD96" s="31">
        <f t="shared" si="3"/>
        <v>871.32600000000014</v>
      </c>
    </row>
    <row r="97" spans="1:30" ht="15" customHeight="1">
      <c r="A97" s="3">
        <v>90</v>
      </c>
      <c r="B97" s="7" t="s">
        <v>109</v>
      </c>
      <c r="C97" s="19" t="s">
        <v>144</v>
      </c>
      <c r="D97" s="31">
        <f t="shared" si="4"/>
        <v>1304</v>
      </c>
      <c r="E97" s="44"/>
      <c r="F97" s="45">
        <v>567</v>
      </c>
      <c r="G97" s="45">
        <v>158</v>
      </c>
      <c r="H97" s="45">
        <v>167</v>
      </c>
      <c r="I97" s="45">
        <v>81</v>
      </c>
      <c r="J97" s="46">
        <v>97</v>
      </c>
      <c r="K97"/>
      <c r="L97"/>
      <c r="M97">
        <v>117</v>
      </c>
      <c r="N97">
        <v>64</v>
      </c>
      <c r="O97">
        <v>15</v>
      </c>
      <c r="P97" s="47">
        <v>38</v>
      </c>
      <c r="Q97" s="57" t="s">
        <v>160</v>
      </c>
      <c r="R97"/>
      <c r="S97">
        <v>46.402999999999999</v>
      </c>
      <c r="T97">
        <v>26.202999999999999</v>
      </c>
      <c r="U97">
        <v>71.531999999999996</v>
      </c>
      <c r="V97">
        <v>95.009</v>
      </c>
      <c r="W97">
        <v>429.49700000000001</v>
      </c>
      <c r="X97"/>
      <c r="Y97"/>
      <c r="Z97">
        <v>6.7729999999999997</v>
      </c>
      <c r="AA97">
        <v>6.9340000000000002</v>
      </c>
      <c r="AB97">
        <v>3.8820000000000001</v>
      </c>
      <c r="AC97">
        <v>63.917999999999999</v>
      </c>
      <c r="AD97" s="31">
        <f t="shared" si="3"/>
        <v>750.15099999999995</v>
      </c>
    </row>
    <row r="98" spans="1:30" ht="15" customHeight="1">
      <c r="A98" s="3">
        <v>91</v>
      </c>
      <c r="B98" s="7" t="s">
        <v>110</v>
      </c>
      <c r="C98" s="19" t="s">
        <v>143</v>
      </c>
      <c r="D98" s="31">
        <f t="shared" si="4"/>
        <v>157</v>
      </c>
      <c r="E98" s="44"/>
      <c r="F98" s="45">
        <v>56</v>
      </c>
      <c r="G98" s="44"/>
      <c r="H98" s="45">
        <v>54</v>
      </c>
      <c r="I98" s="45">
        <v>18</v>
      </c>
      <c r="J98" s="46">
        <v>29</v>
      </c>
      <c r="K98"/>
      <c r="L98"/>
      <c r="M98"/>
      <c r="N98"/>
      <c r="O98"/>
      <c r="P98" s="47"/>
      <c r="Q98" s="57" t="s">
        <v>160</v>
      </c>
      <c r="R98"/>
      <c r="S98">
        <v>12.132</v>
      </c>
      <c r="T98"/>
      <c r="U98">
        <v>33.045000000000002</v>
      </c>
      <c r="V98">
        <v>51.201000000000001</v>
      </c>
      <c r="W98">
        <v>222.43</v>
      </c>
      <c r="X98"/>
      <c r="Y98"/>
      <c r="Z98"/>
      <c r="AA98"/>
      <c r="AB98"/>
      <c r="AC98"/>
      <c r="AD98" s="31">
        <f t="shared" si="3"/>
        <v>318.80799999999999</v>
      </c>
    </row>
    <row r="99" spans="1:30" ht="15" customHeight="1">
      <c r="A99" s="3">
        <v>92</v>
      </c>
      <c r="B99" s="7" t="s">
        <v>111</v>
      </c>
      <c r="C99" s="19" t="s">
        <v>143</v>
      </c>
      <c r="D99" s="31">
        <f t="shared" si="4"/>
        <v>950</v>
      </c>
      <c r="E99" s="44"/>
      <c r="F99" s="45">
        <v>419</v>
      </c>
      <c r="G99" s="44"/>
      <c r="H99" s="45">
        <v>348</v>
      </c>
      <c r="I99" s="45">
        <v>53</v>
      </c>
      <c r="J99" s="46">
        <v>130</v>
      </c>
      <c r="K99"/>
      <c r="L99"/>
      <c r="M99"/>
      <c r="N99"/>
      <c r="O99"/>
      <c r="P99" s="47"/>
      <c r="Q99" s="57" t="s">
        <v>160</v>
      </c>
      <c r="R99"/>
      <c r="S99">
        <v>46.279000000000003</v>
      </c>
      <c r="T99"/>
      <c r="U99">
        <v>119.78400000000001</v>
      </c>
      <c r="V99">
        <v>86.305000000000007</v>
      </c>
      <c r="W99">
        <v>700.36400000000003</v>
      </c>
      <c r="X99"/>
      <c r="Y99"/>
      <c r="Z99"/>
      <c r="AA99"/>
      <c r="AB99"/>
      <c r="AC99"/>
      <c r="AD99" s="31">
        <f t="shared" si="3"/>
        <v>952.73200000000008</v>
      </c>
    </row>
    <row r="100" spans="1:30" ht="15" customHeight="1">
      <c r="A100" s="3">
        <v>93</v>
      </c>
      <c r="B100" s="7" t="s">
        <v>112</v>
      </c>
      <c r="C100" s="19" t="s">
        <v>145</v>
      </c>
      <c r="D100" s="31">
        <f t="shared" si="4"/>
        <v>1419</v>
      </c>
      <c r="E100" s="45">
        <v>106</v>
      </c>
      <c r="F100" s="45">
        <v>33</v>
      </c>
      <c r="G100" s="45">
        <v>86</v>
      </c>
      <c r="H100" s="45">
        <v>58</v>
      </c>
      <c r="I100" s="45">
        <v>36</v>
      </c>
      <c r="J100" s="46">
        <v>57</v>
      </c>
      <c r="K100">
        <v>594</v>
      </c>
      <c r="L100"/>
      <c r="M100">
        <v>98</v>
      </c>
      <c r="N100">
        <v>179</v>
      </c>
      <c r="O100">
        <v>77</v>
      </c>
      <c r="P100" s="47">
        <v>95</v>
      </c>
      <c r="Q100" s="57" t="s">
        <v>160</v>
      </c>
      <c r="R100">
        <v>2.8580000000000001</v>
      </c>
      <c r="S100">
        <v>3.3380000000000001</v>
      </c>
      <c r="T100">
        <v>27.187999999999999</v>
      </c>
      <c r="U100">
        <v>21.992000000000001</v>
      </c>
      <c r="V100">
        <v>26.800999999999998</v>
      </c>
      <c r="W100">
        <v>188.95500000000001</v>
      </c>
      <c r="X100">
        <v>10.554</v>
      </c>
      <c r="Y100"/>
      <c r="Z100">
        <v>7.85</v>
      </c>
      <c r="AA100">
        <v>20.542000000000002</v>
      </c>
      <c r="AB100">
        <v>26.236000000000001</v>
      </c>
      <c r="AC100">
        <v>193.41499999999999</v>
      </c>
      <c r="AD100" s="31">
        <f t="shared" si="3"/>
        <v>529.72899999999993</v>
      </c>
    </row>
    <row r="101" spans="1:30" ht="15" customHeight="1">
      <c r="A101" s="3">
        <v>94</v>
      </c>
      <c r="B101" s="7" t="s">
        <v>113</v>
      </c>
      <c r="C101" s="19" t="s">
        <v>143</v>
      </c>
      <c r="D101" s="31">
        <f t="shared" si="4"/>
        <v>239</v>
      </c>
      <c r="E101" s="44"/>
      <c r="F101" s="45">
        <v>94</v>
      </c>
      <c r="G101" s="45">
        <v>40</v>
      </c>
      <c r="H101" s="45">
        <v>41</v>
      </c>
      <c r="I101" s="45">
        <v>30</v>
      </c>
      <c r="J101" s="46">
        <v>34</v>
      </c>
      <c r="K101"/>
      <c r="L101"/>
      <c r="M101"/>
      <c r="N101"/>
      <c r="O101"/>
      <c r="P101" s="47"/>
      <c r="Q101" s="57" t="s">
        <v>160</v>
      </c>
      <c r="R101"/>
      <c r="S101">
        <v>27.111000000000001</v>
      </c>
      <c r="T101">
        <v>31.792000000000002</v>
      </c>
      <c r="U101">
        <v>59.658000000000001</v>
      </c>
      <c r="V101">
        <v>91.084000000000003</v>
      </c>
      <c r="W101">
        <v>266.85199999999998</v>
      </c>
      <c r="X101"/>
      <c r="Y101"/>
      <c r="Z101"/>
      <c r="AA101"/>
      <c r="AB101"/>
      <c r="AC101"/>
      <c r="AD101" s="31">
        <f t="shared" si="3"/>
        <v>476.49699999999996</v>
      </c>
    </row>
    <row r="102" spans="1:30" ht="15" customHeight="1">
      <c r="A102" s="3">
        <v>95</v>
      </c>
      <c r="B102" s="7" t="s">
        <v>114</v>
      </c>
      <c r="C102" s="19" t="s">
        <v>143</v>
      </c>
      <c r="D102" s="31">
        <f t="shared" si="4"/>
        <v>105</v>
      </c>
      <c r="E102" s="44"/>
      <c r="F102" s="44"/>
      <c r="G102" s="45">
        <v>18</v>
      </c>
      <c r="H102" s="45">
        <v>48</v>
      </c>
      <c r="I102" s="45">
        <v>12</v>
      </c>
      <c r="J102" s="46">
        <v>27</v>
      </c>
      <c r="K102"/>
      <c r="L102"/>
      <c r="M102"/>
      <c r="N102"/>
      <c r="O102"/>
      <c r="P102" s="47"/>
      <c r="Q102" s="57" t="s">
        <v>160</v>
      </c>
      <c r="R102"/>
      <c r="S102"/>
      <c r="T102">
        <v>14.228</v>
      </c>
      <c r="U102">
        <v>41.198</v>
      </c>
      <c r="V102">
        <v>44.375999999999998</v>
      </c>
      <c r="W102">
        <v>245.17400000000001</v>
      </c>
      <c r="X102"/>
      <c r="Y102"/>
      <c r="Z102"/>
      <c r="AA102"/>
      <c r="AB102"/>
      <c r="AC102"/>
      <c r="AD102" s="31">
        <f t="shared" si="3"/>
        <v>344.976</v>
      </c>
    </row>
    <row r="103" spans="1:30" ht="15" customHeight="1">
      <c r="A103" s="3">
        <v>96</v>
      </c>
      <c r="B103" s="7" t="s">
        <v>115</v>
      </c>
      <c r="C103" s="19" t="s">
        <v>143</v>
      </c>
      <c r="D103" s="31">
        <f t="shared" si="4"/>
        <v>312</v>
      </c>
      <c r="E103" s="44"/>
      <c r="F103" s="45">
        <v>148</v>
      </c>
      <c r="G103" s="45">
        <v>8</v>
      </c>
      <c r="H103" s="45">
        <v>40</v>
      </c>
      <c r="I103" s="45">
        <v>54</v>
      </c>
      <c r="J103" s="46">
        <v>62</v>
      </c>
      <c r="K103"/>
      <c r="L103"/>
      <c r="M103"/>
      <c r="N103"/>
      <c r="O103"/>
      <c r="P103" s="47"/>
      <c r="Q103" s="57" t="s">
        <v>160</v>
      </c>
      <c r="R103"/>
      <c r="S103">
        <v>23.678999999999998</v>
      </c>
      <c r="T103">
        <v>10.365</v>
      </c>
      <c r="U103">
        <v>32.584000000000003</v>
      </c>
      <c r="V103">
        <v>80.045000000000002</v>
      </c>
      <c r="W103">
        <v>314.154</v>
      </c>
      <c r="X103"/>
      <c r="Y103"/>
      <c r="Z103"/>
      <c r="AA103"/>
      <c r="AB103"/>
      <c r="AC103"/>
      <c r="AD103" s="31">
        <f t="shared" si="3"/>
        <v>460.827</v>
      </c>
    </row>
    <row r="104" spans="1:30" ht="15" customHeight="1">
      <c r="A104" s="3">
        <v>97</v>
      </c>
      <c r="B104" s="7" t="s">
        <v>116</v>
      </c>
      <c r="C104" s="19" t="s">
        <v>144</v>
      </c>
      <c r="D104" s="31">
        <f t="shared" si="4"/>
        <v>989</v>
      </c>
      <c r="E104" s="44"/>
      <c r="F104" s="45">
        <v>474</v>
      </c>
      <c r="G104" s="44"/>
      <c r="H104" s="45">
        <v>274</v>
      </c>
      <c r="I104" s="45">
        <v>94</v>
      </c>
      <c r="J104" s="46">
        <v>147</v>
      </c>
      <c r="K104"/>
      <c r="L104"/>
      <c r="M104"/>
      <c r="N104"/>
      <c r="O104"/>
      <c r="P104" s="47"/>
      <c r="Q104" s="57" t="s">
        <v>160</v>
      </c>
      <c r="R104"/>
      <c r="S104">
        <v>41.192999999999998</v>
      </c>
      <c r="T104"/>
      <c r="U104">
        <v>97.436999999999998</v>
      </c>
      <c r="V104">
        <v>82.453999999999994</v>
      </c>
      <c r="W104">
        <v>540.46400000000006</v>
      </c>
      <c r="X104"/>
      <c r="Y104"/>
      <c r="Z104"/>
      <c r="AA104"/>
      <c r="AB104"/>
      <c r="AC104"/>
      <c r="AD104" s="31">
        <f t="shared" ref="AD104:AD127" si="5">SUM(R104:AC104)</f>
        <v>761.548</v>
      </c>
    </row>
    <row r="105" spans="1:30" ht="15" customHeight="1">
      <c r="A105" s="3">
        <v>98</v>
      </c>
      <c r="B105" s="7" t="s">
        <v>117</v>
      </c>
      <c r="C105" s="19" t="s">
        <v>144</v>
      </c>
      <c r="D105" s="31">
        <f t="shared" si="4"/>
        <v>2072</v>
      </c>
      <c r="E105" s="44"/>
      <c r="F105" s="45">
        <v>756</v>
      </c>
      <c r="G105" s="45">
        <v>81</v>
      </c>
      <c r="H105" s="45">
        <v>377</v>
      </c>
      <c r="I105" s="45">
        <v>186</v>
      </c>
      <c r="J105" s="46">
        <v>228</v>
      </c>
      <c r="K105"/>
      <c r="L105"/>
      <c r="M105">
        <v>315</v>
      </c>
      <c r="N105">
        <v>90</v>
      </c>
      <c r="O105">
        <v>13</v>
      </c>
      <c r="P105" s="47">
        <v>26</v>
      </c>
      <c r="Q105" s="57" t="s">
        <v>160</v>
      </c>
      <c r="R105"/>
      <c r="S105">
        <v>72.977000000000004</v>
      </c>
      <c r="T105">
        <v>22.814</v>
      </c>
      <c r="U105">
        <v>150.65100000000001</v>
      </c>
      <c r="V105">
        <v>155.018</v>
      </c>
      <c r="W105">
        <v>812.28499999999997</v>
      </c>
      <c r="X105"/>
      <c r="Y105"/>
      <c r="Z105">
        <v>10.917</v>
      </c>
      <c r="AA105">
        <v>11.917999999999999</v>
      </c>
      <c r="AB105">
        <v>5.2229999999999999</v>
      </c>
      <c r="AC105">
        <v>59.066000000000003</v>
      </c>
      <c r="AD105" s="31">
        <f t="shared" si="5"/>
        <v>1300.8689999999997</v>
      </c>
    </row>
    <row r="106" spans="1:30" ht="15" customHeight="1">
      <c r="A106" s="3">
        <v>99</v>
      </c>
      <c r="B106" s="7" t="s">
        <v>118</v>
      </c>
      <c r="C106" s="19" t="s">
        <v>143</v>
      </c>
      <c r="D106" s="31">
        <f t="shared" si="4"/>
        <v>452</v>
      </c>
      <c r="E106" s="44"/>
      <c r="F106" s="45">
        <v>238</v>
      </c>
      <c r="G106" s="45">
        <v>67</v>
      </c>
      <c r="H106" s="45">
        <v>91</v>
      </c>
      <c r="I106" s="45">
        <v>24</v>
      </c>
      <c r="J106" s="46">
        <v>32</v>
      </c>
      <c r="K106"/>
      <c r="L106"/>
      <c r="M106"/>
      <c r="N106"/>
      <c r="O106"/>
      <c r="P106" s="47"/>
      <c r="Q106" s="57" t="s">
        <v>160</v>
      </c>
      <c r="R106"/>
      <c r="S106">
        <v>24.087</v>
      </c>
      <c r="T106">
        <v>13.894</v>
      </c>
      <c r="U106">
        <v>48.024999999999999</v>
      </c>
      <c r="V106">
        <v>49.978000000000002</v>
      </c>
      <c r="W106">
        <v>199.762</v>
      </c>
      <c r="X106"/>
      <c r="Y106"/>
      <c r="Z106"/>
      <c r="AA106"/>
      <c r="AB106"/>
      <c r="AC106"/>
      <c r="AD106" s="31">
        <f t="shared" si="5"/>
        <v>335.74599999999998</v>
      </c>
    </row>
    <row r="107" spans="1:30" ht="15" customHeight="1">
      <c r="A107" s="3">
        <v>100</v>
      </c>
      <c r="B107" s="7" t="s">
        <v>119</v>
      </c>
      <c r="C107" s="19" t="s">
        <v>144</v>
      </c>
      <c r="D107" s="31">
        <f t="shared" si="4"/>
        <v>1888</v>
      </c>
      <c r="E107" s="44"/>
      <c r="F107" s="45">
        <v>726</v>
      </c>
      <c r="G107" s="45">
        <v>65</v>
      </c>
      <c r="H107" s="45">
        <v>192</v>
      </c>
      <c r="I107" s="45">
        <v>152</v>
      </c>
      <c r="J107" s="46">
        <v>300</v>
      </c>
      <c r="K107"/>
      <c r="L107"/>
      <c r="M107">
        <v>236</v>
      </c>
      <c r="N107">
        <v>88</v>
      </c>
      <c r="O107">
        <v>56</v>
      </c>
      <c r="P107" s="47">
        <v>73</v>
      </c>
      <c r="Q107" s="57" t="s">
        <v>160</v>
      </c>
      <c r="R107"/>
      <c r="S107">
        <v>85.022999999999996</v>
      </c>
      <c r="T107">
        <v>6.0670000000000002</v>
      </c>
      <c r="U107">
        <v>77.036000000000001</v>
      </c>
      <c r="V107">
        <v>159.381</v>
      </c>
      <c r="W107">
        <v>1233.479</v>
      </c>
      <c r="X107"/>
      <c r="Y107"/>
      <c r="Z107">
        <v>11.336</v>
      </c>
      <c r="AA107">
        <v>11.523</v>
      </c>
      <c r="AB107">
        <v>12.487</v>
      </c>
      <c r="AC107">
        <v>115.175</v>
      </c>
      <c r="AD107" s="31">
        <f t="shared" si="5"/>
        <v>1711.5070000000001</v>
      </c>
    </row>
    <row r="108" spans="1:30" ht="15" customHeight="1">
      <c r="A108" s="3">
        <v>101</v>
      </c>
      <c r="B108" s="7" t="s">
        <v>120</v>
      </c>
      <c r="C108" s="19" t="s">
        <v>143</v>
      </c>
      <c r="D108" s="31">
        <f t="shared" si="4"/>
        <v>43</v>
      </c>
      <c r="E108" s="44"/>
      <c r="F108" s="45">
        <v>5</v>
      </c>
      <c r="G108" s="44"/>
      <c r="H108" s="45">
        <v>22</v>
      </c>
      <c r="I108" s="45">
        <v>6</v>
      </c>
      <c r="J108" s="46">
        <v>10</v>
      </c>
      <c r="K108"/>
      <c r="L108"/>
      <c r="M108"/>
      <c r="N108"/>
      <c r="O108"/>
      <c r="P108" s="47"/>
      <c r="Q108" s="57" t="s">
        <v>160</v>
      </c>
      <c r="R108"/>
      <c r="S108">
        <v>1.357</v>
      </c>
      <c r="T108"/>
      <c r="U108">
        <v>31.805</v>
      </c>
      <c r="V108">
        <v>25.401</v>
      </c>
      <c r="W108">
        <v>93.432000000000002</v>
      </c>
      <c r="X108"/>
      <c r="Y108"/>
      <c r="Z108"/>
      <c r="AA108"/>
      <c r="AB108"/>
      <c r="AC108"/>
      <c r="AD108" s="31">
        <f t="shared" si="5"/>
        <v>151.995</v>
      </c>
    </row>
    <row r="109" spans="1:30" ht="15" customHeight="1">
      <c r="A109" s="3">
        <v>102</v>
      </c>
      <c r="B109" s="7" t="s">
        <v>121</v>
      </c>
      <c r="C109" s="19" t="s">
        <v>143</v>
      </c>
      <c r="D109" s="31">
        <f t="shared" si="4"/>
        <v>1331</v>
      </c>
      <c r="E109" s="45">
        <v>916</v>
      </c>
      <c r="F109" s="45">
        <v>86</v>
      </c>
      <c r="G109" s="45">
        <v>104</v>
      </c>
      <c r="H109" s="45">
        <v>72</v>
      </c>
      <c r="I109" s="45">
        <v>65</v>
      </c>
      <c r="J109" s="46">
        <v>88</v>
      </c>
      <c r="K109"/>
      <c r="L109"/>
      <c r="M109"/>
      <c r="N109"/>
      <c r="O109"/>
      <c r="P109" s="47"/>
      <c r="Q109" s="57" t="s">
        <v>160</v>
      </c>
      <c r="R109">
        <v>22.640999999999998</v>
      </c>
      <c r="S109">
        <v>10.183</v>
      </c>
      <c r="T109">
        <v>13.942</v>
      </c>
      <c r="U109">
        <v>29.585000000000001</v>
      </c>
      <c r="V109">
        <v>102.572</v>
      </c>
      <c r="W109">
        <v>466.66699999999997</v>
      </c>
      <c r="X109"/>
      <c r="Y109"/>
      <c r="Z109"/>
      <c r="AA109"/>
      <c r="AB109"/>
      <c r="AC109"/>
      <c r="AD109" s="31">
        <f t="shared" si="5"/>
        <v>645.58999999999992</v>
      </c>
    </row>
    <row r="110" spans="1:30" ht="15" customHeight="1">
      <c r="A110" s="3">
        <v>103</v>
      </c>
      <c r="B110" s="7" t="s">
        <v>122</v>
      </c>
      <c r="C110" s="19" t="s">
        <v>144</v>
      </c>
      <c r="D110" s="31">
        <f t="shared" si="4"/>
        <v>846</v>
      </c>
      <c r="E110" s="45">
        <v>288</v>
      </c>
      <c r="F110" s="44">
        <v>21</v>
      </c>
      <c r="G110" s="45">
        <v>74</v>
      </c>
      <c r="H110" s="45">
        <v>196</v>
      </c>
      <c r="I110" s="45">
        <v>33</v>
      </c>
      <c r="J110" s="46">
        <v>90</v>
      </c>
      <c r="K110"/>
      <c r="L110"/>
      <c r="M110">
        <v>84</v>
      </c>
      <c r="N110">
        <v>44</v>
      </c>
      <c r="O110">
        <v>4</v>
      </c>
      <c r="P110" s="47">
        <v>12</v>
      </c>
      <c r="Q110" s="57" t="s">
        <v>160</v>
      </c>
      <c r="R110">
        <v>19.71</v>
      </c>
      <c r="S110">
        <v>1.405</v>
      </c>
      <c r="T110">
        <v>13.898</v>
      </c>
      <c r="U110">
        <v>68.433000000000007</v>
      </c>
      <c r="V110">
        <v>34.475000000000001</v>
      </c>
      <c r="W110">
        <v>369.16899999999998</v>
      </c>
      <c r="X110"/>
      <c r="Y110"/>
      <c r="Z110">
        <v>3.0310000000000001</v>
      </c>
      <c r="AA110">
        <v>2.6890000000000001</v>
      </c>
      <c r="AB110">
        <v>2.625</v>
      </c>
      <c r="AC110">
        <v>37.703000000000003</v>
      </c>
      <c r="AD110" s="31">
        <f t="shared" si="5"/>
        <v>553.13800000000003</v>
      </c>
    </row>
    <row r="111" spans="1:30" ht="15" customHeight="1">
      <c r="A111" s="3">
        <v>104</v>
      </c>
      <c r="B111" s="7" t="s">
        <v>123</v>
      </c>
      <c r="C111" s="19" t="s">
        <v>143</v>
      </c>
      <c r="D111" s="31">
        <f t="shared" si="4"/>
        <v>535</v>
      </c>
      <c r="E111" s="44"/>
      <c r="F111" s="45">
        <v>218</v>
      </c>
      <c r="G111" s="44"/>
      <c r="H111" s="45">
        <v>88</v>
      </c>
      <c r="I111" s="45">
        <v>99</v>
      </c>
      <c r="J111" s="46">
        <v>130</v>
      </c>
      <c r="K111"/>
      <c r="L111"/>
      <c r="M111"/>
      <c r="N111"/>
      <c r="O111"/>
      <c r="P111" s="47"/>
      <c r="Q111" s="57" t="s">
        <v>160</v>
      </c>
      <c r="R111"/>
      <c r="S111">
        <v>40.509</v>
      </c>
      <c r="T111"/>
      <c r="U111">
        <v>31.986000000000001</v>
      </c>
      <c r="V111">
        <v>91.78</v>
      </c>
      <c r="W111">
        <v>494.05</v>
      </c>
      <c r="X111"/>
      <c r="Y111"/>
      <c r="Z111"/>
      <c r="AA111"/>
      <c r="AB111"/>
      <c r="AC111"/>
      <c r="AD111" s="31">
        <f t="shared" si="5"/>
        <v>658.32500000000005</v>
      </c>
    </row>
    <row r="112" spans="1:30" ht="15" customHeight="1">
      <c r="A112" s="3">
        <v>105</v>
      </c>
      <c r="B112" s="7" t="s">
        <v>124</v>
      </c>
      <c r="C112" s="19" t="s">
        <v>144</v>
      </c>
      <c r="D112" s="31">
        <f t="shared" si="4"/>
        <v>1885</v>
      </c>
      <c r="E112" s="45">
        <v>871</v>
      </c>
      <c r="F112" s="45">
        <v>56</v>
      </c>
      <c r="G112" s="45">
        <v>83</v>
      </c>
      <c r="H112" s="45">
        <v>109</v>
      </c>
      <c r="I112" s="45">
        <v>66</v>
      </c>
      <c r="J112" s="46">
        <v>61</v>
      </c>
      <c r="K112">
        <v>182</v>
      </c>
      <c r="L112"/>
      <c r="M112">
        <v>214</v>
      </c>
      <c r="N112">
        <v>104</v>
      </c>
      <c r="O112">
        <v>57</v>
      </c>
      <c r="P112" s="47">
        <v>82</v>
      </c>
      <c r="Q112" s="57" t="s">
        <v>160</v>
      </c>
      <c r="R112">
        <v>22.01</v>
      </c>
      <c r="S112">
        <v>5.5609999999999999</v>
      </c>
      <c r="T112">
        <v>14.773</v>
      </c>
      <c r="U112">
        <v>45.127000000000002</v>
      </c>
      <c r="V112">
        <v>68.088999999999999</v>
      </c>
      <c r="W112">
        <v>246.917</v>
      </c>
      <c r="X112">
        <v>4.3310000000000004</v>
      </c>
      <c r="Y112"/>
      <c r="Z112">
        <v>14.507999999999999</v>
      </c>
      <c r="AA112">
        <v>7.88</v>
      </c>
      <c r="AB112">
        <v>9.3119999999999994</v>
      </c>
      <c r="AC112">
        <v>105.714</v>
      </c>
      <c r="AD112" s="31">
        <f t="shared" si="5"/>
        <v>544.22199999999998</v>
      </c>
    </row>
    <row r="113" spans="1:30" ht="15" customHeight="1">
      <c r="A113" s="3">
        <v>106</v>
      </c>
      <c r="B113" s="7" t="s">
        <v>125</v>
      </c>
      <c r="C113" s="19" t="s">
        <v>144</v>
      </c>
      <c r="D113" s="31">
        <f t="shared" si="4"/>
        <v>1842</v>
      </c>
      <c r="E113" s="45">
        <v>1019</v>
      </c>
      <c r="F113" s="45">
        <v>14</v>
      </c>
      <c r="G113" s="45">
        <v>311</v>
      </c>
      <c r="H113" s="45">
        <v>76</v>
      </c>
      <c r="I113" s="45">
        <v>95</v>
      </c>
      <c r="J113" s="46">
        <v>64</v>
      </c>
      <c r="K113"/>
      <c r="L113"/>
      <c r="M113">
        <v>177</v>
      </c>
      <c r="N113">
        <v>27</v>
      </c>
      <c r="O113">
        <v>25</v>
      </c>
      <c r="P113" s="47">
        <v>34</v>
      </c>
      <c r="Q113" s="57" t="s">
        <v>160</v>
      </c>
      <c r="R113">
        <v>22.329000000000001</v>
      </c>
      <c r="S113">
        <v>3.0790000000000002</v>
      </c>
      <c r="T113">
        <v>48.158999999999999</v>
      </c>
      <c r="U113">
        <v>39.618000000000002</v>
      </c>
      <c r="V113">
        <v>119.706</v>
      </c>
      <c r="W113">
        <v>295.73099999999999</v>
      </c>
      <c r="X113"/>
      <c r="Y113"/>
      <c r="Z113">
        <v>13.206</v>
      </c>
      <c r="AA113">
        <v>2.992</v>
      </c>
      <c r="AB113">
        <v>9.2430000000000003</v>
      </c>
      <c r="AC113">
        <v>73.126999999999995</v>
      </c>
      <c r="AD113" s="31">
        <f t="shared" si="5"/>
        <v>627.19000000000005</v>
      </c>
    </row>
    <row r="114" spans="1:30" ht="15" customHeight="1">
      <c r="A114" s="3">
        <v>107</v>
      </c>
      <c r="B114" s="7" t="s">
        <v>126</v>
      </c>
      <c r="C114" s="19" t="s">
        <v>144</v>
      </c>
      <c r="D114" s="31">
        <f t="shared" si="4"/>
        <v>999</v>
      </c>
      <c r="E114" s="45">
        <v>578</v>
      </c>
      <c r="F114" s="44"/>
      <c r="G114" s="45">
        <v>66</v>
      </c>
      <c r="H114" s="45">
        <v>98</v>
      </c>
      <c r="I114" s="45">
        <v>53</v>
      </c>
      <c r="J114" s="46">
        <v>54</v>
      </c>
      <c r="K114"/>
      <c r="L114"/>
      <c r="M114"/>
      <c r="N114">
        <v>119</v>
      </c>
      <c r="O114">
        <v>11</v>
      </c>
      <c r="P114" s="47">
        <v>20</v>
      </c>
      <c r="Q114" s="57" t="s">
        <v>160</v>
      </c>
      <c r="R114">
        <v>13.711</v>
      </c>
      <c r="S114"/>
      <c r="T114">
        <v>13.153</v>
      </c>
      <c r="U114">
        <v>30.350999999999999</v>
      </c>
      <c r="V114">
        <v>82.171000000000006</v>
      </c>
      <c r="W114">
        <v>284.51499999999999</v>
      </c>
      <c r="X114"/>
      <c r="Y114"/>
      <c r="Z114"/>
      <c r="AA114">
        <v>18.780999999999999</v>
      </c>
      <c r="AB114">
        <v>7.6619999999999999</v>
      </c>
      <c r="AC114">
        <v>62.603000000000002</v>
      </c>
      <c r="AD114" s="31">
        <f t="shared" si="5"/>
        <v>512.947</v>
      </c>
    </row>
    <row r="115" spans="1:30" ht="15" customHeight="1">
      <c r="A115" s="3">
        <v>108</v>
      </c>
      <c r="B115" s="7" t="s">
        <v>127</v>
      </c>
      <c r="C115" s="19" t="s">
        <v>143</v>
      </c>
      <c r="D115" s="31">
        <f t="shared" si="4"/>
        <v>350</v>
      </c>
      <c r="E115" s="44"/>
      <c r="F115" s="44"/>
      <c r="G115" s="45">
        <v>175</v>
      </c>
      <c r="H115" s="45">
        <v>62</v>
      </c>
      <c r="I115" s="45">
        <v>53</v>
      </c>
      <c r="J115" s="46">
        <v>60</v>
      </c>
      <c r="K115"/>
      <c r="L115"/>
      <c r="M115"/>
      <c r="N115"/>
      <c r="O115"/>
      <c r="P115" s="47"/>
      <c r="Q115" s="57" t="s">
        <v>160</v>
      </c>
      <c r="R115"/>
      <c r="S115"/>
      <c r="T115">
        <v>23.736000000000001</v>
      </c>
      <c r="U115">
        <v>24.175999999999998</v>
      </c>
      <c r="V115">
        <v>54.003999999999998</v>
      </c>
      <c r="W115">
        <v>241.846</v>
      </c>
      <c r="X115"/>
      <c r="Y115"/>
      <c r="Z115"/>
      <c r="AA115"/>
      <c r="AB115"/>
      <c r="AC115"/>
      <c r="AD115" s="31">
        <f t="shared" si="5"/>
        <v>343.762</v>
      </c>
    </row>
    <row r="116" spans="1:30" ht="15" customHeight="1">
      <c r="A116" s="3">
        <v>109</v>
      </c>
      <c r="B116" s="7" t="s">
        <v>128</v>
      </c>
      <c r="C116" s="19" t="s">
        <v>144</v>
      </c>
      <c r="D116" s="31">
        <f t="shared" si="4"/>
        <v>618</v>
      </c>
      <c r="E116" s="44"/>
      <c r="F116" s="45">
        <v>182</v>
      </c>
      <c r="G116" s="45">
        <v>29</v>
      </c>
      <c r="H116" s="45">
        <v>55</v>
      </c>
      <c r="I116" s="45">
        <v>48</v>
      </c>
      <c r="J116" s="46">
        <v>69</v>
      </c>
      <c r="K116"/>
      <c r="L116"/>
      <c r="M116">
        <v>80</v>
      </c>
      <c r="N116">
        <v>27</v>
      </c>
      <c r="O116">
        <v>80</v>
      </c>
      <c r="P116" s="47">
        <v>48</v>
      </c>
      <c r="Q116" s="57" t="s">
        <v>160</v>
      </c>
      <c r="R116"/>
      <c r="S116">
        <v>29.318000000000001</v>
      </c>
      <c r="T116">
        <v>3.7890000000000001</v>
      </c>
      <c r="U116">
        <v>27.69</v>
      </c>
      <c r="V116">
        <v>75.266999999999996</v>
      </c>
      <c r="W116">
        <v>367.16199999999998</v>
      </c>
      <c r="X116"/>
      <c r="Y116"/>
      <c r="Z116">
        <v>6.2619999999999996</v>
      </c>
      <c r="AA116">
        <v>3.492</v>
      </c>
      <c r="AB116">
        <v>16.158999999999999</v>
      </c>
      <c r="AC116">
        <v>70.504000000000005</v>
      </c>
      <c r="AD116" s="31">
        <f t="shared" si="5"/>
        <v>599.64300000000003</v>
      </c>
    </row>
    <row r="117" spans="1:30" ht="15" customHeight="1">
      <c r="A117" s="3">
        <v>110</v>
      </c>
      <c r="B117" s="7" t="s">
        <v>129</v>
      </c>
      <c r="C117" s="19" t="s">
        <v>143</v>
      </c>
      <c r="D117" s="31">
        <f t="shared" si="4"/>
        <v>359</v>
      </c>
      <c r="E117" s="44"/>
      <c r="F117" s="45">
        <v>104</v>
      </c>
      <c r="G117" s="45">
        <v>67</v>
      </c>
      <c r="H117" s="45">
        <v>79</v>
      </c>
      <c r="I117" s="45">
        <v>45</v>
      </c>
      <c r="J117" s="46">
        <v>64</v>
      </c>
      <c r="K117"/>
      <c r="L117"/>
      <c r="M117"/>
      <c r="N117"/>
      <c r="O117"/>
      <c r="P117" s="47"/>
      <c r="Q117" s="57" t="s">
        <v>160</v>
      </c>
      <c r="R117"/>
      <c r="S117">
        <v>25.027999999999999</v>
      </c>
      <c r="T117">
        <v>25.5</v>
      </c>
      <c r="U117">
        <v>49.122999999999998</v>
      </c>
      <c r="V117">
        <v>87.933000000000007</v>
      </c>
      <c r="W117">
        <v>388.07299999999998</v>
      </c>
      <c r="X117"/>
      <c r="Y117"/>
      <c r="Z117"/>
      <c r="AA117"/>
      <c r="AB117"/>
      <c r="AC117"/>
      <c r="AD117" s="31">
        <f t="shared" si="5"/>
        <v>575.65699999999993</v>
      </c>
    </row>
    <row r="118" spans="1:30" ht="15" customHeight="1">
      <c r="A118" s="3">
        <v>111</v>
      </c>
      <c r="B118" s="7" t="s">
        <v>130</v>
      </c>
      <c r="C118" s="19" t="s">
        <v>143</v>
      </c>
      <c r="D118" s="31">
        <f t="shared" si="4"/>
        <v>656</v>
      </c>
      <c r="E118" s="45">
        <v>227</v>
      </c>
      <c r="F118" s="45">
        <v>142</v>
      </c>
      <c r="G118" s="44"/>
      <c r="H118" s="45">
        <v>54</v>
      </c>
      <c r="I118" s="45">
        <v>94</v>
      </c>
      <c r="J118" s="46">
        <v>139</v>
      </c>
      <c r="K118"/>
      <c r="L118"/>
      <c r="M118"/>
      <c r="N118"/>
      <c r="O118"/>
      <c r="P118" s="47"/>
      <c r="Q118" s="57" t="s">
        <v>160</v>
      </c>
      <c r="R118">
        <v>12.441000000000001</v>
      </c>
      <c r="S118">
        <v>28.126999999999999</v>
      </c>
      <c r="T118"/>
      <c r="U118">
        <v>55.97</v>
      </c>
      <c r="V118">
        <v>121.096</v>
      </c>
      <c r="W118">
        <v>646.32799999999997</v>
      </c>
      <c r="X118"/>
      <c r="Y118"/>
      <c r="Z118"/>
      <c r="AA118"/>
      <c r="AB118"/>
      <c r="AC118"/>
      <c r="AD118" s="31">
        <f t="shared" si="5"/>
        <v>863.96199999999999</v>
      </c>
    </row>
    <row r="119" spans="1:30" ht="15" customHeight="1">
      <c r="A119" s="3">
        <v>112</v>
      </c>
      <c r="B119" s="7" t="s">
        <v>131</v>
      </c>
      <c r="C119" s="19" t="s">
        <v>143</v>
      </c>
      <c r="D119" s="31">
        <f t="shared" si="4"/>
        <v>216</v>
      </c>
      <c r="E119" s="45">
        <v>21</v>
      </c>
      <c r="F119" s="44"/>
      <c r="G119" s="45">
        <v>118</v>
      </c>
      <c r="H119" s="45">
        <v>26</v>
      </c>
      <c r="I119" s="45">
        <v>22</v>
      </c>
      <c r="J119" s="46">
        <v>29</v>
      </c>
      <c r="K119"/>
      <c r="L119"/>
      <c r="M119"/>
      <c r="N119"/>
      <c r="O119"/>
      <c r="P119" s="47"/>
      <c r="Q119" s="57" t="s">
        <v>160</v>
      </c>
      <c r="R119">
        <v>0.72199999999999998</v>
      </c>
      <c r="S119"/>
      <c r="T119">
        <v>27.446999999999999</v>
      </c>
      <c r="U119">
        <v>14.875999999999999</v>
      </c>
      <c r="V119">
        <v>42.860999999999997</v>
      </c>
      <c r="W119">
        <v>174.70599999999999</v>
      </c>
      <c r="X119"/>
      <c r="Y119"/>
      <c r="Z119"/>
      <c r="AA119"/>
      <c r="AB119"/>
      <c r="AC119"/>
      <c r="AD119" s="31">
        <f t="shared" si="5"/>
        <v>260.61199999999997</v>
      </c>
    </row>
    <row r="120" spans="1:30" ht="15" customHeight="1">
      <c r="A120" s="3">
        <v>113</v>
      </c>
      <c r="B120" s="7" t="s">
        <v>132</v>
      </c>
      <c r="C120" s="19" t="s">
        <v>143</v>
      </c>
      <c r="D120" s="31">
        <f t="shared" si="4"/>
        <v>373</v>
      </c>
      <c r="E120" s="44"/>
      <c r="F120" s="45">
        <v>118</v>
      </c>
      <c r="G120" s="45">
        <v>71</v>
      </c>
      <c r="H120" s="45">
        <v>62</v>
      </c>
      <c r="I120" s="45">
        <v>41</v>
      </c>
      <c r="J120" s="46">
        <v>81</v>
      </c>
      <c r="K120"/>
      <c r="L120"/>
      <c r="M120"/>
      <c r="N120"/>
      <c r="O120"/>
      <c r="P120" s="47"/>
      <c r="Q120" s="57" t="s">
        <v>160</v>
      </c>
      <c r="R120"/>
      <c r="S120">
        <v>26.344999999999999</v>
      </c>
      <c r="T120">
        <v>27.234000000000002</v>
      </c>
      <c r="U120">
        <v>41.069000000000003</v>
      </c>
      <c r="V120">
        <v>65.221999999999994</v>
      </c>
      <c r="W120">
        <v>431.99700000000001</v>
      </c>
      <c r="X120"/>
      <c r="Y120"/>
      <c r="Z120"/>
      <c r="AA120"/>
      <c r="AB120"/>
      <c r="AC120"/>
      <c r="AD120" s="31">
        <f t="shared" si="5"/>
        <v>591.86699999999996</v>
      </c>
    </row>
    <row r="121" spans="1:30" ht="15" customHeight="1">
      <c r="A121" s="3">
        <v>114</v>
      </c>
      <c r="B121" s="7" t="s">
        <v>133</v>
      </c>
      <c r="C121" s="19" t="s">
        <v>145</v>
      </c>
      <c r="D121" s="31">
        <f t="shared" si="4"/>
        <v>3892</v>
      </c>
      <c r="E121" s="45">
        <v>1003</v>
      </c>
      <c r="F121" s="45">
        <v>270</v>
      </c>
      <c r="G121" s="45">
        <v>47</v>
      </c>
      <c r="H121" s="45">
        <v>286</v>
      </c>
      <c r="I121" s="45">
        <v>121</v>
      </c>
      <c r="J121" s="46">
        <v>146</v>
      </c>
      <c r="K121">
        <v>380</v>
      </c>
      <c r="L121">
        <v>186</v>
      </c>
      <c r="M121">
        <v>620</v>
      </c>
      <c r="N121">
        <v>330</v>
      </c>
      <c r="O121">
        <v>225</v>
      </c>
      <c r="P121" s="47">
        <v>278</v>
      </c>
      <c r="Q121" s="57" t="s">
        <v>160</v>
      </c>
      <c r="R121">
        <v>21.646999999999998</v>
      </c>
      <c r="S121">
        <v>24.027000000000001</v>
      </c>
      <c r="T121">
        <v>7.8609999999999998</v>
      </c>
      <c r="U121">
        <v>78.421000000000006</v>
      </c>
      <c r="V121">
        <v>138.03800000000001</v>
      </c>
      <c r="W121">
        <v>636.12800000000004</v>
      </c>
      <c r="X121">
        <v>7.532</v>
      </c>
      <c r="Y121">
        <v>9.5229999999999997</v>
      </c>
      <c r="Z121">
        <v>29.084</v>
      </c>
      <c r="AA121">
        <v>21.295999999999999</v>
      </c>
      <c r="AB121">
        <v>34.850999999999999</v>
      </c>
      <c r="AC121">
        <v>346.08800000000002</v>
      </c>
      <c r="AD121" s="31">
        <f t="shared" si="5"/>
        <v>1354.4960000000001</v>
      </c>
    </row>
    <row r="122" spans="1:30" ht="15" customHeight="1">
      <c r="A122" s="3">
        <v>115</v>
      </c>
      <c r="B122" s="7" t="s">
        <v>134</v>
      </c>
      <c r="C122" s="19" t="s">
        <v>143</v>
      </c>
      <c r="D122" s="31">
        <f t="shared" si="4"/>
        <v>401</v>
      </c>
      <c r="E122" s="44"/>
      <c r="F122" s="45">
        <v>255</v>
      </c>
      <c r="G122" s="45">
        <v>8</v>
      </c>
      <c r="H122" s="45">
        <v>66</v>
      </c>
      <c r="I122" s="45">
        <v>30</v>
      </c>
      <c r="J122" s="46">
        <v>42</v>
      </c>
      <c r="K122"/>
      <c r="L122"/>
      <c r="M122"/>
      <c r="N122"/>
      <c r="O122"/>
      <c r="P122" s="47"/>
      <c r="Q122" s="57" t="s">
        <v>160</v>
      </c>
      <c r="R122"/>
      <c r="S122">
        <v>45.939</v>
      </c>
      <c r="T122">
        <v>1.9510000000000001</v>
      </c>
      <c r="U122">
        <v>48.591000000000001</v>
      </c>
      <c r="V122">
        <v>71.692999999999998</v>
      </c>
      <c r="W122">
        <v>290.95299999999997</v>
      </c>
      <c r="X122"/>
      <c r="Y122"/>
      <c r="Z122"/>
      <c r="AA122"/>
      <c r="AB122"/>
      <c r="AC122"/>
      <c r="AD122" s="31">
        <f t="shared" si="5"/>
        <v>459.12699999999995</v>
      </c>
    </row>
    <row r="123" spans="1:30" ht="15" customHeight="1">
      <c r="A123" s="3">
        <v>116</v>
      </c>
      <c r="B123" s="7" t="s">
        <v>135</v>
      </c>
      <c r="C123" s="19" t="s">
        <v>144</v>
      </c>
      <c r="D123" s="31">
        <f t="shared" si="4"/>
        <v>505</v>
      </c>
      <c r="E123" s="44"/>
      <c r="F123" s="44"/>
      <c r="G123" s="45">
        <v>163</v>
      </c>
      <c r="H123" s="45">
        <v>23</v>
      </c>
      <c r="I123" s="45">
        <v>89</v>
      </c>
      <c r="J123" s="46">
        <v>88</v>
      </c>
      <c r="K123"/>
      <c r="L123"/>
      <c r="M123">
        <v>56</v>
      </c>
      <c r="N123">
        <v>58</v>
      </c>
      <c r="O123">
        <v>7</v>
      </c>
      <c r="P123" s="47">
        <v>21</v>
      </c>
      <c r="Q123" s="57" t="s">
        <v>160</v>
      </c>
      <c r="R123"/>
      <c r="S123"/>
      <c r="T123">
        <v>20.210999999999999</v>
      </c>
      <c r="U123">
        <v>12.252000000000001</v>
      </c>
      <c r="V123">
        <v>136.99700000000001</v>
      </c>
      <c r="W123">
        <v>463.03699999999998</v>
      </c>
      <c r="X123"/>
      <c r="Y123"/>
      <c r="Z123">
        <v>5.024</v>
      </c>
      <c r="AA123">
        <v>5.8739999999999997</v>
      </c>
      <c r="AB123">
        <v>2.9209999999999998</v>
      </c>
      <c r="AC123">
        <v>47.298000000000002</v>
      </c>
      <c r="AD123" s="31">
        <f t="shared" si="5"/>
        <v>693.61400000000003</v>
      </c>
    </row>
    <row r="124" spans="1:30" ht="15" customHeight="1">
      <c r="A124" s="3">
        <v>117</v>
      </c>
      <c r="B124" s="7" t="s">
        <v>136</v>
      </c>
      <c r="C124" s="19" t="s">
        <v>143</v>
      </c>
      <c r="D124" s="31">
        <f t="shared" si="4"/>
        <v>476</v>
      </c>
      <c r="E124" s="44"/>
      <c r="F124" s="45">
        <v>137</v>
      </c>
      <c r="G124" s="45">
        <v>77</v>
      </c>
      <c r="H124" s="45">
        <v>141</v>
      </c>
      <c r="I124" s="45">
        <v>47</v>
      </c>
      <c r="J124" s="46">
        <v>74</v>
      </c>
      <c r="K124"/>
      <c r="L124"/>
      <c r="M124"/>
      <c r="N124"/>
      <c r="O124"/>
      <c r="P124" s="47"/>
      <c r="Q124" s="57" t="s">
        <v>160</v>
      </c>
      <c r="R124"/>
      <c r="S124">
        <v>10.302</v>
      </c>
      <c r="T124">
        <v>27.701000000000001</v>
      </c>
      <c r="U124">
        <v>67.111999999999995</v>
      </c>
      <c r="V124">
        <v>84.67</v>
      </c>
      <c r="W124">
        <v>426.49900000000002</v>
      </c>
      <c r="X124"/>
      <c r="Y124"/>
      <c r="Z124"/>
      <c r="AA124"/>
      <c r="AB124"/>
      <c r="AC124"/>
      <c r="AD124" s="31">
        <f t="shared" si="5"/>
        <v>616.28399999999999</v>
      </c>
    </row>
    <row r="125" spans="1:30" ht="15" customHeight="1">
      <c r="A125" s="3">
        <v>118</v>
      </c>
      <c r="B125" s="7" t="s">
        <v>137</v>
      </c>
      <c r="C125" s="19" t="s">
        <v>144</v>
      </c>
      <c r="D125" s="31">
        <f t="shared" si="4"/>
        <v>1639</v>
      </c>
      <c r="E125" s="45">
        <v>781</v>
      </c>
      <c r="F125" s="45">
        <v>11</v>
      </c>
      <c r="G125" s="45">
        <v>57</v>
      </c>
      <c r="H125" s="45">
        <v>221</v>
      </c>
      <c r="I125" s="45">
        <v>81</v>
      </c>
      <c r="J125" s="46">
        <v>139</v>
      </c>
      <c r="K125">
        <v>128</v>
      </c>
      <c r="L125"/>
      <c r="M125">
        <v>37</v>
      </c>
      <c r="N125">
        <v>115</v>
      </c>
      <c r="O125">
        <v>39</v>
      </c>
      <c r="P125" s="47">
        <v>30</v>
      </c>
      <c r="Q125" s="57" t="s">
        <v>160</v>
      </c>
      <c r="R125">
        <v>24.67</v>
      </c>
      <c r="S125">
        <v>0.97199999999999998</v>
      </c>
      <c r="T125">
        <v>15.794</v>
      </c>
      <c r="U125">
        <v>77.588999999999999</v>
      </c>
      <c r="V125">
        <v>87.823999999999998</v>
      </c>
      <c r="W125">
        <v>583.69200000000001</v>
      </c>
      <c r="X125">
        <v>3.2730000000000001</v>
      </c>
      <c r="Y125"/>
      <c r="Z125">
        <v>2.9990000000000001</v>
      </c>
      <c r="AA125">
        <v>12.135999999999999</v>
      </c>
      <c r="AB125">
        <v>17.306999999999999</v>
      </c>
      <c r="AC125">
        <v>71.432000000000002</v>
      </c>
      <c r="AD125" s="31">
        <f t="shared" si="5"/>
        <v>897.68799999999999</v>
      </c>
    </row>
    <row r="126" spans="1:30" ht="15" customHeight="1">
      <c r="A126" s="3">
        <v>119</v>
      </c>
      <c r="B126" s="7" t="s">
        <v>138</v>
      </c>
      <c r="C126" s="19" t="s">
        <v>143</v>
      </c>
      <c r="D126" s="31">
        <f t="shared" si="4"/>
        <v>312</v>
      </c>
      <c r="E126" s="44"/>
      <c r="F126" s="45">
        <v>180</v>
      </c>
      <c r="G126" s="45">
        <v>23</v>
      </c>
      <c r="H126" s="45">
        <v>54</v>
      </c>
      <c r="I126" s="45">
        <v>25</v>
      </c>
      <c r="J126" s="46">
        <v>30</v>
      </c>
      <c r="K126"/>
      <c r="L126"/>
      <c r="M126"/>
      <c r="N126"/>
      <c r="O126"/>
      <c r="P126" s="47"/>
      <c r="Q126" s="57" t="s">
        <v>160</v>
      </c>
      <c r="R126"/>
      <c r="S126">
        <v>32.432000000000002</v>
      </c>
      <c r="T126">
        <v>13.79</v>
      </c>
      <c r="U126">
        <v>43.679000000000002</v>
      </c>
      <c r="V126">
        <v>70.361000000000004</v>
      </c>
      <c r="W126">
        <v>226.58500000000001</v>
      </c>
      <c r="X126"/>
      <c r="Y126"/>
      <c r="Z126"/>
      <c r="AA126"/>
      <c r="AB126"/>
      <c r="AC126"/>
      <c r="AD126" s="31">
        <f t="shared" si="5"/>
        <v>386.84699999999998</v>
      </c>
    </row>
    <row r="127" spans="1:30" ht="15" customHeight="1">
      <c r="A127" s="3">
        <v>120</v>
      </c>
      <c r="B127" s="7" t="s">
        <v>139</v>
      </c>
      <c r="C127" s="19" t="s">
        <v>144</v>
      </c>
      <c r="D127" s="31">
        <f t="shared" si="4"/>
        <v>1098</v>
      </c>
      <c r="E127" s="45">
        <v>294</v>
      </c>
      <c r="F127" s="45">
        <v>385</v>
      </c>
      <c r="G127" s="45">
        <v>49</v>
      </c>
      <c r="H127" s="45">
        <v>104</v>
      </c>
      <c r="I127" s="45">
        <v>63</v>
      </c>
      <c r="J127" s="46">
        <v>39</v>
      </c>
      <c r="K127"/>
      <c r="L127"/>
      <c r="M127">
        <v>54</v>
      </c>
      <c r="N127">
        <v>49</v>
      </c>
      <c r="O127">
        <v>28</v>
      </c>
      <c r="P127" s="47">
        <v>33</v>
      </c>
      <c r="Q127" s="57" t="s">
        <v>160</v>
      </c>
      <c r="R127">
        <v>7.6749999999999998</v>
      </c>
      <c r="S127">
        <v>19.718</v>
      </c>
      <c r="T127">
        <v>7.7590000000000003</v>
      </c>
      <c r="U127">
        <v>36.363</v>
      </c>
      <c r="V127">
        <v>59.734999999999999</v>
      </c>
      <c r="W127">
        <v>150.13200000000001</v>
      </c>
      <c r="X127"/>
      <c r="Y127"/>
      <c r="Z127">
        <v>2.508</v>
      </c>
      <c r="AA127">
        <v>7.0270000000000001</v>
      </c>
      <c r="AB127">
        <v>7.5579999999999998</v>
      </c>
      <c r="AC127">
        <v>58.38</v>
      </c>
      <c r="AD127" s="31">
        <f t="shared" si="5"/>
        <v>356.85499999999996</v>
      </c>
    </row>
    <row r="128" spans="1:30" s="27" customFormat="1" ht="15.6">
      <c r="A128" s="22"/>
      <c r="B128" s="23"/>
      <c r="C128" s="24"/>
      <c r="D128" s="32"/>
      <c r="E128" s="41"/>
      <c r="F128" s="41"/>
      <c r="G128" s="41"/>
      <c r="H128" s="41"/>
      <c r="I128" s="41"/>
      <c r="J128" s="40" t="s">
        <v>159</v>
      </c>
      <c r="K128" s="42"/>
      <c r="L128" s="42"/>
      <c r="M128" s="42"/>
      <c r="N128" s="42"/>
      <c r="O128" s="42"/>
      <c r="P128" s="39"/>
      <c r="Q128" s="58"/>
      <c r="R128" s="25"/>
      <c r="S128" s="25"/>
      <c r="T128" s="25"/>
      <c r="U128" s="25"/>
      <c r="V128" s="25"/>
      <c r="W128" s="26"/>
      <c r="X128" s="25"/>
      <c r="Y128" s="25"/>
      <c r="Z128" s="25"/>
      <c r="AA128" s="25"/>
      <c r="AB128" s="25"/>
      <c r="AC128" s="26"/>
      <c r="AD128" s="32"/>
    </row>
    <row r="129" spans="1:30" ht="15.6">
      <c r="A129" s="3"/>
      <c r="B129" s="35" t="s">
        <v>140</v>
      </c>
      <c r="C129" s="36"/>
      <c r="D129" s="31">
        <f t="shared" ref="D129:J129" si="6">SUM(D8:D127)</f>
        <v>132015</v>
      </c>
      <c r="E129" s="43">
        <f t="shared" si="6"/>
        <v>20131</v>
      </c>
      <c r="F129" s="43">
        <f t="shared" si="6"/>
        <v>19807</v>
      </c>
      <c r="G129" s="43">
        <f t="shared" si="6"/>
        <v>7732</v>
      </c>
      <c r="H129" s="43">
        <f t="shared" si="6"/>
        <v>12567</v>
      </c>
      <c r="I129" s="43">
        <f t="shared" si="6"/>
        <v>6808</v>
      </c>
      <c r="J129" s="43">
        <f t="shared" si="6"/>
        <v>9437</v>
      </c>
      <c r="K129" s="43">
        <f t="shared" ref="K129:P129" si="7">SUM(K8:K127)</f>
        <v>16611</v>
      </c>
      <c r="L129" s="43">
        <f t="shared" si="7"/>
        <v>2279</v>
      </c>
      <c r="M129" s="43">
        <f t="shared" si="7"/>
        <v>16960</v>
      </c>
      <c r="N129" s="43">
        <f t="shared" si="7"/>
        <v>8792</v>
      </c>
      <c r="O129" s="43">
        <f t="shared" si="7"/>
        <v>4877</v>
      </c>
      <c r="P129" s="43">
        <f t="shared" si="7"/>
        <v>6014</v>
      </c>
      <c r="Q129" s="59"/>
      <c r="R129" s="31">
        <f t="shared" ref="R129:AD129" si="8">SUM(R8:R127)</f>
        <v>596.77599999999984</v>
      </c>
      <c r="S129" s="31">
        <f t="shared" si="8"/>
        <v>2452.1089999999999</v>
      </c>
      <c r="T129" s="31">
        <f t="shared" si="8"/>
        <v>1848.841000000001</v>
      </c>
      <c r="U129" s="31">
        <f t="shared" si="8"/>
        <v>5957.8210000000036</v>
      </c>
      <c r="V129" s="31">
        <f t="shared" si="8"/>
        <v>9484.2380000000048</v>
      </c>
      <c r="W129" s="31">
        <f t="shared" si="8"/>
        <v>46281.720999999998</v>
      </c>
      <c r="X129" s="31">
        <f t="shared" si="8"/>
        <v>203.93800000000002</v>
      </c>
      <c r="Y129" s="31">
        <f t="shared" si="8"/>
        <v>66.712999999999994</v>
      </c>
      <c r="Z129" s="31">
        <f t="shared" si="8"/>
        <v>847.31500000000005</v>
      </c>
      <c r="AA129" s="31">
        <f t="shared" si="8"/>
        <v>933.58900000000017</v>
      </c>
      <c r="AB129" s="31">
        <f t="shared" si="8"/>
        <v>1107.1219999999998</v>
      </c>
      <c r="AC129" s="31">
        <f t="shared" si="8"/>
        <v>9464.4930000000004</v>
      </c>
      <c r="AD129" s="31">
        <f t="shared" si="8"/>
        <v>79244.675999999992</v>
      </c>
    </row>
    <row r="130" spans="1:30" ht="15.6">
      <c r="A130" s="3"/>
      <c r="B130" s="37" t="s">
        <v>153</v>
      </c>
      <c r="C130" s="36"/>
      <c r="D130" s="31"/>
      <c r="E130" s="38">
        <f>E129/$D$129</f>
        <v>0.15249024732038027</v>
      </c>
      <c r="F130" s="38">
        <f t="shared" ref="F130:P130" si="9">F129/$D$129</f>
        <v>0.15003598075976216</v>
      </c>
      <c r="G130" s="38">
        <f t="shared" si="9"/>
        <v>5.8569101995985307E-2</v>
      </c>
      <c r="H130" s="38">
        <f t="shared" si="9"/>
        <v>9.5193727985456195E-2</v>
      </c>
      <c r="I130" s="38">
        <f t="shared" si="9"/>
        <v>5.156989736014847E-2</v>
      </c>
      <c r="J130" s="38">
        <f t="shared" si="9"/>
        <v>7.1484301026398508E-2</v>
      </c>
      <c r="K130" s="38">
        <f t="shared" si="9"/>
        <v>0.12582661061243042</v>
      </c>
      <c r="L130" s="38">
        <f t="shared" si="9"/>
        <v>1.7263189789039124E-2</v>
      </c>
      <c r="M130" s="38">
        <f t="shared" si="9"/>
        <v>0.12847024959284931</v>
      </c>
      <c r="N130" s="38">
        <f t="shared" si="9"/>
        <v>6.6598492595538392E-2</v>
      </c>
      <c r="O130" s="38">
        <f t="shared" si="9"/>
        <v>3.6942771654736202E-2</v>
      </c>
      <c r="P130" s="38">
        <f t="shared" si="9"/>
        <v>4.5555429307275686E-2</v>
      </c>
      <c r="Q130" s="60"/>
      <c r="R130" s="38">
        <f t="shared" ref="R130:AC130" si="10">R129/$AD$129</f>
        <v>7.5308024478515116E-3</v>
      </c>
      <c r="S130" s="38">
        <f t="shared" si="10"/>
        <v>3.0943517265437495E-2</v>
      </c>
      <c r="T130" s="38">
        <f t="shared" si="10"/>
        <v>2.3330791332909245E-2</v>
      </c>
      <c r="U130" s="38">
        <f t="shared" si="10"/>
        <v>7.5182602803499435E-2</v>
      </c>
      <c r="V130" s="38">
        <f t="shared" si="10"/>
        <v>0.11968296772391379</v>
      </c>
      <c r="W130" s="38">
        <f t="shared" si="10"/>
        <v>0.58403571490405237</v>
      </c>
      <c r="X130" s="38">
        <f t="shared" si="10"/>
        <v>2.5735230465198703E-3</v>
      </c>
      <c r="Y130" s="38">
        <f t="shared" si="10"/>
        <v>8.4186097246457289E-4</v>
      </c>
      <c r="Z130" s="38">
        <f t="shared" si="10"/>
        <v>1.069239023704255E-2</v>
      </c>
      <c r="AA130" s="38">
        <f t="shared" si="10"/>
        <v>1.1781094290801318E-2</v>
      </c>
      <c r="AB130" s="38">
        <f t="shared" si="10"/>
        <v>1.3970932255436315E-2</v>
      </c>
      <c r="AC130" s="38">
        <f t="shared" si="10"/>
        <v>0.11943380272007172</v>
      </c>
      <c r="AD130" s="38"/>
    </row>
    <row r="131" spans="1:30" s="61" customFormat="1" ht="12" customHeight="1">
      <c r="B131" s="62"/>
      <c r="C131" s="63"/>
      <c r="D131" s="64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2"/>
    </row>
    <row r="132" spans="1:30" s="61" customFormat="1" ht="12" customHeight="1">
      <c r="C132" s="63"/>
      <c r="D132" s="64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7"/>
      <c r="AD132" s="62"/>
    </row>
    <row r="133" spans="1:30" s="61" customFormat="1" ht="12" customHeight="1">
      <c r="C133" s="63"/>
      <c r="D133" s="64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7"/>
      <c r="AD133" s="62"/>
    </row>
    <row r="134" spans="1:30" s="61" customFormat="1" ht="12" customHeight="1">
      <c r="C134" s="63"/>
      <c r="D134" s="64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7"/>
      <c r="AD134" s="62"/>
    </row>
    <row r="135" spans="1:30" s="61" customFormat="1" ht="12" customHeight="1">
      <c r="C135" s="63"/>
      <c r="D135" s="64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7"/>
      <c r="AD135" s="62"/>
    </row>
    <row r="136" spans="1:30" s="61" customFormat="1" ht="12" customHeight="1">
      <c r="C136" s="63"/>
      <c r="D136" s="64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7"/>
      <c r="AD136" s="62"/>
    </row>
    <row r="137" spans="1:30" s="61" customFormat="1" ht="12" customHeight="1">
      <c r="C137" s="63"/>
      <c r="D137" s="64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7"/>
      <c r="AD137" s="62"/>
    </row>
    <row r="138" spans="1:30" s="61" customFormat="1" ht="12" customHeight="1">
      <c r="C138" s="63"/>
      <c r="D138" s="64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7"/>
      <c r="AD138" s="62"/>
    </row>
    <row r="139" spans="1:30" s="61" customFormat="1" ht="12" customHeight="1">
      <c r="C139" s="63"/>
      <c r="D139" s="64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7"/>
      <c r="AD139" s="62"/>
    </row>
    <row r="140" spans="1:30" s="61" customFormat="1" ht="12" customHeight="1">
      <c r="C140" s="63"/>
      <c r="D140" s="64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7"/>
      <c r="AD140" s="62"/>
    </row>
    <row r="141" spans="1:30" s="61" customFormat="1" ht="12" customHeight="1">
      <c r="C141" s="63"/>
      <c r="D141" s="64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7"/>
      <c r="AD141" s="62"/>
    </row>
    <row r="142" spans="1:30" s="61" customFormat="1">
      <c r="C142" s="63"/>
      <c r="D142" s="64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2"/>
    </row>
    <row r="143" spans="1:30" s="61" customFormat="1">
      <c r="B143" s="68"/>
      <c r="C143" s="63"/>
      <c r="D143" s="64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2"/>
    </row>
    <row r="144" spans="1:30" s="61" customFormat="1">
      <c r="G144" s="69"/>
      <c r="H144" s="69"/>
      <c r="J144" s="69"/>
      <c r="K144" s="69"/>
      <c r="L144" s="69"/>
      <c r="M144" s="69"/>
      <c r="N144" s="69"/>
      <c r="O144" s="69"/>
      <c r="P144" s="69"/>
      <c r="Q144" s="69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2"/>
    </row>
    <row r="145" spans="2:30" s="61" customFormat="1">
      <c r="B145" s="68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2"/>
    </row>
    <row r="146" spans="2:30" s="61" customFormat="1"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2"/>
    </row>
    <row r="147" spans="2:30" s="61" customFormat="1"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2"/>
    </row>
    <row r="148" spans="2:30" s="61" customFormat="1"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2"/>
    </row>
    <row r="149" spans="2:30" s="61" customFormat="1"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2"/>
    </row>
    <row r="150" spans="2:30" s="61" customFormat="1">
      <c r="E150" s="70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2"/>
    </row>
    <row r="151" spans="2:30" s="61" customFormat="1"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2"/>
    </row>
    <row r="152" spans="2:30" s="61" customFormat="1">
      <c r="C152" s="63"/>
      <c r="D152" s="64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2"/>
    </row>
    <row r="153" spans="2:30" s="61" customFormat="1">
      <c r="C153" s="63"/>
      <c r="D153" s="64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2"/>
    </row>
    <row r="154" spans="2:30" s="61" customFormat="1">
      <c r="C154" s="63"/>
      <c r="D154" s="64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2"/>
    </row>
    <row r="155" spans="2:30" s="61" customFormat="1">
      <c r="C155" s="63"/>
      <c r="D155" s="64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2"/>
    </row>
    <row r="156" spans="2:30" s="61" customFormat="1">
      <c r="C156" s="63"/>
      <c r="D156" s="64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2"/>
    </row>
    <row r="157" spans="2:30" s="61" customFormat="1">
      <c r="C157" s="63"/>
      <c r="D157" s="64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2"/>
    </row>
  </sheetData>
  <mergeCells count="4">
    <mergeCell ref="R5:W5"/>
    <mergeCell ref="X5:AC5"/>
    <mergeCell ref="K5:P5"/>
    <mergeCell ref="E5:J5"/>
  </mergeCells>
  <phoneticPr fontId="16" type="noConversion"/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F171F8E-936F-4C11-BC60-1D88AA9BD39A}"/>
</file>

<file path=customXml/itemProps2.xml><?xml version="1.0" encoding="utf-8"?>
<ds:datastoreItem xmlns:ds="http://schemas.openxmlformats.org/officeDocument/2006/customXml" ds:itemID="{F86A7EFA-0E28-438A-A2E2-744803C705E8}"/>
</file>

<file path=customXml/itemProps3.xml><?xml version="1.0" encoding="utf-8"?>
<ds:datastoreItem xmlns:ds="http://schemas.openxmlformats.org/officeDocument/2006/customXml" ds:itemID="{2C39C6FC-78F0-4D92-8D6F-494BDB8F44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</vt:lpstr>
      <vt:lpstr>Curr!Print_Titles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Rogers, Peter (KYTC)</cp:lastModifiedBy>
  <cp:lastPrinted>2011-07-15T21:59:47Z</cp:lastPrinted>
  <dcterms:created xsi:type="dcterms:W3CDTF">2000-09-06T17:52:56Z</dcterms:created>
  <dcterms:modified xsi:type="dcterms:W3CDTF">2012-11-15T01:48:05Z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