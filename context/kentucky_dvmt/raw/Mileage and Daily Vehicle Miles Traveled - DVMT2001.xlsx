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665" yWindow="-15" windowWidth="16170" windowHeight="8295"/>
  </bookViews>
  <sheets>
    <sheet name="2001" sheetId="6" r:id="rId1"/>
  </sheets>
  <definedNames>
    <definedName name="_xlnm._FilterDatabase" localSheetId="0" hidden="1">'2001'!$A$1:$AD$128</definedName>
    <definedName name="_xlnm.Print_Titles" localSheetId="0">'2001'!$A:$B,'2001'!$3:$5</definedName>
    <definedName name="Z_42EEE160_96A8_11D3_9088_00C04FACEB10_.wvu.PrintTitles" localSheetId="0" hidden="1">'2001'!$A:$B,'2001'!$3:$5</definedName>
    <definedName name="Z_9B35B1A4_5380_11D4_9606_00B0D02CABC0_.wvu.FilterData" localSheetId="0" hidden="1">'2001'!$A$1:$AD$125</definedName>
    <definedName name="Z_9B35B1A4_5380_11D4_9606_00B0D02CABC0_.wvu.PrintTitles" localSheetId="0" hidden="1">'2001'!$A:$B,'2001'!$3:$5</definedName>
  </definedNames>
  <calcPr calcId="125725" fullCalcOnLoad="1"/>
</workbook>
</file>

<file path=xl/calcChain.xml><?xml version="1.0" encoding="utf-8"?>
<calcChain xmlns="http://schemas.openxmlformats.org/spreadsheetml/2006/main">
  <c r="D6" i="6"/>
  <c r="AD6"/>
  <c r="D7"/>
  <c r="AD7"/>
  <c r="D8"/>
  <c r="AD8"/>
  <c r="D9"/>
  <c r="AD9"/>
  <c r="D10"/>
  <c r="AD10"/>
  <c r="D11"/>
  <c r="AD11"/>
  <c r="D12"/>
  <c r="AD12"/>
  <c r="D13"/>
  <c r="AD13"/>
  <c r="D14"/>
  <c r="AD14"/>
  <c r="D15"/>
  <c r="AD15"/>
  <c r="D16"/>
  <c r="AD16"/>
  <c r="D17"/>
  <c r="AD17"/>
  <c r="D18"/>
  <c r="AD18"/>
  <c r="D19"/>
  <c r="AD19"/>
  <c r="O20"/>
  <c r="D20"/>
  <c r="AD20"/>
  <c r="D21"/>
  <c r="AD21"/>
  <c r="D22"/>
  <c r="AD22"/>
  <c r="D23"/>
  <c r="AD23"/>
  <c r="D24"/>
  <c r="AD24"/>
  <c r="D25"/>
  <c r="AD25"/>
  <c r="D26"/>
  <c r="AD26"/>
  <c r="D27"/>
  <c r="AD27"/>
  <c r="D28"/>
  <c r="AD28"/>
  <c r="I29"/>
  <c r="D29"/>
  <c r="AD29"/>
  <c r="D30"/>
  <c r="AD30"/>
  <c r="D31"/>
  <c r="AD31"/>
  <c r="D32"/>
  <c r="AD32"/>
  <c r="D33"/>
  <c r="AD33"/>
  <c r="D34"/>
  <c r="AD34"/>
  <c r="D35"/>
  <c r="AD35"/>
  <c r="D36"/>
  <c r="W36"/>
  <c r="AD36"/>
  <c r="D37"/>
  <c r="AD37"/>
  <c r="D38"/>
  <c r="AD38"/>
  <c r="D39"/>
  <c r="AD39"/>
  <c r="D40"/>
  <c r="AD40"/>
  <c r="D41"/>
  <c r="AD41"/>
  <c r="D42"/>
  <c r="AD42"/>
  <c r="D43"/>
  <c r="AD43"/>
  <c r="D44"/>
  <c r="AD44"/>
  <c r="D45"/>
  <c r="AD45"/>
  <c r="D46"/>
  <c r="AD46"/>
  <c r="D47"/>
  <c r="AD47"/>
  <c r="D48"/>
  <c r="AD48"/>
  <c r="D49"/>
  <c r="AD49"/>
  <c r="D50"/>
  <c r="AD50"/>
  <c r="F51"/>
  <c r="D51"/>
  <c r="H51"/>
  <c r="AD51"/>
  <c r="D52"/>
  <c r="AD52"/>
  <c r="D53"/>
  <c r="AD53"/>
  <c r="D54"/>
  <c r="AD54"/>
  <c r="D55"/>
  <c r="AD55"/>
  <c r="N56"/>
  <c r="O56"/>
  <c r="D56"/>
  <c r="AD56"/>
  <c r="D57"/>
  <c r="AD57"/>
  <c r="D58"/>
  <c r="AD58"/>
  <c r="D59"/>
  <c r="AD59"/>
  <c r="D60"/>
  <c r="AD60"/>
  <c r="D61"/>
  <c r="AD61"/>
  <c r="F62"/>
  <c r="D62"/>
  <c r="AD62"/>
  <c r="D63"/>
  <c r="AD63"/>
  <c r="O64"/>
  <c r="D64"/>
  <c r="AD64"/>
  <c r="D65"/>
  <c r="AD65"/>
  <c r="D66"/>
  <c r="AD66"/>
  <c r="D67"/>
  <c r="AD67"/>
  <c r="D68"/>
  <c r="AD68"/>
  <c r="D69"/>
  <c r="AD69"/>
  <c r="D70"/>
  <c r="AD70"/>
  <c r="D71"/>
  <c r="AD71"/>
  <c r="D72"/>
  <c r="AD72"/>
  <c r="D73"/>
  <c r="AD73"/>
  <c r="D74"/>
  <c r="AD74"/>
  <c r="D75"/>
  <c r="AD75"/>
  <c r="D76"/>
  <c r="AD76"/>
  <c r="D77"/>
  <c r="AD77"/>
  <c r="D78"/>
  <c r="AD78"/>
  <c r="D79"/>
  <c r="AD79"/>
  <c r="D80"/>
  <c r="AD80"/>
  <c r="D81"/>
  <c r="AD81"/>
  <c r="D82"/>
  <c r="AD82"/>
  <c r="D83"/>
  <c r="AD83"/>
  <c r="D84"/>
  <c r="AD84"/>
  <c r="D85"/>
  <c r="AD85"/>
  <c r="D86"/>
  <c r="AD86"/>
  <c r="D87"/>
  <c r="AD87"/>
  <c r="D88"/>
  <c r="AD88"/>
  <c r="D89"/>
  <c r="AD89"/>
  <c r="D90"/>
  <c r="AD90"/>
  <c r="D91"/>
  <c r="AD91"/>
  <c r="D92"/>
  <c r="AD92"/>
  <c r="D93"/>
  <c r="AD93"/>
  <c r="D94"/>
  <c r="AD94"/>
  <c r="D95"/>
  <c r="AD95"/>
  <c r="D96"/>
  <c r="AD96"/>
  <c r="D97"/>
  <c r="AD97"/>
  <c r="D98"/>
  <c r="W98"/>
  <c r="AC98"/>
  <c r="D99"/>
  <c r="AD99"/>
  <c r="D100"/>
  <c r="AD100"/>
  <c r="D101"/>
  <c r="H101"/>
  <c r="AD101"/>
  <c r="D102"/>
  <c r="AD102"/>
  <c r="D103"/>
  <c r="AD103"/>
  <c r="D104"/>
  <c r="AD104"/>
  <c r="D105"/>
  <c r="AD105"/>
  <c r="D106"/>
  <c r="AD106"/>
  <c r="D107"/>
  <c r="AD107"/>
  <c r="D108"/>
  <c r="AD108"/>
  <c r="D109"/>
  <c r="AD109"/>
  <c r="D110"/>
  <c r="AD110"/>
  <c r="D111"/>
  <c r="AD111"/>
  <c r="D112"/>
  <c r="AD112"/>
  <c r="D113"/>
  <c r="AD113"/>
  <c r="D114"/>
  <c r="AD114"/>
  <c r="D115"/>
  <c r="AD115"/>
  <c r="D116"/>
  <c r="AD116"/>
  <c r="D117"/>
  <c r="AD117"/>
  <c r="D118"/>
  <c r="AD118"/>
  <c r="D119"/>
  <c r="AD119"/>
  <c r="D120"/>
  <c r="AD120"/>
  <c r="D121"/>
  <c r="AD121"/>
  <c r="D122"/>
  <c r="AD122"/>
  <c r="D123"/>
  <c r="AD123"/>
  <c r="D124"/>
  <c r="AD124"/>
  <c r="D125"/>
  <c r="AD125"/>
  <c r="E127"/>
  <c r="G127"/>
  <c r="H127"/>
  <c r="J127"/>
  <c r="K127"/>
  <c r="L127"/>
  <c r="M127"/>
  <c r="N127"/>
  <c r="P127"/>
  <c r="R127"/>
  <c r="S127"/>
  <c r="T127"/>
  <c r="U127"/>
  <c r="V127"/>
  <c r="W127"/>
  <c r="X127"/>
  <c r="Y127"/>
  <c r="Z127"/>
  <c r="AA127"/>
  <c r="AB127"/>
  <c r="AC127"/>
  <c r="AD98"/>
  <c r="AD127"/>
  <c r="O127"/>
  <c r="D127"/>
  <c r="I127"/>
  <c r="F127"/>
</calcChain>
</file>

<file path=xl/sharedStrings.xml><?xml version="1.0" encoding="utf-8"?>
<sst xmlns="http://schemas.openxmlformats.org/spreadsheetml/2006/main" count="1599" uniqueCount="162">
  <si>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</si>
  <si>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</si>
  <si>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</si>
  <si>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</si>
  <si>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</si>
  <si>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</si>
  <si>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</si>
  <si>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</si>
  <si>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</si>
  <si>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</si>
  <si>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</si>
  <si>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</si>
  <si>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</si>
  <si>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</si>
  <si>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</si>
  <si>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</si>
  <si>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</si>
  <si>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</si>
  <si>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</si>
  <si>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</si>
  <si>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</si>
  <si>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</si>
  <si>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</si>
  <si>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</si>
  <si>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</si>
  <si>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</si>
  <si>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</si>
  <si>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</si>
  <si>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</si>
  <si>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</si>
  <si>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</si>
  <si>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</si>
  <si>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</si>
  <si>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</si>
  <si>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</si>
  <si>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</si>
  <si>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</si>
  <si>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</si>
  <si>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</si>
  <si>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</si>
  <si>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</si>
  <si>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</si>
  <si>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</si>
  <si>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</si>
  <si>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</si>
  <si>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</si>
  <si>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</si>
  <si>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</si>
  <si>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</si>
  <si>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</si>
  <si>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</si>
  <si>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</si>
  <si>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</si>
  <si>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</si>
  <si>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</si>
  <si>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</si>
  <si>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</si>
  <si>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</si>
  <si>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</si>
  <si>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</si>
  <si>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</si>
  <si>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</si>
  <si>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</si>
  <si>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</si>
  <si>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</si>
  <si>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</si>
  <si>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</si>
  <si>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</si>
  <si>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</si>
  <si>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</si>
  <si>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</si>
  <si>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</si>
  <si>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</si>
  <si>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</si>
  <si>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</si>
  <si>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</si>
  <si>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</si>
  <si>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</si>
  <si>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</si>
  <si>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</si>
  <si>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</si>
  <si>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</si>
  <si>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</si>
  <si>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</si>
  <si>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</si>
  <si>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</si>
  <si>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</si>
  <si>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</si>
  <si>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</si>
  <si>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</si>
  <si>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</si>
  <si>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</si>
  <si>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</si>
  <si>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</si>
  <si>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</si>
  <si>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</si>
  <si>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</si>
  <si>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</si>
  <si>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</si>
  <si>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</si>
  <si>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</si>
  <si>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</si>
  <si>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</si>
  <si>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</si>
  <si>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</si>
  <si>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</si>
  <si>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</si>
  <si>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</si>
  <si>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</si>
  <si>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</si>
  <si>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</si>
  <si>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</si>
  <si>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</si>
  <si>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</si>
  <si>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</si>
  <si>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</si>
  <si>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</si>
  <si>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</si>
  <si>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</si>
  <si>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</si>
  <si>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</si>
  <si>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</si>
  <si>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</si>
  <si>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</si>
  <si>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</si>
  <si>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</si>
  <si>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</si>
  <si>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</si>
  <si>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</si>
  <si>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</si>
  <si>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</si>
  <si>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</si>
  <si>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</si>
  <si>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</si>
  <si>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</si>
  <si>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</si>
  <si>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</si>
  <si>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</si>
  <si>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</si>
  <si>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</si>
  <si>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</si>
  <si>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</si>
  <si>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</si>
  <si>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</si>
  <si>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</si>
  <si>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</si>
  <si>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</si>
  <si>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</si>
  <si>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</si>
  <si>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</si>
  <si>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</si>
  <si>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</si>
  <si>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</si>
  <si>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</si>
  <si>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</si>
  <si>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</si>
  <si>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</si>
  <si>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</si>
  <si>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</si>
  <si>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2001 DVMT (in thousands) and Mileage by County and Functional Class</t>
  </si>
  <si>
    <t>2001</t>
  </si>
  <si>
    <t>Aug 9, 2002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</si>
</sst>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43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49" fontId="2" fillId="0" borderId="0" xfId="0" applyNumberFormat="1" applyFont="1" applyAlignment="1">
      <alignment horizontal="center"/>
    </xf>
    <xf numFmtId="0" fontId="6" fillId="0" borderId="0" xfId="0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6" fillId="0" borderId="0" xfId="0" applyNumberFormat="1" applyFont="1"/>
    <xf numFmtId="3" fontId="3" fillId="0" borderId="0" xfId="0" quotePrefix="1" applyNumberFormat="1" applyFont="1" applyAlignment="1">
      <alignment horizontal="right"/>
    </xf>
    <xf numFmtId="0" fontId="7" fillId="0" borderId="0" xfId="0" applyFont="1"/>
    <xf numFmtId="0" fontId="8" fillId="0" borderId="0" xfId="0" applyFont="1"/>
    <xf numFmtId="49" fontId="8" fillId="0" borderId="0" xfId="0" applyNumberFormat="1" applyFont="1" applyAlignment="1">
      <alignment horizontal="left"/>
    </xf>
    <xf numFmtId="49" fontId="7" fillId="0" borderId="0" xfId="0" applyNumberFormat="1" applyFont="1"/>
    <xf numFmtId="0" fontId="9" fillId="0" borderId="0" xfId="0" applyFont="1"/>
    <xf numFmtId="0" fontId="3" fillId="0" borderId="0" xfId="0" applyFont="1" applyAlignment="1">
      <alignment horizontal="right"/>
    </xf>
    <xf numFmtId="3" fontId="5" fillId="2" borderId="2" xfId="2" applyNumberFormat="1" applyFont="1" applyFill="1" applyBorder="1" applyAlignment="1">
      <alignment horizontal="center"/>
    </xf>
    <xf numFmtId="3" fontId="5" fillId="0" borderId="1" xfId="2" applyNumberFormat="1" applyFont="1" applyFill="1" applyBorder="1" applyAlignment="1">
      <alignment horizontal="right" wrapText="1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3" fillId="0" borderId="0" xfId="0" applyFont="1" applyFill="1"/>
    <xf numFmtId="3" fontId="3" fillId="0" borderId="0" xfId="0" applyNumberFormat="1" applyFont="1" applyFill="1"/>
    <xf numFmtId="0" fontId="2" fillId="0" borderId="0" xfId="0" applyFont="1" applyFill="1"/>
    <xf numFmtId="15" fontId="2" fillId="0" borderId="0" xfId="0" quotePrefix="1" applyNumberFormat="1" applyFont="1" applyFill="1"/>
    <xf numFmtId="49" fontId="2" fillId="0" borderId="0" xfId="0" applyNumberFormat="1" applyFont="1" applyFill="1"/>
    <xf numFmtId="49" fontId="8" fillId="0" borderId="0" xfId="0" applyNumberFormat="1" applyFont="1" applyFill="1"/>
    <xf numFmtId="3" fontId="2" fillId="0" borderId="0" xfId="0" applyNumberFormat="1" applyFont="1" applyFill="1"/>
    <xf numFmtId="49" fontId="7" fillId="0" borderId="0" xfId="0" applyNumberFormat="1" applyFont="1" applyFill="1"/>
    <xf numFmtId="0" fontId="4" fillId="0" borderId="1" xfId="1" applyFont="1" applyFill="1" applyBorder="1" applyAlignment="1">
      <alignment horizontal="right" wrapText="1"/>
    </xf>
    <xf numFmtId="3" fontId="0" fillId="0" borderId="0" xfId="0" applyNumberFormat="1" applyFill="1"/>
    <xf numFmtId="0" fontId="4" fillId="0" borderId="1" xfId="3" applyFont="1" applyFill="1" applyBorder="1" applyAlignment="1">
      <alignment horizontal="right" wrapText="1"/>
    </xf>
    <xf numFmtId="0" fontId="7" fillId="0" borderId="0" xfId="0" applyFont="1" applyFill="1"/>
    <xf numFmtId="0" fontId="0" fillId="0" borderId="0" xfId="0" applyFill="1"/>
    <xf numFmtId="0" fontId="6" fillId="0" borderId="0" xfId="0" applyFont="1" applyFill="1"/>
    <xf numFmtId="0" fontId="9" fillId="0" borderId="0" xfId="0" applyFont="1" applyFill="1"/>
    <xf numFmtId="3" fontId="6" fillId="0" borderId="0" xfId="0" applyNumberFormat="1" applyFont="1" applyFill="1"/>
    <xf numFmtId="0" fontId="2" fillId="0" borderId="0" xfId="0" applyFont="1" applyAlignment="1">
      <alignment horizontal="center"/>
    </xf>
  </cellXfs>
  <cellStyles count="4">
    <cellStyle name="Normal" xfId="0" builtinId="0"/>
    <cellStyle name="Normal_2000_1" xfId="1"/>
    <cellStyle name="Normal_2001" xfId="2"/>
    <cellStyle name="Normal_VMT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29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B130" sqref="B130"/>
    </sheetView>
  </sheetViews>
  <sheetFormatPr defaultRowHeight="12.75"/>
  <cols>
    <col min="1" max="1" width="5.7109375" customWidth="1"/>
    <col min="2" max="2" width="18.28515625" customWidth="1"/>
    <col min="3" max="3" width="5.7109375" style="20" customWidth="1"/>
    <col min="4" max="4" width="11.5703125" style="14" customWidth="1"/>
    <col min="5" max="5" width="10.85546875" customWidth="1"/>
    <col min="6" max="6" width="9.42578125" bestFit="1" customWidth="1"/>
    <col min="7" max="7" width="9.7109375" bestFit="1" customWidth="1"/>
    <col min="8" max="8" width="9.5703125" bestFit="1" customWidth="1"/>
    <col min="9" max="9" width="10" bestFit="1" customWidth="1"/>
    <col min="10" max="10" width="9.7109375" style="9" customWidth="1"/>
    <col min="16" max="16" width="8.85546875" style="9" bestFit="1" customWidth="1"/>
    <col min="17" max="17" width="4.28515625" style="9" customWidth="1"/>
    <col min="24" max="24" width="12.5703125" customWidth="1"/>
    <col min="30" max="30" width="13.7109375" style="11" customWidth="1"/>
  </cols>
  <sheetData>
    <row r="1" spans="1:30" ht="15.75">
      <c r="A1" s="25" t="s">
        <v>159</v>
      </c>
      <c r="B1" s="3"/>
      <c r="C1" s="16"/>
      <c r="D1" s="12"/>
      <c r="E1" s="3"/>
      <c r="F1" s="3"/>
      <c r="G1" s="3"/>
      <c r="H1" s="3"/>
      <c r="I1" s="3"/>
      <c r="J1" s="2"/>
      <c r="K1" s="3"/>
      <c r="L1" s="3"/>
      <c r="M1" s="3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15.75">
      <c r="A2" s="3"/>
      <c r="B2" s="29" t="s">
        <v>161</v>
      </c>
      <c r="C2" s="26"/>
      <c r="D2" s="27"/>
      <c r="E2" s="28"/>
      <c r="F2" s="28"/>
      <c r="G2" s="3"/>
      <c r="H2" s="3"/>
      <c r="I2" s="3"/>
      <c r="J2" s="2"/>
      <c r="K2" s="3"/>
      <c r="L2" s="3"/>
      <c r="M2" s="3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"/>
    </row>
    <row r="3" spans="1:30" ht="15.75">
      <c r="A3" s="3"/>
      <c r="B3" s="3"/>
      <c r="C3" s="17" t="s">
        <v>152</v>
      </c>
      <c r="D3" s="15" t="s">
        <v>160</v>
      </c>
      <c r="E3" s="42" t="s">
        <v>0</v>
      </c>
      <c r="F3" s="42"/>
      <c r="G3" s="42"/>
      <c r="H3" s="42"/>
      <c r="I3" s="42"/>
      <c r="J3" s="42"/>
      <c r="K3" s="42" t="s">
        <v>1</v>
      </c>
      <c r="L3" s="42"/>
      <c r="M3" s="42"/>
      <c r="N3" s="42"/>
      <c r="O3" s="42"/>
      <c r="P3" s="42"/>
      <c r="Q3" s="24"/>
      <c r="R3" s="42" t="s">
        <v>2</v>
      </c>
      <c r="S3" s="42"/>
      <c r="T3" s="42"/>
      <c r="U3" s="42"/>
      <c r="V3" s="42"/>
      <c r="W3" s="42"/>
      <c r="X3" s="42" t="s">
        <v>3</v>
      </c>
      <c r="Y3" s="42"/>
      <c r="Z3" s="42"/>
      <c r="AA3" s="42"/>
      <c r="AB3" s="42"/>
      <c r="AC3" s="42"/>
      <c r="AD3" s="1"/>
    </row>
    <row r="4" spans="1:30" s="7" customFormat="1" ht="15.75">
      <c r="A4" s="4"/>
      <c r="B4" s="5" t="s">
        <v>4</v>
      </c>
      <c r="C4" s="18" t="s">
        <v>153</v>
      </c>
      <c r="D4" s="21" t="s">
        <v>156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6" t="s">
        <v>10</v>
      </c>
      <c r="K4" s="4" t="s">
        <v>5</v>
      </c>
      <c r="L4" s="4" t="s">
        <v>11</v>
      </c>
      <c r="M4" s="4" t="s">
        <v>6</v>
      </c>
      <c r="N4" s="4" t="s">
        <v>7</v>
      </c>
      <c r="O4" s="4" t="s">
        <v>12</v>
      </c>
      <c r="P4" s="6" t="s">
        <v>10</v>
      </c>
      <c r="Q4" s="6"/>
      <c r="R4" s="4" t="s">
        <v>5</v>
      </c>
      <c r="S4" s="4" t="s">
        <v>6</v>
      </c>
      <c r="T4" s="4" t="s">
        <v>7</v>
      </c>
      <c r="U4" s="4" t="s">
        <v>8</v>
      </c>
      <c r="V4" s="4" t="s">
        <v>9</v>
      </c>
      <c r="W4" s="4" t="s">
        <v>10</v>
      </c>
      <c r="X4" s="4" t="s">
        <v>5</v>
      </c>
      <c r="Y4" s="4" t="s">
        <v>11</v>
      </c>
      <c r="Z4" s="4" t="s">
        <v>6</v>
      </c>
      <c r="AA4" s="4" t="s">
        <v>7</v>
      </c>
      <c r="AB4" s="4" t="s">
        <v>12</v>
      </c>
      <c r="AC4" s="4" t="s">
        <v>10</v>
      </c>
      <c r="AD4" s="21" t="s">
        <v>13</v>
      </c>
    </row>
    <row r="5" spans="1:30" ht="15" customHeight="1">
      <c r="A5" s="3"/>
      <c r="B5" s="8"/>
      <c r="C5" s="19"/>
      <c r="D5" s="13" t="s">
        <v>154</v>
      </c>
      <c r="E5" s="22" t="s">
        <v>14</v>
      </c>
      <c r="F5" s="22" t="s">
        <v>15</v>
      </c>
      <c r="G5" s="22" t="s">
        <v>16</v>
      </c>
      <c r="H5" s="22" t="s">
        <v>17</v>
      </c>
      <c r="I5" s="22" t="s">
        <v>18</v>
      </c>
      <c r="J5" s="10" t="s">
        <v>148</v>
      </c>
      <c r="K5" s="22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10" t="s">
        <v>25</v>
      </c>
      <c r="Q5" s="10"/>
      <c r="R5" s="22" t="s">
        <v>14</v>
      </c>
      <c r="S5" s="22" t="s">
        <v>15</v>
      </c>
      <c r="T5" s="22" t="s">
        <v>16</v>
      </c>
      <c r="U5" s="22" t="s">
        <v>17</v>
      </c>
      <c r="V5" s="22" t="s">
        <v>18</v>
      </c>
      <c r="W5" s="22" t="s">
        <v>24</v>
      </c>
      <c r="X5" s="22" t="s">
        <v>19</v>
      </c>
      <c r="Y5" s="22" t="s">
        <v>20</v>
      </c>
      <c r="Z5" s="22" t="s">
        <v>21</v>
      </c>
      <c r="AA5" s="22" t="s">
        <v>22</v>
      </c>
      <c r="AB5" s="22" t="s">
        <v>23</v>
      </c>
      <c r="AC5" s="22" t="s">
        <v>25</v>
      </c>
      <c r="AD5" s="21" t="s">
        <v>155</v>
      </c>
    </row>
    <row r="6" spans="1:30" ht="15" customHeight="1">
      <c r="A6" s="28">
        <v>1</v>
      </c>
      <c r="B6" s="30" t="s">
        <v>26</v>
      </c>
      <c r="C6" s="31" t="s">
        <v>149</v>
      </c>
      <c r="D6" s="27">
        <f t="shared" ref="D6:D37" si="0">SUM(E6:J6)+SUM(K6:P6)</f>
        <v>520.2664392130298</v>
      </c>
      <c r="E6" s="23" t="s">
        <v>27</v>
      </c>
      <c r="F6" s="23">
        <v>174.96985692141951</v>
      </c>
      <c r="G6" s="23">
        <v>26.385489556252956</v>
      </c>
      <c r="H6" s="23">
        <v>170.85261110000684</v>
      </c>
      <c r="I6" s="23">
        <v>48.924503694534302</v>
      </c>
      <c r="J6" s="32">
        <v>99.13397794081618</v>
      </c>
      <c r="K6" s="23" t="s">
        <v>27</v>
      </c>
      <c r="L6" s="23" t="s">
        <v>27</v>
      </c>
      <c r="M6" s="23" t="s">
        <v>27</v>
      </c>
      <c r="N6" s="23" t="s">
        <v>27</v>
      </c>
      <c r="O6" s="23" t="s">
        <v>27</v>
      </c>
      <c r="P6" s="32" t="s">
        <v>27</v>
      </c>
      <c r="Q6" s="32"/>
      <c r="R6" s="23" t="s">
        <v>27</v>
      </c>
      <c r="S6" s="23">
        <v>30.668999966233969</v>
      </c>
      <c r="T6" s="23">
        <v>9.2560000717639923</v>
      </c>
      <c r="U6" s="23">
        <v>83.593999961391091</v>
      </c>
      <c r="V6" s="23">
        <v>100.73400022089481</v>
      </c>
      <c r="W6" s="23">
        <v>621.63800000399351</v>
      </c>
      <c r="X6" s="23" t="s">
        <v>27</v>
      </c>
      <c r="Y6" s="23" t="s">
        <v>27</v>
      </c>
      <c r="Z6" s="23" t="s">
        <v>27</v>
      </c>
      <c r="AA6" s="23" t="s">
        <v>27</v>
      </c>
      <c r="AB6" s="23" t="s">
        <v>27</v>
      </c>
      <c r="AC6" s="23" t="s">
        <v>27</v>
      </c>
      <c r="AD6" s="27">
        <f t="shared" ref="AD6:AD37" si="1">SUM(R6:AC6)</f>
        <v>845.89100022427738</v>
      </c>
    </row>
    <row r="7" spans="1:30" ht="15" customHeight="1">
      <c r="A7" s="28">
        <v>2</v>
      </c>
      <c r="B7" s="30" t="s">
        <v>28</v>
      </c>
      <c r="C7" s="31" t="s">
        <v>149</v>
      </c>
      <c r="D7" s="27">
        <f t="shared" si="0"/>
        <v>427.1158828966939</v>
      </c>
      <c r="E7" s="23" t="s">
        <v>27</v>
      </c>
      <c r="F7" s="23">
        <v>90.86396517288685</v>
      </c>
      <c r="G7" s="23">
        <v>48.561755885213614</v>
      </c>
      <c r="H7" s="23">
        <v>132.61419993100316</v>
      </c>
      <c r="I7" s="23">
        <v>56.847561356753111</v>
      </c>
      <c r="J7" s="32">
        <v>98.228400550837179</v>
      </c>
      <c r="K7" s="23" t="s">
        <v>27</v>
      </c>
      <c r="L7" s="23" t="s">
        <v>27</v>
      </c>
      <c r="M7" s="23" t="s">
        <v>27</v>
      </c>
      <c r="N7" s="23" t="s">
        <v>27</v>
      </c>
      <c r="O7" s="23" t="s">
        <v>27</v>
      </c>
      <c r="P7" s="32" t="s">
        <v>27</v>
      </c>
      <c r="Q7" s="32"/>
      <c r="R7" s="23" t="s">
        <v>27</v>
      </c>
      <c r="S7" s="23">
        <v>17.685000196099281</v>
      </c>
      <c r="T7" s="23">
        <v>10.57899996638298</v>
      </c>
      <c r="U7" s="23">
        <v>64.207000776194036</v>
      </c>
      <c r="V7" s="23">
        <v>87.631999224424362</v>
      </c>
      <c r="W7" s="23">
        <v>514.06199986860156</v>
      </c>
      <c r="X7" s="23" t="s">
        <v>27</v>
      </c>
      <c r="Y7" s="23" t="s">
        <v>27</v>
      </c>
      <c r="Z7" s="23" t="s">
        <v>27</v>
      </c>
      <c r="AA7" s="23" t="s">
        <v>27</v>
      </c>
      <c r="AB7" s="23" t="s">
        <v>27</v>
      </c>
      <c r="AC7" s="23" t="s">
        <v>27</v>
      </c>
      <c r="AD7" s="27">
        <f t="shared" si="1"/>
        <v>694.16500003170222</v>
      </c>
    </row>
    <row r="8" spans="1:30" ht="15" customHeight="1">
      <c r="A8" s="28">
        <v>3</v>
      </c>
      <c r="B8" s="30" t="s">
        <v>29</v>
      </c>
      <c r="C8" s="31" t="s">
        <v>150</v>
      </c>
      <c r="D8" s="27">
        <f t="shared" si="0"/>
        <v>613.56788687992332</v>
      </c>
      <c r="E8" s="23" t="s">
        <v>27</v>
      </c>
      <c r="F8" s="23">
        <v>314.5763507308364</v>
      </c>
      <c r="G8" s="23">
        <v>21.048162543237208</v>
      </c>
      <c r="H8" s="23">
        <v>71.036168798983098</v>
      </c>
      <c r="I8" s="23">
        <v>41.150236508578061</v>
      </c>
      <c r="J8" s="32">
        <v>43.706588062552385</v>
      </c>
      <c r="K8" s="23" t="s">
        <v>27</v>
      </c>
      <c r="L8" s="23" t="s">
        <v>27</v>
      </c>
      <c r="M8" s="23">
        <v>35.200725133895872</v>
      </c>
      <c r="N8" s="23">
        <v>35.059717544004322</v>
      </c>
      <c r="O8" s="23">
        <v>23.515993882656097</v>
      </c>
      <c r="P8" s="32">
        <v>28.273943675179865</v>
      </c>
      <c r="Q8" s="32"/>
      <c r="R8" s="23" t="s">
        <v>27</v>
      </c>
      <c r="S8" s="23">
        <v>22.443999730050564</v>
      </c>
      <c r="T8" s="23">
        <v>4.5870001316070557</v>
      </c>
      <c r="U8" s="23">
        <v>44.495999773964286</v>
      </c>
      <c r="V8" s="23">
        <v>54.49999937415123</v>
      </c>
      <c r="W8" s="23">
        <v>208.03400004003197</v>
      </c>
      <c r="X8" s="23" t="s">
        <v>27</v>
      </c>
      <c r="Y8" s="23" t="s">
        <v>27</v>
      </c>
      <c r="Z8" s="23">
        <v>2.137999951839447</v>
      </c>
      <c r="AA8" s="23">
        <v>3.4479999467730522</v>
      </c>
      <c r="AB8" s="23">
        <v>4.2899999618530273</v>
      </c>
      <c r="AC8" s="23">
        <v>39</v>
      </c>
      <c r="AD8" s="27">
        <f t="shared" si="1"/>
        <v>382.93699891027063</v>
      </c>
    </row>
    <row r="9" spans="1:30" ht="15" customHeight="1">
      <c r="A9" s="28">
        <v>4</v>
      </c>
      <c r="B9" s="30" t="s">
        <v>30</v>
      </c>
      <c r="C9" s="31" t="s">
        <v>149</v>
      </c>
      <c r="D9" s="27">
        <f t="shared" si="0"/>
        <v>274.52469808373525</v>
      </c>
      <c r="E9" s="23" t="s">
        <v>27</v>
      </c>
      <c r="F9" s="23">
        <v>142.98501516222208</v>
      </c>
      <c r="G9" s="23">
        <v>15.890237792566419</v>
      </c>
      <c r="H9" s="23">
        <v>60.175636788036677</v>
      </c>
      <c r="I9" s="23">
        <v>20.061057131648063</v>
      </c>
      <c r="J9" s="32">
        <v>35.412751209262005</v>
      </c>
      <c r="K9" s="23" t="s">
        <v>27</v>
      </c>
      <c r="L9" s="23" t="s">
        <v>27</v>
      </c>
      <c r="M9" s="23" t="s">
        <v>27</v>
      </c>
      <c r="N9" s="23" t="s">
        <v>27</v>
      </c>
      <c r="O9" s="23" t="s">
        <v>27</v>
      </c>
      <c r="P9" s="32" t="s">
        <v>27</v>
      </c>
      <c r="Q9" s="32"/>
      <c r="R9" s="23" t="s">
        <v>27</v>
      </c>
      <c r="S9" s="23">
        <v>25.233999878168106</v>
      </c>
      <c r="T9" s="23">
        <v>8.6089998744428158</v>
      </c>
      <c r="U9" s="23">
        <v>40.571999868378043</v>
      </c>
      <c r="V9" s="23">
        <v>62.404000628739595</v>
      </c>
      <c r="W9" s="23">
        <v>287.37200060486794</v>
      </c>
      <c r="X9" s="23" t="s">
        <v>27</v>
      </c>
      <c r="Y9" s="23" t="s">
        <v>27</v>
      </c>
      <c r="Z9" s="23" t="s">
        <v>27</v>
      </c>
      <c r="AA9" s="23" t="s">
        <v>27</v>
      </c>
      <c r="AB9" s="23" t="s">
        <v>27</v>
      </c>
      <c r="AC9" s="23" t="s">
        <v>27</v>
      </c>
      <c r="AD9" s="27">
        <f t="shared" si="1"/>
        <v>424.1910008545965</v>
      </c>
    </row>
    <row r="10" spans="1:30" ht="15" customHeight="1">
      <c r="A10" s="28">
        <v>5</v>
      </c>
      <c r="B10" s="30" t="s">
        <v>31</v>
      </c>
      <c r="C10" s="31" t="s">
        <v>150</v>
      </c>
      <c r="D10" s="27">
        <f t="shared" si="0"/>
        <v>1393.6946493529679</v>
      </c>
      <c r="E10" s="23">
        <v>263.37810300958159</v>
      </c>
      <c r="F10" s="23">
        <v>106.35483058214187</v>
      </c>
      <c r="G10" s="23">
        <v>215.45162947746365</v>
      </c>
      <c r="H10" s="23">
        <v>244.33646179557593</v>
      </c>
      <c r="I10" s="23">
        <v>83.981350351231171</v>
      </c>
      <c r="J10" s="32">
        <v>139.12886068569392</v>
      </c>
      <c r="K10" s="23" t="s">
        <v>27</v>
      </c>
      <c r="L10" s="23">
        <v>28.851050844192503</v>
      </c>
      <c r="M10" s="23">
        <v>124.47110020293296</v>
      </c>
      <c r="N10" s="23">
        <v>122.87038379905373</v>
      </c>
      <c r="O10" s="23">
        <v>25.785384322628378</v>
      </c>
      <c r="P10" s="32">
        <v>39.08549428247219</v>
      </c>
      <c r="Q10" s="32"/>
      <c r="R10" s="23">
        <v>8.4379999041557312</v>
      </c>
      <c r="S10" s="23">
        <v>18.306000113487244</v>
      </c>
      <c r="T10" s="23">
        <v>30.615000277757645</v>
      </c>
      <c r="U10" s="23">
        <v>96.603999821469188</v>
      </c>
      <c r="V10" s="23">
        <v>126.2249997202307</v>
      </c>
      <c r="W10" s="23">
        <v>716.68800032138824</v>
      </c>
      <c r="X10" s="23" t="s">
        <v>27</v>
      </c>
      <c r="Y10" s="23">
        <v>4.0510001182556152</v>
      </c>
      <c r="Z10" s="23">
        <v>7.7629998847842216</v>
      </c>
      <c r="AA10" s="23">
        <v>16.992999843787402</v>
      </c>
      <c r="AB10" s="23">
        <v>10.118000119924545</v>
      </c>
      <c r="AC10" s="23">
        <v>87</v>
      </c>
      <c r="AD10" s="27">
        <f t="shared" si="1"/>
        <v>1122.8010001252405</v>
      </c>
    </row>
    <row r="11" spans="1:30" ht="15" customHeight="1">
      <c r="A11" s="28">
        <v>6</v>
      </c>
      <c r="B11" s="30" t="s">
        <v>32</v>
      </c>
      <c r="C11" s="31" t="s">
        <v>149</v>
      </c>
      <c r="D11" s="27">
        <f t="shared" si="0"/>
        <v>484.74510682441183</v>
      </c>
      <c r="E11" s="23">
        <v>247.89896604728699</v>
      </c>
      <c r="F11" s="23" t="s">
        <v>27</v>
      </c>
      <c r="G11" s="23">
        <v>34.619553009510042</v>
      </c>
      <c r="H11" s="23">
        <v>130.99982031202316</v>
      </c>
      <c r="I11" s="23">
        <v>25.043235926628114</v>
      </c>
      <c r="J11" s="32">
        <v>46.183531528963556</v>
      </c>
      <c r="K11" s="23" t="s">
        <v>27</v>
      </c>
      <c r="L11" s="23" t="s">
        <v>27</v>
      </c>
      <c r="M11" s="23" t="s">
        <v>27</v>
      </c>
      <c r="N11" s="23" t="s">
        <v>27</v>
      </c>
      <c r="O11" s="23" t="s">
        <v>27</v>
      </c>
      <c r="P11" s="32" t="s">
        <v>27</v>
      </c>
      <c r="Q11" s="32"/>
      <c r="R11" s="23">
        <v>13.308000087738037</v>
      </c>
      <c r="S11" s="23" t="s">
        <v>27</v>
      </c>
      <c r="T11" s="23">
        <v>12.749000012874603</v>
      </c>
      <c r="U11" s="23">
        <v>66.654999684542418</v>
      </c>
      <c r="V11" s="23">
        <v>51.679999947547913</v>
      </c>
      <c r="W11" s="23">
        <v>290.01200026273727</v>
      </c>
      <c r="X11" s="23" t="s">
        <v>27</v>
      </c>
      <c r="Y11" s="23" t="s">
        <v>27</v>
      </c>
      <c r="Z11" s="23" t="s">
        <v>27</v>
      </c>
      <c r="AA11" s="23" t="s">
        <v>27</v>
      </c>
      <c r="AB11" s="23" t="s">
        <v>27</v>
      </c>
      <c r="AC11" s="23" t="s">
        <v>27</v>
      </c>
      <c r="AD11" s="27">
        <f t="shared" si="1"/>
        <v>434.40399999544024</v>
      </c>
    </row>
    <row r="12" spans="1:30" ht="15" customHeight="1">
      <c r="A12" s="28">
        <v>7</v>
      </c>
      <c r="B12" s="30" t="s">
        <v>33</v>
      </c>
      <c r="C12" s="31" t="s">
        <v>150</v>
      </c>
      <c r="D12" s="27">
        <f t="shared" si="0"/>
        <v>872.60367888218457</v>
      </c>
      <c r="E12" s="23" t="s">
        <v>27</v>
      </c>
      <c r="F12" s="23">
        <v>397.01487580387294</v>
      </c>
      <c r="G12" s="23" t="s">
        <v>27</v>
      </c>
      <c r="H12" s="23">
        <v>151.00591121524573</v>
      </c>
      <c r="I12" s="23">
        <v>45.380461229950193</v>
      </c>
      <c r="J12" s="32">
        <v>61.701623826180395</v>
      </c>
      <c r="K12" s="23" t="s">
        <v>27</v>
      </c>
      <c r="L12" s="23" t="s">
        <v>27</v>
      </c>
      <c r="M12" s="23">
        <v>68.110834724754099</v>
      </c>
      <c r="N12" s="23">
        <v>81.35068502458185</v>
      </c>
      <c r="O12" s="23">
        <v>34.322844816260037</v>
      </c>
      <c r="P12" s="32">
        <v>33.716442241339358</v>
      </c>
      <c r="Q12" s="32"/>
      <c r="R12" s="23" t="s">
        <v>27</v>
      </c>
      <c r="S12" s="23">
        <v>31.735999975353479</v>
      </c>
      <c r="T12" s="23" t="s">
        <v>27</v>
      </c>
      <c r="U12" s="23">
        <v>98.971999473869801</v>
      </c>
      <c r="V12" s="23">
        <v>54.500000115483999</v>
      </c>
      <c r="W12" s="23">
        <v>276.26899980008602</v>
      </c>
      <c r="X12" s="23" t="s">
        <v>27</v>
      </c>
      <c r="Y12" s="23" t="s">
        <v>27</v>
      </c>
      <c r="Z12" s="23">
        <v>2.8549999855458736</v>
      </c>
      <c r="AA12" s="23">
        <v>9.5279998425394297</v>
      </c>
      <c r="AB12" s="23">
        <v>11.168999997898936</v>
      </c>
      <c r="AC12" s="23">
        <v>66.765999972820282</v>
      </c>
      <c r="AD12" s="27">
        <f t="shared" si="1"/>
        <v>551.79499916359782</v>
      </c>
    </row>
    <row r="13" spans="1:30" ht="15" customHeight="1">
      <c r="A13" s="28">
        <v>8</v>
      </c>
      <c r="B13" s="30" t="s">
        <v>34</v>
      </c>
      <c r="C13" s="31" t="s">
        <v>151</v>
      </c>
      <c r="D13" s="27">
        <f t="shared" si="0"/>
        <v>3855.2736072499188</v>
      </c>
      <c r="E13" s="23">
        <v>873.60368533682822</v>
      </c>
      <c r="F13" s="23" t="s">
        <v>27</v>
      </c>
      <c r="G13" s="23" t="s">
        <v>27</v>
      </c>
      <c r="H13" s="23">
        <v>190.37680454657971</v>
      </c>
      <c r="I13" s="23">
        <v>70.124177795469762</v>
      </c>
      <c r="J13" s="32">
        <v>66.287756997075292</v>
      </c>
      <c r="K13" s="23">
        <v>1269.6821069953442</v>
      </c>
      <c r="L13" s="23" t="s">
        <v>27</v>
      </c>
      <c r="M13" s="23" t="s">
        <v>27</v>
      </c>
      <c r="N13" s="23">
        <v>738.70980772646521</v>
      </c>
      <c r="O13" s="23">
        <v>321.22982165509836</v>
      </c>
      <c r="P13" s="32">
        <v>325.25944619705785</v>
      </c>
      <c r="Q13" s="32"/>
      <c r="R13" s="23">
        <v>19.410000026226044</v>
      </c>
      <c r="S13" s="23" t="s">
        <v>27</v>
      </c>
      <c r="T13" s="23" t="s">
        <v>27</v>
      </c>
      <c r="U13" s="23">
        <v>57.39800026640296</v>
      </c>
      <c r="V13" s="23">
        <v>54.71399986743927</v>
      </c>
      <c r="W13" s="23">
        <v>226.69700016081333</v>
      </c>
      <c r="X13" s="23">
        <v>14.572999954223633</v>
      </c>
      <c r="Y13" s="23" t="s">
        <v>27</v>
      </c>
      <c r="Z13" s="23" t="s">
        <v>27</v>
      </c>
      <c r="AA13" s="23">
        <v>44.220999887213111</v>
      </c>
      <c r="AB13" s="23">
        <v>33.755999928340316</v>
      </c>
      <c r="AC13" s="23">
        <v>317.85700015723705</v>
      </c>
      <c r="AD13" s="27">
        <f t="shared" si="1"/>
        <v>768.62600024789572</v>
      </c>
    </row>
    <row r="14" spans="1:30" ht="15" customHeight="1">
      <c r="A14" s="28">
        <v>9</v>
      </c>
      <c r="B14" s="30" t="s">
        <v>35</v>
      </c>
      <c r="C14" s="31" t="s">
        <v>150</v>
      </c>
      <c r="D14" s="27">
        <f t="shared" si="0"/>
        <v>557.4425958426873</v>
      </c>
      <c r="E14" s="23" t="s">
        <v>27</v>
      </c>
      <c r="F14" s="23">
        <v>115.12928759195283</v>
      </c>
      <c r="G14" s="23">
        <v>114.90727204221953</v>
      </c>
      <c r="H14" s="23">
        <v>38.885599558055404</v>
      </c>
      <c r="I14" s="23">
        <v>50.999527839027344</v>
      </c>
      <c r="J14" s="32">
        <v>42.034412936672815</v>
      </c>
      <c r="K14" s="23" t="s">
        <v>27</v>
      </c>
      <c r="L14" s="23" t="s">
        <v>27</v>
      </c>
      <c r="M14" s="23">
        <v>106.56348042226583</v>
      </c>
      <c r="N14" s="23">
        <v>54.538408340378666</v>
      </c>
      <c r="O14" s="23">
        <v>18.451370054334401</v>
      </c>
      <c r="P14" s="32">
        <v>15.933237057780481</v>
      </c>
      <c r="Q14" s="32"/>
      <c r="R14" s="23" t="s">
        <v>27</v>
      </c>
      <c r="S14" s="23">
        <v>12.625000022351742</v>
      </c>
      <c r="T14" s="23">
        <v>35.676000243984163</v>
      </c>
      <c r="U14" s="23">
        <v>25.669999778270721</v>
      </c>
      <c r="V14" s="23">
        <v>64.331999922171235</v>
      </c>
      <c r="W14" s="23">
        <v>194.07499950192869</v>
      </c>
      <c r="X14" s="23" t="s">
        <v>27</v>
      </c>
      <c r="Y14" s="23" t="s">
        <v>27</v>
      </c>
      <c r="Z14" s="23">
        <v>9.8129999469965696</v>
      </c>
      <c r="AA14" s="23">
        <v>8.3729999559000134</v>
      </c>
      <c r="AB14" s="23">
        <v>7.7479999773204327</v>
      </c>
      <c r="AC14" s="23">
        <v>37</v>
      </c>
      <c r="AD14" s="27">
        <f t="shared" si="1"/>
        <v>395.31199934892356</v>
      </c>
    </row>
    <row r="15" spans="1:30" ht="15" customHeight="1">
      <c r="A15" s="28">
        <v>10</v>
      </c>
      <c r="B15" s="30" t="s">
        <v>36</v>
      </c>
      <c r="C15" s="31" t="s">
        <v>151</v>
      </c>
      <c r="D15" s="27">
        <f t="shared" si="0"/>
        <v>1314.7489973945881</v>
      </c>
      <c r="E15" s="23">
        <v>182.39967450314759</v>
      </c>
      <c r="F15" s="23">
        <v>126.30189168380201</v>
      </c>
      <c r="G15" s="23" t="s">
        <v>27</v>
      </c>
      <c r="H15" s="23">
        <v>111.7296688996628</v>
      </c>
      <c r="I15" s="23">
        <v>17.80274090784788</v>
      </c>
      <c r="J15" s="32">
        <v>31.825411692925726</v>
      </c>
      <c r="K15" s="23" t="s">
        <v>27</v>
      </c>
      <c r="L15" s="23" t="s">
        <v>27</v>
      </c>
      <c r="M15" s="23">
        <v>462.43840024231372</v>
      </c>
      <c r="N15" s="23">
        <v>136.94448390022293</v>
      </c>
      <c r="O15" s="23">
        <v>113.23053165904433</v>
      </c>
      <c r="P15" s="32">
        <v>132.07619390562095</v>
      </c>
      <c r="Q15" s="32"/>
      <c r="R15" s="23">
        <v>10.694999992847443</v>
      </c>
      <c r="S15" s="23">
        <v>11.317999695427716</v>
      </c>
      <c r="T15" s="23" t="s">
        <v>27</v>
      </c>
      <c r="U15" s="23">
        <v>39.331000208854675</v>
      </c>
      <c r="V15" s="23">
        <v>35.21499995701015</v>
      </c>
      <c r="W15" s="23">
        <v>194.63099996000528</v>
      </c>
      <c r="X15" s="23" t="s">
        <v>27</v>
      </c>
      <c r="Y15" s="23" t="s">
        <v>27</v>
      </c>
      <c r="Z15" s="23">
        <v>21.637000260874629</v>
      </c>
      <c r="AA15" s="23">
        <v>17.99799997266382</v>
      </c>
      <c r="AB15" s="23">
        <v>31.88100016862154</v>
      </c>
      <c r="AC15" s="23">
        <v>238.9249999858439</v>
      </c>
      <c r="AD15" s="27">
        <f t="shared" si="1"/>
        <v>601.63100020214915</v>
      </c>
    </row>
    <row r="16" spans="1:30" ht="15" customHeight="1">
      <c r="A16" s="28">
        <v>11</v>
      </c>
      <c r="B16" s="30" t="s">
        <v>37</v>
      </c>
      <c r="C16" s="31" t="s">
        <v>150</v>
      </c>
      <c r="D16" s="27">
        <f t="shared" si="0"/>
        <v>713.56559178972282</v>
      </c>
      <c r="E16" s="23" t="s">
        <v>27</v>
      </c>
      <c r="F16" s="23">
        <v>132.721680257082</v>
      </c>
      <c r="G16" s="23">
        <v>84.95680609370396</v>
      </c>
      <c r="H16" s="23">
        <v>67.193170758455992</v>
      </c>
      <c r="I16" s="23">
        <v>34.284498917758462</v>
      </c>
      <c r="J16" s="32">
        <v>33.89525383451776</v>
      </c>
      <c r="K16" s="23" t="s">
        <v>27</v>
      </c>
      <c r="L16" s="23" t="s">
        <v>27</v>
      </c>
      <c r="M16" s="23">
        <v>243.39854368820042</v>
      </c>
      <c r="N16" s="23">
        <v>54.509442007787527</v>
      </c>
      <c r="O16" s="23">
        <v>29.267770077720286</v>
      </c>
      <c r="P16" s="32">
        <v>33.338426154496467</v>
      </c>
      <c r="Q16" s="32"/>
      <c r="R16" s="23" t="s">
        <v>27</v>
      </c>
      <c r="S16" s="23">
        <v>11.769999712705612</v>
      </c>
      <c r="T16" s="23">
        <v>16.582999826408923</v>
      </c>
      <c r="U16" s="23">
        <v>30.715999975800514</v>
      </c>
      <c r="V16" s="23">
        <v>52.5259999781847</v>
      </c>
      <c r="W16" s="23">
        <v>176.70400002598763</v>
      </c>
      <c r="X16" s="23" t="s">
        <v>27</v>
      </c>
      <c r="Y16" s="23" t="s">
        <v>27</v>
      </c>
      <c r="Z16" s="23">
        <v>16.836000009439886</v>
      </c>
      <c r="AA16" s="23">
        <v>9.2040000315755606</v>
      </c>
      <c r="AB16" s="23">
        <v>9.5200000517070293</v>
      </c>
      <c r="AC16" s="23">
        <v>66</v>
      </c>
      <c r="AD16" s="27">
        <f t="shared" si="1"/>
        <v>389.85899961180985</v>
      </c>
    </row>
    <row r="17" spans="1:30" ht="15" customHeight="1">
      <c r="A17" s="28">
        <v>12</v>
      </c>
      <c r="B17" s="30" t="s">
        <v>38</v>
      </c>
      <c r="C17" s="31" t="s">
        <v>149</v>
      </c>
      <c r="D17" s="27">
        <f t="shared" si="0"/>
        <v>283.50382606306817</v>
      </c>
      <c r="E17" s="23" t="s">
        <v>27</v>
      </c>
      <c r="F17" s="23">
        <v>142.59311952018737</v>
      </c>
      <c r="G17" s="23" t="s">
        <v>27</v>
      </c>
      <c r="H17" s="23">
        <v>85.680501081652935</v>
      </c>
      <c r="I17" s="23">
        <v>20.004130031824111</v>
      </c>
      <c r="J17" s="32">
        <v>35.226075429403757</v>
      </c>
      <c r="K17" s="23" t="s">
        <v>27</v>
      </c>
      <c r="L17" s="23" t="s">
        <v>27</v>
      </c>
      <c r="M17" s="23" t="s">
        <v>27</v>
      </c>
      <c r="N17" s="23" t="s">
        <v>27</v>
      </c>
      <c r="O17" s="23" t="s">
        <v>27</v>
      </c>
      <c r="P17" s="32" t="s">
        <v>27</v>
      </c>
      <c r="Q17" s="32"/>
      <c r="R17" s="23" t="s">
        <v>27</v>
      </c>
      <c r="S17" s="23">
        <v>19.857000350952148</v>
      </c>
      <c r="T17" s="23" t="s">
        <v>27</v>
      </c>
      <c r="U17" s="23">
        <v>69.24100075289607</v>
      </c>
      <c r="V17" s="23">
        <v>45.469999924302101</v>
      </c>
      <c r="W17" s="23">
        <v>234.9729997178074</v>
      </c>
      <c r="X17" s="23" t="s">
        <v>27</v>
      </c>
      <c r="Y17" s="23" t="s">
        <v>27</v>
      </c>
      <c r="Z17" s="23" t="s">
        <v>27</v>
      </c>
      <c r="AA17" s="23" t="s">
        <v>27</v>
      </c>
      <c r="AB17" s="23" t="s">
        <v>27</v>
      </c>
      <c r="AC17" s="23" t="s">
        <v>27</v>
      </c>
      <c r="AD17" s="27">
        <f t="shared" si="1"/>
        <v>369.54100074595772</v>
      </c>
    </row>
    <row r="18" spans="1:30" ht="15" customHeight="1">
      <c r="A18" s="28">
        <v>13</v>
      </c>
      <c r="B18" s="30" t="s">
        <v>39</v>
      </c>
      <c r="C18" s="31" t="s">
        <v>149</v>
      </c>
      <c r="D18" s="27">
        <f t="shared" si="0"/>
        <v>430.22123637995321</v>
      </c>
      <c r="E18" s="23" t="s">
        <v>27</v>
      </c>
      <c r="F18" s="23">
        <v>201.90420323598386</v>
      </c>
      <c r="G18" s="23" t="s">
        <v>27</v>
      </c>
      <c r="H18" s="23">
        <v>111.37940900173224</v>
      </c>
      <c r="I18" s="23">
        <v>67.162502461761235</v>
      </c>
      <c r="J18" s="32">
        <v>49.775121680475856</v>
      </c>
      <c r="K18" s="23" t="s">
        <v>27</v>
      </c>
      <c r="L18" s="23" t="s">
        <v>27</v>
      </c>
      <c r="M18" s="23" t="s">
        <v>27</v>
      </c>
      <c r="N18" s="23" t="s">
        <v>27</v>
      </c>
      <c r="O18" s="23" t="s">
        <v>27</v>
      </c>
      <c r="P18" s="32" t="s">
        <v>27</v>
      </c>
      <c r="Q18" s="32"/>
      <c r="R18" s="23" t="s">
        <v>27</v>
      </c>
      <c r="S18" s="23">
        <v>27.505000233650208</v>
      </c>
      <c r="T18" s="23" t="s">
        <v>27</v>
      </c>
      <c r="U18" s="23">
        <v>76.194999990053475</v>
      </c>
      <c r="V18" s="23">
        <v>141.51800061762333</v>
      </c>
      <c r="W18" s="23">
        <v>316.66299958527088</v>
      </c>
      <c r="X18" s="23" t="s">
        <v>27</v>
      </c>
      <c r="Y18" s="23" t="s">
        <v>27</v>
      </c>
      <c r="Z18" s="23" t="s">
        <v>27</v>
      </c>
      <c r="AA18" s="23" t="s">
        <v>27</v>
      </c>
      <c r="AB18" s="23" t="s">
        <v>27</v>
      </c>
      <c r="AC18" s="23" t="s">
        <v>27</v>
      </c>
      <c r="AD18" s="27">
        <f t="shared" si="1"/>
        <v>561.88100042659789</v>
      </c>
    </row>
    <row r="19" spans="1:30" ht="15" customHeight="1">
      <c r="A19" s="28">
        <v>14</v>
      </c>
      <c r="B19" s="30" t="s">
        <v>40</v>
      </c>
      <c r="C19" s="31" t="s">
        <v>149</v>
      </c>
      <c r="D19" s="27">
        <f t="shared" si="0"/>
        <v>455.73322379818364</v>
      </c>
      <c r="E19" s="23" t="s">
        <v>27</v>
      </c>
      <c r="F19" s="23">
        <v>149.55747574322299</v>
      </c>
      <c r="G19" s="23">
        <v>47.075393754661086</v>
      </c>
      <c r="H19" s="23">
        <v>94.512377421975131</v>
      </c>
      <c r="I19" s="23">
        <v>60.665862522482875</v>
      </c>
      <c r="J19" s="32">
        <v>103.92211435584153</v>
      </c>
      <c r="K19" s="23" t="s">
        <v>27</v>
      </c>
      <c r="L19" s="23" t="s">
        <v>27</v>
      </c>
      <c r="M19" s="23" t="s">
        <v>27</v>
      </c>
      <c r="N19" s="23" t="s">
        <v>27</v>
      </c>
      <c r="O19" s="23" t="s">
        <v>27</v>
      </c>
      <c r="P19" s="32" t="s">
        <v>27</v>
      </c>
      <c r="Q19" s="32"/>
      <c r="R19" s="23" t="s">
        <v>27</v>
      </c>
      <c r="S19" s="23">
        <v>31.321000190451741</v>
      </c>
      <c r="T19" s="23">
        <v>17.596999943256378</v>
      </c>
      <c r="U19" s="23">
        <v>77.272000420838594</v>
      </c>
      <c r="V19" s="23">
        <v>144.25899909436703</v>
      </c>
      <c r="W19" s="23">
        <v>713.02300042659044</v>
      </c>
      <c r="X19" s="23" t="s">
        <v>27</v>
      </c>
      <c r="Y19" s="23" t="s">
        <v>27</v>
      </c>
      <c r="Z19" s="23" t="s">
        <v>27</v>
      </c>
      <c r="AA19" s="23" t="s">
        <v>27</v>
      </c>
      <c r="AB19" s="23" t="s">
        <v>27</v>
      </c>
      <c r="AC19" s="23" t="s">
        <v>27</v>
      </c>
      <c r="AD19" s="27">
        <f t="shared" si="1"/>
        <v>983.47200007550418</v>
      </c>
    </row>
    <row r="20" spans="1:30" ht="15" customHeight="1">
      <c r="A20" s="28">
        <v>15</v>
      </c>
      <c r="B20" s="30" t="s">
        <v>41</v>
      </c>
      <c r="C20" s="31" t="s">
        <v>157</v>
      </c>
      <c r="D20" s="27">
        <f t="shared" si="0"/>
        <v>2037.2975000944382</v>
      </c>
      <c r="E20" s="23">
        <v>837.53975045967104</v>
      </c>
      <c r="F20" s="23">
        <v>23.180188743591309</v>
      </c>
      <c r="G20" s="23">
        <v>61.268621241748335</v>
      </c>
      <c r="H20" s="23">
        <v>355.14174755225332</v>
      </c>
      <c r="I20" s="23">
        <v>73.149480253159993</v>
      </c>
      <c r="J20" s="32">
        <v>93.082912615639827</v>
      </c>
      <c r="K20" s="23">
        <v>314.42868324232103</v>
      </c>
      <c r="L20" s="23" t="s">
        <v>27</v>
      </c>
      <c r="M20" s="23">
        <v>77.352079730115832</v>
      </c>
      <c r="N20" s="23">
        <v>103.58088968425989</v>
      </c>
      <c r="O20" s="23">
        <f>37.2089542784095+0.5</f>
        <v>37.7089542784095</v>
      </c>
      <c r="P20" s="32">
        <v>60.864192293268303</v>
      </c>
      <c r="Q20" s="32"/>
      <c r="R20" s="23">
        <v>15.679999709129333</v>
      </c>
      <c r="S20" s="23">
        <v>1.4270000457763672</v>
      </c>
      <c r="T20" s="23">
        <v>6.3849999085068703</v>
      </c>
      <c r="U20" s="23">
        <v>59.600000267848372</v>
      </c>
      <c r="V20" s="23">
        <v>60.332001015543938</v>
      </c>
      <c r="W20" s="23">
        <v>329.56699997931719</v>
      </c>
      <c r="X20" s="23">
        <v>4.192000150680542</v>
      </c>
      <c r="Y20" s="23" t="s">
        <v>27</v>
      </c>
      <c r="Z20" s="23">
        <v>5.4060001038014889</v>
      </c>
      <c r="AA20" s="23">
        <v>10.299999997019768</v>
      </c>
      <c r="AB20" s="23">
        <v>9.2900000065565109</v>
      </c>
      <c r="AC20" s="23">
        <v>101.28899995982647</v>
      </c>
      <c r="AD20" s="27">
        <f t="shared" si="1"/>
        <v>603.46800114400685</v>
      </c>
    </row>
    <row r="21" spans="1:30" ht="15" customHeight="1">
      <c r="A21" s="28">
        <v>16</v>
      </c>
      <c r="B21" s="30" t="s">
        <v>42</v>
      </c>
      <c r="C21" s="31" t="s">
        <v>149</v>
      </c>
      <c r="D21" s="27">
        <f t="shared" si="0"/>
        <v>463.94888696148593</v>
      </c>
      <c r="E21" s="23" t="s">
        <v>27</v>
      </c>
      <c r="F21" s="23">
        <v>143.23044976991415</v>
      </c>
      <c r="G21" s="23" t="s">
        <v>27</v>
      </c>
      <c r="H21" s="23">
        <v>198.68249303263426</v>
      </c>
      <c r="I21" s="23">
        <v>48.69350192657113</v>
      </c>
      <c r="J21" s="32">
        <v>73.342442232366423</v>
      </c>
      <c r="K21" s="23" t="s">
        <v>27</v>
      </c>
      <c r="L21" s="23" t="s">
        <v>27</v>
      </c>
      <c r="M21" s="23" t="s">
        <v>27</v>
      </c>
      <c r="N21" s="23" t="s">
        <v>27</v>
      </c>
      <c r="O21" s="23" t="s">
        <v>27</v>
      </c>
      <c r="P21" s="32" t="s">
        <v>27</v>
      </c>
      <c r="Q21" s="32"/>
      <c r="R21" s="23" t="s">
        <v>27</v>
      </c>
      <c r="S21" s="23">
        <v>17.968000456690788</v>
      </c>
      <c r="T21" s="23" t="s">
        <v>27</v>
      </c>
      <c r="U21" s="23">
        <v>91.136999666690826</v>
      </c>
      <c r="V21" s="23">
        <v>120.95700018107891</v>
      </c>
      <c r="W21" s="23">
        <v>517.12799969315529</v>
      </c>
      <c r="X21" s="23" t="s">
        <v>27</v>
      </c>
      <c r="Y21" s="23" t="s">
        <v>27</v>
      </c>
      <c r="Z21" s="23" t="s">
        <v>27</v>
      </c>
      <c r="AA21" s="23" t="s">
        <v>27</v>
      </c>
      <c r="AB21" s="23" t="s">
        <v>27</v>
      </c>
      <c r="AC21" s="23" t="s">
        <v>27</v>
      </c>
      <c r="AD21" s="27">
        <f t="shared" si="1"/>
        <v>747.18999999761581</v>
      </c>
    </row>
    <row r="22" spans="1:30" ht="15" customHeight="1">
      <c r="A22" s="28">
        <v>17</v>
      </c>
      <c r="B22" s="30" t="s">
        <v>43</v>
      </c>
      <c r="C22" s="31" t="s">
        <v>150</v>
      </c>
      <c r="D22" s="27">
        <f t="shared" si="0"/>
        <v>525.66409887752229</v>
      </c>
      <c r="E22" s="23">
        <v>36.30493702125549</v>
      </c>
      <c r="F22" s="23">
        <v>137.15581735348701</v>
      </c>
      <c r="G22" s="23">
        <v>14.664694983810186</v>
      </c>
      <c r="H22" s="23">
        <v>115.79525640271603</v>
      </c>
      <c r="I22" s="23">
        <v>27.781704019308091</v>
      </c>
      <c r="J22" s="32">
        <v>51.326986084782291</v>
      </c>
      <c r="K22" s="23" t="s">
        <v>27</v>
      </c>
      <c r="L22" s="23" t="s">
        <v>27</v>
      </c>
      <c r="M22" s="23">
        <v>4.8934801697731016</v>
      </c>
      <c r="N22" s="23">
        <v>108.62973166865483</v>
      </c>
      <c r="O22" s="23">
        <v>10.113452194690705</v>
      </c>
      <c r="P22" s="32">
        <v>18.998038979044484</v>
      </c>
      <c r="Q22" s="32"/>
      <c r="R22" s="23">
        <v>2.5469999313354492</v>
      </c>
      <c r="S22" s="23">
        <v>15.563000053167343</v>
      </c>
      <c r="T22" s="23">
        <v>4.6289999932050705</v>
      </c>
      <c r="U22" s="23">
        <v>73.846000507473946</v>
      </c>
      <c r="V22" s="23">
        <v>76.74500048160553</v>
      </c>
      <c r="W22" s="23">
        <v>386.73299982771277</v>
      </c>
      <c r="X22" s="23" t="s">
        <v>27</v>
      </c>
      <c r="Y22" s="23" t="s">
        <v>27</v>
      </c>
      <c r="Z22" s="23">
        <v>0.5910000205039978</v>
      </c>
      <c r="AA22" s="23">
        <v>16.215999983251095</v>
      </c>
      <c r="AB22" s="23">
        <v>5.1100000850856304</v>
      </c>
      <c r="AC22" s="23">
        <v>49.523999974131584</v>
      </c>
      <c r="AD22" s="27">
        <f t="shared" si="1"/>
        <v>631.50400085747242</v>
      </c>
    </row>
    <row r="23" spans="1:30" ht="15" customHeight="1">
      <c r="A23" s="28">
        <v>18</v>
      </c>
      <c r="B23" s="30" t="s">
        <v>44</v>
      </c>
      <c r="C23" s="31" t="s">
        <v>150</v>
      </c>
      <c r="D23" s="27">
        <f t="shared" si="0"/>
        <v>837.46993004548506</v>
      </c>
      <c r="E23" s="23" t="s">
        <v>27</v>
      </c>
      <c r="F23" s="23">
        <v>196.15617712217571</v>
      </c>
      <c r="G23" s="23">
        <v>63.617646448135375</v>
      </c>
      <c r="H23" s="23">
        <v>94.973019108891492</v>
      </c>
      <c r="I23" s="23">
        <v>60.832911251373588</v>
      </c>
      <c r="J23" s="32">
        <v>154.65883139265202</v>
      </c>
      <c r="K23" s="23" t="s">
        <v>27</v>
      </c>
      <c r="L23" s="23" t="s">
        <v>27</v>
      </c>
      <c r="M23" s="23">
        <v>79.76438216692209</v>
      </c>
      <c r="N23" s="23">
        <v>94.401753053426745</v>
      </c>
      <c r="O23" s="23">
        <v>46.993695259168746</v>
      </c>
      <c r="P23" s="32">
        <v>46.071514242739212</v>
      </c>
      <c r="Q23" s="32"/>
      <c r="R23" s="23" t="s">
        <v>27</v>
      </c>
      <c r="S23" s="23">
        <v>22.424000531435013</v>
      </c>
      <c r="T23" s="23">
        <v>13.13599967956543</v>
      </c>
      <c r="U23" s="23">
        <v>42.346000403165817</v>
      </c>
      <c r="V23" s="23">
        <v>91.187000248581171</v>
      </c>
      <c r="W23" s="23">
        <v>795.34899994730949</v>
      </c>
      <c r="X23" s="23" t="s">
        <v>27</v>
      </c>
      <c r="Y23" s="23" t="s">
        <v>27</v>
      </c>
      <c r="Z23" s="23">
        <v>5.1009999439120293</v>
      </c>
      <c r="AA23" s="23">
        <v>10.58899987116456</v>
      </c>
      <c r="AB23" s="23">
        <v>13.421000100672245</v>
      </c>
      <c r="AC23" s="23">
        <v>84.086999997496605</v>
      </c>
      <c r="AD23" s="27">
        <f t="shared" si="1"/>
        <v>1077.6400007233024</v>
      </c>
    </row>
    <row r="24" spans="1:30" ht="15" customHeight="1">
      <c r="A24" s="28">
        <v>19</v>
      </c>
      <c r="B24" s="30" t="s">
        <v>45</v>
      </c>
      <c r="C24" s="31" t="s">
        <v>151</v>
      </c>
      <c r="D24" s="27">
        <f t="shared" si="0"/>
        <v>2145.4295827545825</v>
      </c>
      <c r="E24" s="23" t="s">
        <v>27</v>
      </c>
      <c r="F24" s="23">
        <v>110.62483217072487</v>
      </c>
      <c r="G24" s="23">
        <v>64.065715329438447</v>
      </c>
      <c r="H24" s="23">
        <v>29.714800820142031</v>
      </c>
      <c r="I24" s="23">
        <v>19.538856924235819</v>
      </c>
      <c r="J24" s="32">
        <v>27.856475944779724</v>
      </c>
      <c r="K24" s="23">
        <v>791.99119816696646</v>
      </c>
      <c r="L24" s="23">
        <v>31.410000622272491</v>
      </c>
      <c r="M24" s="23">
        <v>558.32421542945133</v>
      </c>
      <c r="N24" s="23">
        <v>198.38489586349203</v>
      </c>
      <c r="O24" s="23">
        <v>141.91464355625212</v>
      </c>
      <c r="P24" s="32">
        <v>171.60394792682692</v>
      </c>
      <c r="Q24" s="32"/>
      <c r="R24" s="23" t="s">
        <v>27</v>
      </c>
      <c r="S24" s="23">
        <v>10.198000192642212</v>
      </c>
      <c r="T24" s="23">
        <v>9.2839999124407768</v>
      </c>
      <c r="U24" s="23">
        <v>20.853999935090542</v>
      </c>
      <c r="V24" s="23">
        <v>33.487999826669693</v>
      </c>
      <c r="W24" s="23">
        <v>155.76500010490417</v>
      </c>
      <c r="X24" s="23">
        <v>9.5339998006820679</v>
      </c>
      <c r="Y24" s="23">
        <v>0.69800001382827759</v>
      </c>
      <c r="Z24" s="23">
        <v>30.468999786302447</v>
      </c>
      <c r="AA24" s="23">
        <v>34.677999978885055</v>
      </c>
      <c r="AB24" s="23">
        <v>30.132000220939517</v>
      </c>
      <c r="AC24" s="23">
        <v>260.24599999189377</v>
      </c>
      <c r="AD24" s="27">
        <f t="shared" si="1"/>
        <v>595.34599976427853</v>
      </c>
    </row>
    <row r="25" spans="1:30" ht="15" customHeight="1">
      <c r="A25" s="28">
        <v>20</v>
      </c>
      <c r="B25" s="30" t="s">
        <v>46</v>
      </c>
      <c r="C25" s="31" t="s">
        <v>149</v>
      </c>
      <c r="D25" s="27">
        <f t="shared" si="0"/>
        <v>160.39243717929199</v>
      </c>
      <c r="E25" s="23" t="s">
        <v>27</v>
      </c>
      <c r="F25" s="23">
        <v>35.46483436381817</v>
      </c>
      <c r="G25" s="23">
        <v>22.927267475843429</v>
      </c>
      <c r="H25" s="23">
        <v>62.577787359938029</v>
      </c>
      <c r="I25" s="23">
        <v>12.629376753509044</v>
      </c>
      <c r="J25" s="32">
        <v>26.793171226183329</v>
      </c>
      <c r="K25" s="23" t="s">
        <v>27</v>
      </c>
      <c r="L25" s="23" t="s">
        <v>27</v>
      </c>
      <c r="M25" s="23" t="s">
        <v>27</v>
      </c>
      <c r="N25" s="23" t="s">
        <v>27</v>
      </c>
      <c r="O25" s="23" t="s">
        <v>27</v>
      </c>
      <c r="P25" s="32" t="s">
        <v>27</v>
      </c>
      <c r="Q25" s="32"/>
      <c r="R25" s="23" t="s">
        <v>27</v>
      </c>
      <c r="S25" s="23">
        <v>12.52700012922287</v>
      </c>
      <c r="T25" s="23">
        <v>19.18999969959259</v>
      </c>
      <c r="U25" s="23">
        <v>38.978999543935061</v>
      </c>
      <c r="V25" s="23">
        <v>41.146999299526215</v>
      </c>
      <c r="W25" s="23">
        <v>223.80299973487854</v>
      </c>
      <c r="X25" s="23" t="s">
        <v>27</v>
      </c>
      <c r="Y25" s="23" t="s">
        <v>27</v>
      </c>
      <c r="Z25" s="23" t="s">
        <v>27</v>
      </c>
      <c r="AA25" s="23" t="s">
        <v>27</v>
      </c>
      <c r="AB25" s="23" t="s">
        <v>27</v>
      </c>
      <c r="AC25" s="23" t="s">
        <v>27</v>
      </c>
      <c r="AD25" s="27">
        <f t="shared" si="1"/>
        <v>335.64599840715528</v>
      </c>
    </row>
    <row r="26" spans="1:30" ht="15" customHeight="1">
      <c r="A26" s="28">
        <v>21</v>
      </c>
      <c r="B26" s="30" t="s">
        <v>47</v>
      </c>
      <c r="C26" s="31" t="s">
        <v>149</v>
      </c>
      <c r="D26" s="27">
        <f t="shared" si="0"/>
        <v>660.36672762413195</v>
      </c>
      <c r="E26" s="23">
        <v>385.42725000000002</v>
      </c>
      <c r="F26" s="23" t="s">
        <v>27</v>
      </c>
      <c r="G26" s="23" t="s">
        <v>27</v>
      </c>
      <c r="H26" s="23">
        <v>237.01958946350217</v>
      </c>
      <c r="I26" s="23">
        <v>13.837283054009079</v>
      </c>
      <c r="J26" s="32">
        <v>24.08260510662069</v>
      </c>
      <c r="K26" s="23" t="s">
        <v>27</v>
      </c>
      <c r="L26" s="23" t="s">
        <v>27</v>
      </c>
      <c r="M26" s="23" t="s">
        <v>27</v>
      </c>
      <c r="N26" s="23" t="s">
        <v>27</v>
      </c>
      <c r="O26" s="23" t="s">
        <v>27</v>
      </c>
      <c r="P26" s="32" t="s">
        <v>27</v>
      </c>
      <c r="Q26" s="32"/>
      <c r="R26" s="23">
        <v>14.625</v>
      </c>
      <c r="S26" s="23" t="s">
        <v>27</v>
      </c>
      <c r="T26" s="23" t="s">
        <v>27</v>
      </c>
      <c r="U26" s="23">
        <v>62.64300000667572</v>
      </c>
      <c r="V26" s="23">
        <v>30.678000152111053</v>
      </c>
      <c r="W26" s="23">
        <v>158.15800041891634</v>
      </c>
      <c r="X26" s="23" t="s">
        <v>27</v>
      </c>
      <c r="Y26" s="23" t="s">
        <v>27</v>
      </c>
      <c r="Z26" s="23" t="s">
        <v>27</v>
      </c>
      <c r="AA26" s="23" t="s">
        <v>27</v>
      </c>
      <c r="AB26" s="23" t="s">
        <v>27</v>
      </c>
      <c r="AC26" s="23" t="s">
        <v>27</v>
      </c>
      <c r="AD26" s="27">
        <f t="shared" si="1"/>
        <v>266.10400057770312</v>
      </c>
    </row>
    <row r="27" spans="1:30" ht="15" customHeight="1">
      <c r="A27" s="28">
        <v>22</v>
      </c>
      <c r="B27" s="30" t="s">
        <v>48</v>
      </c>
      <c r="C27" s="31" t="s">
        <v>149</v>
      </c>
      <c r="D27" s="27">
        <f t="shared" si="0"/>
        <v>1138.3929867435745</v>
      </c>
      <c r="E27" s="23">
        <v>494.71824587917325</v>
      </c>
      <c r="F27" s="23">
        <v>85.40327367793769</v>
      </c>
      <c r="G27" s="23">
        <v>62.920804129347204</v>
      </c>
      <c r="H27" s="23">
        <v>261.377862688981</v>
      </c>
      <c r="I27" s="23">
        <v>87.623252315446734</v>
      </c>
      <c r="J27" s="32">
        <v>146.34954805268873</v>
      </c>
      <c r="K27" s="23" t="s">
        <v>27</v>
      </c>
      <c r="L27" s="23" t="s">
        <v>27</v>
      </c>
      <c r="M27" s="23" t="s">
        <v>27</v>
      </c>
      <c r="N27" s="23" t="s">
        <v>27</v>
      </c>
      <c r="O27" s="23" t="s">
        <v>27</v>
      </c>
      <c r="P27" s="32" t="s">
        <v>27</v>
      </c>
      <c r="Q27" s="32"/>
      <c r="R27" s="23">
        <v>32.147000432014465</v>
      </c>
      <c r="S27" s="23">
        <v>18.769000412896276</v>
      </c>
      <c r="T27" s="23">
        <v>11.72100006788969</v>
      </c>
      <c r="U27" s="23">
        <v>85.336000492796302</v>
      </c>
      <c r="V27" s="23">
        <v>111.9949991479516</v>
      </c>
      <c r="W27" s="23">
        <v>681.28500011563301</v>
      </c>
      <c r="X27" s="23" t="s">
        <v>27</v>
      </c>
      <c r="Y27" s="23" t="s">
        <v>27</v>
      </c>
      <c r="Z27" s="23" t="s">
        <v>27</v>
      </c>
      <c r="AA27" s="23" t="s">
        <v>27</v>
      </c>
      <c r="AB27" s="23" t="s">
        <v>27</v>
      </c>
      <c r="AC27" s="23" t="s">
        <v>27</v>
      </c>
      <c r="AD27" s="27">
        <f t="shared" si="1"/>
        <v>941.25300066918135</v>
      </c>
    </row>
    <row r="28" spans="1:30" ht="15" customHeight="1">
      <c r="A28" s="28">
        <v>23</v>
      </c>
      <c r="B28" s="30" t="s">
        <v>49</v>
      </c>
      <c r="C28" s="31" t="s">
        <v>149</v>
      </c>
      <c r="D28" s="27">
        <f t="shared" si="0"/>
        <v>399.30093675776561</v>
      </c>
      <c r="E28" s="23" t="s">
        <v>27</v>
      </c>
      <c r="F28" s="23">
        <v>113.43477445751428</v>
      </c>
      <c r="G28" s="23" t="s">
        <v>27</v>
      </c>
      <c r="H28" s="23">
        <v>141.13886218811572</v>
      </c>
      <c r="I28" s="23">
        <v>50.673601017713544</v>
      </c>
      <c r="J28" s="32">
        <v>94.053699094422058</v>
      </c>
      <c r="K28" s="23" t="s">
        <v>27</v>
      </c>
      <c r="L28" s="23" t="s">
        <v>27</v>
      </c>
      <c r="M28" s="23" t="s">
        <v>27</v>
      </c>
      <c r="N28" s="23" t="s">
        <v>27</v>
      </c>
      <c r="O28" s="23" t="s">
        <v>27</v>
      </c>
      <c r="P28" s="32" t="s">
        <v>27</v>
      </c>
      <c r="Q28" s="32"/>
      <c r="R28" s="23" t="s">
        <v>27</v>
      </c>
      <c r="S28" s="23">
        <v>23.715000301599503</v>
      </c>
      <c r="T28" s="23" t="s">
        <v>27</v>
      </c>
      <c r="U28" s="23">
        <v>95.608000919222832</v>
      </c>
      <c r="V28" s="23">
        <v>95.79399961233139</v>
      </c>
      <c r="W28" s="23">
        <v>559.13299988210201</v>
      </c>
      <c r="X28" s="23" t="s">
        <v>27</v>
      </c>
      <c r="Y28" s="23" t="s">
        <v>27</v>
      </c>
      <c r="Z28" s="23" t="s">
        <v>27</v>
      </c>
      <c r="AA28" s="23" t="s">
        <v>27</v>
      </c>
      <c r="AB28" s="23" t="s">
        <v>27</v>
      </c>
      <c r="AC28" s="23" t="s">
        <v>27</v>
      </c>
      <c r="AD28" s="27">
        <f t="shared" si="1"/>
        <v>774.25000071525574</v>
      </c>
    </row>
    <row r="29" spans="1:30" ht="15" customHeight="1">
      <c r="A29" s="28">
        <v>24</v>
      </c>
      <c r="B29" s="30" t="s">
        <v>50</v>
      </c>
      <c r="C29" s="31" t="s">
        <v>157</v>
      </c>
      <c r="D29" s="27">
        <f t="shared" si="0"/>
        <v>2308.0154354192991</v>
      </c>
      <c r="E29" s="23">
        <v>365.62021193504336</v>
      </c>
      <c r="F29" s="23">
        <v>442.02857855829598</v>
      </c>
      <c r="G29" s="23">
        <v>33.769150285720826</v>
      </c>
      <c r="H29" s="23">
        <v>179.82215844006092</v>
      </c>
      <c r="I29" s="23">
        <f>115.048688625038-2.5</f>
        <v>112.548688625038</v>
      </c>
      <c r="J29" s="32">
        <v>120.86273572647775</v>
      </c>
      <c r="K29" s="23">
        <v>104.43405985069275</v>
      </c>
      <c r="L29" s="23">
        <v>58.050223330020906</v>
      </c>
      <c r="M29" s="23">
        <v>298.23400689510999</v>
      </c>
      <c r="N29" s="23">
        <v>340.29232631943376</v>
      </c>
      <c r="O29" s="23">
        <v>109.1098068934083</v>
      </c>
      <c r="P29" s="32">
        <v>143.2434885599969</v>
      </c>
      <c r="Q29" s="32"/>
      <c r="R29" s="23">
        <v>19.630000591278076</v>
      </c>
      <c r="S29" s="23">
        <v>47.39100070297718</v>
      </c>
      <c r="T29" s="23">
        <v>7.9270000457763672</v>
      </c>
      <c r="U29" s="23">
        <v>98.987000524997711</v>
      </c>
      <c r="V29" s="23">
        <v>165.02800178527832</v>
      </c>
      <c r="W29" s="23">
        <v>613.04400074481964</v>
      </c>
      <c r="X29" s="23">
        <v>3.9130001068115234</v>
      </c>
      <c r="Y29" s="23">
        <v>4.6970000267028809</v>
      </c>
      <c r="Z29" s="23">
        <v>22.602999792434275</v>
      </c>
      <c r="AA29" s="23">
        <v>46.240999843925238</v>
      </c>
      <c r="AB29" s="23">
        <v>23.812000211328268</v>
      </c>
      <c r="AC29" s="23">
        <v>220.99699997901917</v>
      </c>
      <c r="AD29" s="27">
        <f t="shared" si="1"/>
        <v>1274.2700043553486</v>
      </c>
    </row>
    <row r="30" spans="1:30" ht="15" customHeight="1">
      <c r="A30" s="28">
        <v>25</v>
      </c>
      <c r="B30" s="30" t="s">
        <v>51</v>
      </c>
      <c r="C30" s="31" t="s">
        <v>150</v>
      </c>
      <c r="D30" s="27">
        <f t="shared" si="0"/>
        <v>1257.3226646165444</v>
      </c>
      <c r="E30" s="23">
        <v>362.89902069664004</v>
      </c>
      <c r="F30" s="23">
        <v>227.4869759412706</v>
      </c>
      <c r="G30" s="23">
        <v>11.186879410743714</v>
      </c>
      <c r="H30" s="23">
        <v>140.8286932239011</v>
      </c>
      <c r="I30" s="23">
        <v>54.644818369373681</v>
      </c>
      <c r="J30" s="32">
        <v>58.53508074219009</v>
      </c>
      <c r="K30" s="23">
        <v>99.363607418775558</v>
      </c>
      <c r="L30" s="23" t="s">
        <v>27</v>
      </c>
      <c r="M30" s="23">
        <v>67.416949075713759</v>
      </c>
      <c r="N30" s="23">
        <v>159.91116900517792</v>
      </c>
      <c r="O30" s="23">
        <v>33.839260087415575</v>
      </c>
      <c r="P30" s="32">
        <v>41.210210645342364</v>
      </c>
      <c r="Q30" s="32"/>
      <c r="R30" s="23">
        <v>12.263000011444092</v>
      </c>
      <c r="S30" s="23">
        <v>17.629000142216682</v>
      </c>
      <c r="T30" s="23">
        <v>4.1279997825622559</v>
      </c>
      <c r="U30" s="23">
        <v>45.116999829187989</v>
      </c>
      <c r="V30" s="23">
        <v>64.044000193476677</v>
      </c>
      <c r="W30" s="23">
        <v>258.12500010430813</v>
      </c>
      <c r="X30" s="23">
        <v>2.5169999599456787</v>
      </c>
      <c r="Y30" s="23" t="s">
        <v>27</v>
      </c>
      <c r="Z30" s="23">
        <v>3.5269999094307423</v>
      </c>
      <c r="AA30" s="23">
        <v>15.343999994918704</v>
      </c>
      <c r="AB30" s="23">
        <v>11.097000058740377</v>
      </c>
      <c r="AC30" s="23">
        <v>82</v>
      </c>
      <c r="AD30" s="27">
        <f t="shared" si="1"/>
        <v>515.79099998623133</v>
      </c>
    </row>
    <row r="31" spans="1:30" ht="15" customHeight="1">
      <c r="A31" s="28">
        <v>26</v>
      </c>
      <c r="B31" s="30" t="s">
        <v>52</v>
      </c>
      <c r="C31" s="31" t="s">
        <v>149</v>
      </c>
      <c r="D31" s="27">
        <f t="shared" si="0"/>
        <v>672.58472415512847</v>
      </c>
      <c r="E31" s="23" t="s">
        <v>27</v>
      </c>
      <c r="F31" s="23">
        <v>160.79333773279191</v>
      </c>
      <c r="G31" s="23">
        <v>120.70303565072268</v>
      </c>
      <c r="H31" s="23">
        <v>192.12978791484235</v>
      </c>
      <c r="I31" s="23">
        <v>70.690180688098067</v>
      </c>
      <c r="J31" s="32">
        <v>128.26838216867353</v>
      </c>
      <c r="K31" s="23" t="s">
        <v>27</v>
      </c>
      <c r="L31" s="23" t="s">
        <v>27</v>
      </c>
      <c r="M31" s="23" t="s">
        <v>27</v>
      </c>
      <c r="N31" s="23" t="s">
        <v>27</v>
      </c>
      <c r="O31" s="23" t="s">
        <v>27</v>
      </c>
      <c r="P31" s="32" t="s">
        <v>27</v>
      </c>
      <c r="Q31" s="32"/>
      <c r="R31" s="23" t="s">
        <v>27</v>
      </c>
      <c r="S31" s="23">
        <v>25.336000263690948</v>
      </c>
      <c r="T31" s="23">
        <v>16.162000045180321</v>
      </c>
      <c r="U31" s="23">
        <v>92.406000442802906</v>
      </c>
      <c r="V31" s="23">
        <v>89.43800038844347</v>
      </c>
      <c r="W31" s="23">
        <v>593.33199967443943</v>
      </c>
      <c r="X31" s="23" t="s">
        <v>27</v>
      </c>
      <c r="Y31" s="23" t="s">
        <v>27</v>
      </c>
      <c r="Z31" s="23" t="s">
        <v>27</v>
      </c>
      <c r="AA31" s="23" t="s">
        <v>27</v>
      </c>
      <c r="AB31" s="23" t="s">
        <v>27</v>
      </c>
      <c r="AC31" s="23" t="s">
        <v>27</v>
      </c>
      <c r="AD31" s="27">
        <f t="shared" si="1"/>
        <v>816.67400081455708</v>
      </c>
    </row>
    <row r="32" spans="1:30" ht="15" customHeight="1">
      <c r="A32" s="28">
        <v>27</v>
      </c>
      <c r="B32" s="30" t="s">
        <v>53</v>
      </c>
      <c r="C32" s="31" t="s">
        <v>149</v>
      </c>
      <c r="D32" s="27">
        <f t="shared" si="0"/>
        <v>275.49391483190465</v>
      </c>
      <c r="E32" s="23" t="s">
        <v>27</v>
      </c>
      <c r="F32" s="23">
        <v>91.373249186873437</v>
      </c>
      <c r="G32" s="23">
        <v>50.046510142207147</v>
      </c>
      <c r="H32" s="23">
        <v>40.846034574508664</v>
      </c>
      <c r="I32" s="23">
        <v>44.395667917698624</v>
      </c>
      <c r="J32" s="32">
        <v>48.83245301061676</v>
      </c>
      <c r="K32" s="23" t="s">
        <v>27</v>
      </c>
      <c r="L32" s="23" t="s">
        <v>27</v>
      </c>
      <c r="M32" s="23" t="s">
        <v>27</v>
      </c>
      <c r="N32" s="23" t="s">
        <v>27</v>
      </c>
      <c r="O32" s="23" t="s">
        <v>27</v>
      </c>
      <c r="P32" s="32" t="s">
        <v>27</v>
      </c>
      <c r="Q32" s="32"/>
      <c r="R32" s="23" t="s">
        <v>27</v>
      </c>
      <c r="S32" s="23">
        <v>21.308000013232231</v>
      </c>
      <c r="T32" s="23">
        <v>12.816000044345856</v>
      </c>
      <c r="U32" s="23">
        <v>21.255999356508255</v>
      </c>
      <c r="V32" s="23">
        <v>68.399999797344208</v>
      </c>
      <c r="W32" s="23">
        <v>255.46999990940094</v>
      </c>
      <c r="X32" s="23" t="s">
        <v>27</v>
      </c>
      <c r="Y32" s="23" t="s">
        <v>27</v>
      </c>
      <c r="Z32" s="23" t="s">
        <v>27</v>
      </c>
      <c r="AA32" s="23" t="s">
        <v>27</v>
      </c>
      <c r="AB32" s="23" t="s">
        <v>27</v>
      </c>
      <c r="AC32" s="23" t="s">
        <v>27</v>
      </c>
      <c r="AD32" s="27">
        <f t="shared" si="1"/>
        <v>379.24999912083149</v>
      </c>
    </row>
    <row r="33" spans="1:30" ht="15" customHeight="1">
      <c r="A33" s="28">
        <v>28</v>
      </c>
      <c r="B33" s="30" t="s">
        <v>54</v>
      </c>
      <c r="C33" s="31" t="s">
        <v>149</v>
      </c>
      <c r="D33" s="27">
        <f t="shared" si="0"/>
        <v>236.56481001130538</v>
      </c>
      <c r="E33" s="23" t="s">
        <v>27</v>
      </c>
      <c r="F33" s="23" t="s">
        <v>27</v>
      </c>
      <c r="G33" s="23">
        <v>117.87232458046078</v>
      </c>
      <c r="H33" s="23">
        <v>46.180060181025418</v>
      </c>
      <c r="I33" s="23">
        <v>22.80095739364624</v>
      </c>
      <c r="J33" s="32">
        <v>49.711467856172973</v>
      </c>
      <c r="K33" s="23" t="s">
        <v>27</v>
      </c>
      <c r="L33" s="23" t="s">
        <v>27</v>
      </c>
      <c r="M33" s="23" t="s">
        <v>27</v>
      </c>
      <c r="N33" s="23" t="s">
        <v>27</v>
      </c>
      <c r="O33" s="23" t="s">
        <v>27</v>
      </c>
      <c r="P33" s="32" t="s">
        <v>27</v>
      </c>
      <c r="Q33" s="32"/>
      <c r="R33" s="23" t="s">
        <v>27</v>
      </c>
      <c r="S33" s="23" t="s">
        <v>27</v>
      </c>
      <c r="T33" s="23">
        <v>30.511999607086182</v>
      </c>
      <c r="U33" s="23">
        <v>57.157000225037336</v>
      </c>
      <c r="V33" s="23">
        <v>73.395001173019409</v>
      </c>
      <c r="W33" s="23">
        <v>412.11899983882904</v>
      </c>
      <c r="X33" s="23" t="s">
        <v>27</v>
      </c>
      <c r="Y33" s="23" t="s">
        <v>27</v>
      </c>
      <c r="Z33" s="23" t="s">
        <v>27</v>
      </c>
      <c r="AA33" s="23" t="s">
        <v>27</v>
      </c>
      <c r="AB33" s="23" t="s">
        <v>27</v>
      </c>
      <c r="AC33" s="23" t="s">
        <v>27</v>
      </c>
      <c r="AD33" s="27">
        <f t="shared" si="1"/>
        <v>573.18300084397197</v>
      </c>
    </row>
    <row r="34" spans="1:30" ht="15" customHeight="1">
      <c r="A34" s="28">
        <v>29</v>
      </c>
      <c r="B34" s="30" t="s">
        <v>55</v>
      </c>
      <c r="C34" s="31" t="s">
        <v>149</v>
      </c>
      <c r="D34" s="27">
        <f t="shared" si="0"/>
        <v>218.89896113790746</v>
      </c>
      <c r="E34" s="23" t="s">
        <v>27</v>
      </c>
      <c r="F34" s="23" t="s">
        <v>27</v>
      </c>
      <c r="G34" s="23">
        <v>126.16160983255506</v>
      </c>
      <c r="H34" s="23">
        <v>19.591116298675537</v>
      </c>
      <c r="I34" s="23">
        <v>30.121732781350612</v>
      </c>
      <c r="J34" s="32">
        <v>43.024502225326259</v>
      </c>
      <c r="K34" s="23" t="s">
        <v>27</v>
      </c>
      <c r="L34" s="23" t="s">
        <v>27</v>
      </c>
      <c r="M34" s="23" t="s">
        <v>27</v>
      </c>
      <c r="N34" s="23" t="s">
        <v>27</v>
      </c>
      <c r="O34" s="23" t="s">
        <v>27</v>
      </c>
      <c r="P34" s="32" t="s">
        <v>27</v>
      </c>
      <c r="Q34" s="32"/>
      <c r="R34" s="23" t="s">
        <v>27</v>
      </c>
      <c r="S34" s="23" t="s">
        <v>27</v>
      </c>
      <c r="T34" s="23">
        <v>36.235999662429094</v>
      </c>
      <c r="U34" s="23">
        <v>20.533999919891357</v>
      </c>
      <c r="V34" s="23">
        <v>80.321999371051788</v>
      </c>
      <c r="W34" s="23">
        <v>317.10200026631355</v>
      </c>
      <c r="X34" s="23" t="s">
        <v>27</v>
      </c>
      <c r="Y34" s="23" t="s">
        <v>27</v>
      </c>
      <c r="Z34" s="23" t="s">
        <v>27</v>
      </c>
      <c r="AA34" s="23" t="s">
        <v>27</v>
      </c>
      <c r="AB34" s="23" t="s">
        <v>27</v>
      </c>
      <c r="AC34" s="23" t="s">
        <v>27</v>
      </c>
      <c r="AD34" s="27">
        <f t="shared" si="1"/>
        <v>454.19399921968579</v>
      </c>
    </row>
    <row r="35" spans="1:30" ht="15" customHeight="1">
      <c r="A35" s="28">
        <v>30</v>
      </c>
      <c r="B35" s="30" t="s">
        <v>56</v>
      </c>
      <c r="C35" s="31" t="s">
        <v>151</v>
      </c>
      <c r="D35" s="27">
        <f t="shared" si="0"/>
        <v>2101.4128495834379</v>
      </c>
      <c r="E35" s="23" t="s">
        <v>27</v>
      </c>
      <c r="F35" s="23">
        <v>200.17902443337439</v>
      </c>
      <c r="G35" s="23">
        <v>141.02455817013978</v>
      </c>
      <c r="H35" s="23">
        <v>273.370130590938</v>
      </c>
      <c r="I35" s="23">
        <v>91.70717012181133</v>
      </c>
      <c r="J35" s="32">
        <v>120.6080065277885</v>
      </c>
      <c r="K35" s="23" t="s">
        <v>27</v>
      </c>
      <c r="L35" s="23">
        <v>209.43528889894486</v>
      </c>
      <c r="M35" s="23">
        <v>477.93364449161294</v>
      </c>
      <c r="N35" s="23">
        <v>272.57049337271974</v>
      </c>
      <c r="O35" s="23">
        <v>166.73286903420092</v>
      </c>
      <c r="P35" s="32">
        <v>147.85166394190733</v>
      </c>
      <c r="Q35" s="32"/>
      <c r="R35" s="23" t="s">
        <v>27</v>
      </c>
      <c r="S35" s="23">
        <v>23.758000254631042</v>
      </c>
      <c r="T35" s="23">
        <v>20.856000050902367</v>
      </c>
      <c r="U35" s="23">
        <v>67.23300020955503</v>
      </c>
      <c r="V35" s="23">
        <v>121.37599916383624</v>
      </c>
      <c r="W35" s="23">
        <v>573.825000397861</v>
      </c>
      <c r="X35" s="23" t="s">
        <v>27</v>
      </c>
      <c r="Y35" s="23">
        <v>14.308000087738037</v>
      </c>
      <c r="Z35" s="23">
        <v>31.619999956339598</v>
      </c>
      <c r="AA35" s="23">
        <v>34.415999872609973</v>
      </c>
      <c r="AB35" s="23">
        <v>43.271000064909458</v>
      </c>
      <c r="AC35" s="23">
        <v>254.18500001728535</v>
      </c>
      <c r="AD35" s="27">
        <f t="shared" si="1"/>
        <v>1184.8480000756681</v>
      </c>
    </row>
    <row r="36" spans="1:30" ht="15" customHeight="1">
      <c r="A36" s="28">
        <v>31</v>
      </c>
      <c r="B36" s="30" t="s">
        <v>57</v>
      </c>
      <c r="C36" s="31" t="s">
        <v>149</v>
      </c>
      <c r="D36" s="27">
        <f t="shared" si="0"/>
        <v>333.16422036051893</v>
      </c>
      <c r="E36" s="23">
        <v>78.57720062732696</v>
      </c>
      <c r="F36" s="23" t="s">
        <v>27</v>
      </c>
      <c r="G36" s="23">
        <v>82.551408976815637</v>
      </c>
      <c r="H36" s="23">
        <v>70.734100452512507</v>
      </c>
      <c r="I36" s="23">
        <v>42.661573278427127</v>
      </c>
      <c r="J36" s="32">
        <v>58.63993702543673</v>
      </c>
      <c r="K36" s="23" t="s">
        <v>27</v>
      </c>
      <c r="L36" s="23" t="s">
        <v>27</v>
      </c>
      <c r="M36" s="23" t="s">
        <v>27</v>
      </c>
      <c r="N36" s="23" t="s">
        <v>27</v>
      </c>
      <c r="O36" s="23" t="s">
        <v>27</v>
      </c>
      <c r="P36" s="32" t="s">
        <v>27</v>
      </c>
      <c r="Q36" s="32"/>
      <c r="R36" s="23">
        <v>2.628000020980835</v>
      </c>
      <c r="S36" s="23" t="s">
        <v>27</v>
      </c>
      <c r="T36" s="23">
        <v>20.029999677091837</v>
      </c>
      <c r="U36" s="23">
        <v>54.842000246047974</v>
      </c>
      <c r="V36" s="23">
        <v>72.271999001502991</v>
      </c>
      <c r="W36" s="23">
        <f>318.520000267773+7</f>
        <v>325.52000026777301</v>
      </c>
      <c r="X36" s="23" t="s">
        <v>27</v>
      </c>
      <c r="Y36" s="23" t="s">
        <v>27</v>
      </c>
      <c r="Z36" s="23" t="s">
        <v>27</v>
      </c>
      <c r="AA36" s="23" t="s">
        <v>27</v>
      </c>
      <c r="AB36" s="23" t="s">
        <v>27</v>
      </c>
      <c r="AC36" s="23" t="s">
        <v>27</v>
      </c>
      <c r="AD36" s="27">
        <f t="shared" si="1"/>
        <v>475.29199921339665</v>
      </c>
    </row>
    <row r="37" spans="1:30" ht="15" customHeight="1">
      <c r="A37" s="28">
        <v>32</v>
      </c>
      <c r="B37" s="30" t="s">
        <v>58</v>
      </c>
      <c r="C37" s="31" t="s">
        <v>149</v>
      </c>
      <c r="D37" s="27">
        <f t="shared" si="0"/>
        <v>146.65744442374694</v>
      </c>
      <c r="E37" s="23" t="s">
        <v>27</v>
      </c>
      <c r="F37" s="23" t="s">
        <v>27</v>
      </c>
      <c r="G37" s="23">
        <v>47.828980402648448</v>
      </c>
      <c r="H37" s="23">
        <v>32.271389194965366</v>
      </c>
      <c r="I37" s="23">
        <v>20.599710932468064</v>
      </c>
      <c r="J37" s="32">
        <v>45.957363893665033</v>
      </c>
      <c r="K37" s="23" t="s">
        <v>27</v>
      </c>
      <c r="L37" s="23" t="s">
        <v>27</v>
      </c>
      <c r="M37" s="23" t="s">
        <v>27</v>
      </c>
      <c r="N37" s="23" t="s">
        <v>27</v>
      </c>
      <c r="O37" s="23" t="s">
        <v>27</v>
      </c>
      <c r="P37" s="32" t="s">
        <v>27</v>
      </c>
      <c r="Q37" s="32"/>
      <c r="R37" s="23" t="s">
        <v>27</v>
      </c>
      <c r="S37" s="23" t="s">
        <v>27</v>
      </c>
      <c r="T37" s="23">
        <v>18.873999774456024</v>
      </c>
      <c r="U37" s="23">
        <v>50.641000270843506</v>
      </c>
      <c r="V37" s="23">
        <v>53.854999775998294</v>
      </c>
      <c r="W37" s="23">
        <v>334.55800005793498</v>
      </c>
      <c r="X37" s="23" t="s">
        <v>27</v>
      </c>
      <c r="Y37" s="23" t="s">
        <v>27</v>
      </c>
      <c r="Z37" s="23" t="s">
        <v>27</v>
      </c>
      <c r="AA37" s="23" t="s">
        <v>27</v>
      </c>
      <c r="AB37" s="23" t="s">
        <v>27</v>
      </c>
      <c r="AC37" s="23" t="s">
        <v>27</v>
      </c>
      <c r="AD37" s="27">
        <f t="shared" si="1"/>
        <v>457.9279998792328</v>
      </c>
    </row>
    <row r="38" spans="1:30" ht="15" customHeight="1">
      <c r="A38" s="28">
        <v>33</v>
      </c>
      <c r="B38" s="30" t="s">
        <v>59</v>
      </c>
      <c r="C38" s="31" t="s">
        <v>149</v>
      </c>
      <c r="D38" s="27">
        <f t="shared" ref="D38:D69" si="2">SUM(E38:J38)+SUM(K38:P38)</f>
        <v>345.15049377090691</v>
      </c>
      <c r="E38" s="23" t="s">
        <v>27</v>
      </c>
      <c r="F38" s="23" t="s">
        <v>27</v>
      </c>
      <c r="G38" s="23" t="s">
        <v>27</v>
      </c>
      <c r="H38" s="23">
        <v>212.82475064146891</v>
      </c>
      <c r="I38" s="23">
        <v>56.606776873141527</v>
      </c>
      <c r="J38" s="32">
        <v>75.718966256296497</v>
      </c>
      <c r="K38" s="23" t="s">
        <v>27</v>
      </c>
      <c r="L38" s="23" t="s">
        <v>27</v>
      </c>
      <c r="M38" s="23" t="s">
        <v>27</v>
      </c>
      <c r="N38" s="23" t="s">
        <v>27</v>
      </c>
      <c r="O38" s="23" t="s">
        <v>27</v>
      </c>
      <c r="P38" s="32" t="s">
        <v>27</v>
      </c>
      <c r="Q38" s="32"/>
      <c r="R38" s="23" t="s">
        <v>27</v>
      </c>
      <c r="S38" s="23" t="s">
        <v>27</v>
      </c>
      <c r="T38" s="23" t="s">
        <v>27</v>
      </c>
      <c r="U38" s="23">
        <v>60.905999472364783</v>
      </c>
      <c r="V38" s="23">
        <v>67.056999996304512</v>
      </c>
      <c r="W38" s="23">
        <v>336.14099994115531</v>
      </c>
      <c r="X38" s="23" t="s">
        <v>27</v>
      </c>
      <c r="Y38" s="23" t="s">
        <v>27</v>
      </c>
      <c r="Z38" s="23" t="s">
        <v>27</v>
      </c>
      <c r="AA38" s="23" t="s">
        <v>27</v>
      </c>
      <c r="AB38" s="23" t="s">
        <v>27</v>
      </c>
      <c r="AC38" s="23" t="s">
        <v>27</v>
      </c>
      <c r="AD38" s="27">
        <f t="shared" ref="AD38:AD69" si="3">SUM(R38:AC38)</f>
        <v>464.10399940982461</v>
      </c>
    </row>
    <row r="39" spans="1:30" ht="15" customHeight="1">
      <c r="A39" s="28">
        <v>34</v>
      </c>
      <c r="B39" s="30" t="s">
        <v>60</v>
      </c>
      <c r="C39" s="31" t="s">
        <v>158</v>
      </c>
      <c r="D39" s="27">
        <f t="shared" si="2"/>
        <v>7459.908381912247</v>
      </c>
      <c r="E39" s="23" t="s">
        <v>27</v>
      </c>
      <c r="F39" s="23" t="s">
        <v>27</v>
      </c>
      <c r="G39" s="23" t="s">
        <v>27</v>
      </c>
      <c r="H39" s="23" t="s">
        <v>27</v>
      </c>
      <c r="I39" s="23" t="s">
        <v>27</v>
      </c>
      <c r="J39" s="32" t="s">
        <v>27</v>
      </c>
      <c r="K39" s="23">
        <v>1781.0463682546615</v>
      </c>
      <c r="L39" s="23">
        <v>895.43597199201588</v>
      </c>
      <c r="M39" s="23">
        <v>1701.0486236778945</v>
      </c>
      <c r="N39" s="23">
        <v>1844.529751599461</v>
      </c>
      <c r="O39" s="23">
        <v>674.43843181554416</v>
      </c>
      <c r="P39" s="32">
        <v>563.40923457267013</v>
      </c>
      <c r="Q39" s="32"/>
      <c r="R39" s="23" t="s">
        <v>27</v>
      </c>
      <c r="S39" s="23" t="s">
        <v>27</v>
      </c>
      <c r="T39" s="23" t="s">
        <v>27</v>
      </c>
      <c r="U39" s="23" t="s">
        <v>27</v>
      </c>
      <c r="V39" s="23" t="s">
        <v>27</v>
      </c>
      <c r="W39" s="23" t="s">
        <v>27</v>
      </c>
      <c r="X39" s="23">
        <v>35.421000242233276</v>
      </c>
      <c r="Y39" s="23">
        <v>13.763999938964844</v>
      </c>
      <c r="Z39" s="23">
        <v>56.53299998305738</v>
      </c>
      <c r="AA39" s="23">
        <v>141.09100039443001</v>
      </c>
      <c r="AB39" s="23">
        <v>158.7510001603514</v>
      </c>
      <c r="AC39" s="23">
        <v>911.28700029850006</v>
      </c>
      <c r="AD39" s="27">
        <f t="shared" si="3"/>
        <v>1316.847001017537</v>
      </c>
    </row>
    <row r="40" spans="1:30" ht="15" customHeight="1">
      <c r="A40" s="28">
        <v>35</v>
      </c>
      <c r="B40" s="30" t="s">
        <v>61</v>
      </c>
      <c r="C40" s="31" t="s">
        <v>149</v>
      </c>
      <c r="D40" s="27">
        <f t="shared" si="2"/>
        <v>360.89027395664402</v>
      </c>
      <c r="E40" s="23" t="s">
        <v>27</v>
      </c>
      <c r="F40" s="23">
        <v>16.628142288923264</v>
      </c>
      <c r="G40" s="23">
        <v>139.26745233893394</v>
      </c>
      <c r="H40" s="23">
        <v>102.82987081959844</v>
      </c>
      <c r="I40" s="23">
        <v>37.606095252394674</v>
      </c>
      <c r="J40" s="32">
        <v>64.558713256793709</v>
      </c>
      <c r="K40" s="23" t="s">
        <v>27</v>
      </c>
      <c r="L40" s="23" t="s">
        <v>27</v>
      </c>
      <c r="M40" s="23" t="s">
        <v>27</v>
      </c>
      <c r="N40" s="23" t="s">
        <v>27</v>
      </c>
      <c r="O40" s="23" t="s">
        <v>27</v>
      </c>
      <c r="P40" s="32" t="s">
        <v>27</v>
      </c>
      <c r="Q40" s="32"/>
      <c r="R40" s="23" t="s">
        <v>27</v>
      </c>
      <c r="S40" s="23">
        <v>5.4230000972747803</v>
      </c>
      <c r="T40" s="23">
        <v>34.783000281080604</v>
      </c>
      <c r="U40" s="23">
        <v>51.638999638147652</v>
      </c>
      <c r="V40" s="23">
        <v>70.906000077724457</v>
      </c>
      <c r="W40" s="23">
        <v>383.16599989682436</v>
      </c>
      <c r="X40" s="23" t="s">
        <v>27</v>
      </c>
      <c r="Y40" s="23" t="s">
        <v>27</v>
      </c>
      <c r="Z40" s="23" t="s">
        <v>27</v>
      </c>
      <c r="AA40" s="23" t="s">
        <v>27</v>
      </c>
      <c r="AB40" s="23" t="s">
        <v>27</v>
      </c>
      <c r="AC40" s="23" t="s">
        <v>27</v>
      </c>
      <c r="AD40" s="27">
        <f t="shared" si="3"/>
        <v>545.91699999105185</v>
      </c>
    </row>
    <row r="41" spans="1:30" ht="15" customHeight="1">
      <c r="A41" s="28">
        <v>36</v>
      </c>
      <c r="B41" s="30" t="s">
        <v>62</v>
      </c>
      <c r="C41" s="31" t="s">
        <v>149</v>
      </c>
      <c r="D41" s="27">
        <f t="shared" si="2"/>
        <v>1387.5005635798932</v>
      </c>
      <c r="E41" s="23" t="s">
        <v>27</v>
      </c>
      <c r="F41" s="23">
        <v>684.17993793115022</v>
      </c>
      <c r="G41" s="23">
        <v>31.736233840545641</v>
      </c>
      <c r="H41" s="23">
        <v>299.98412492397426</v>
      </c>
      <c r="I41" s="23">
        <v>202.72803214648366</v>
      </c>
      <c r="J41" s="32">
        <v>168.87223473773943</v>
      </c>
      <c r="K41" s="23" t="s">
        <v>27</v>
      </c>
      <c r="L41" s="23" t="s">
        <v>27</v>
      </c>
      <c r="M41" s="23" t="s">
        <v>27</v>
      </c>
      <c r="N41" s="23" t="s">
        <v>27</v>
      </c>
      <c r="O41" s="23" t="s">
        <v>27</v>
      </c>
      <c r="P41" s="32" t="s">
        <v>27</v>
      </c>
      <c r="Q41" s="32"/>
      <c r="R41" s="23" t="s">
        <v>27</v>
      </c>
      <c r="S41" s="23">
        <v>47.686000980436802</v>
      </c>
      <c r="T41" s="23">
        <v>4.5849999887868762</v>
      </c>
      <c r="U41" s="23">
        <v>101.0049986988306</v>
      </c>
      <c r="V41" s="23">
        <v>122.80899928510189</v>
      </c>
      <c r="W41" s="23">
        <v>493.05600026994944</v>
      </c>
      <c r="X41" s="23" t="s">
        <v>27</v>
      </c>
      <c r="Y41" s="23" t="s">
        <v>27</v>
      </c>
      <c r="Z41" s="23" t="s">
        <v>27</v>
      </c>
      <c r="AA41" s="23" t="s">
        <v>27</v>
      </c>
      <c r="AB41" s="23" t="s">
        <v>27</v>
      </c>
      <c r="AC41" s="23" t="s">
        <v>27</v>
      </c>
      <c r="AD41" s="27">
        <f t="shared" si="3"/>
        <v>769.14099922310561</v>
      </c>
    </row>
    <row r="42" spans="1:30" ht="15" customHeight="1">
      <c r="A42" s="28">
        <v>37</v>
      </c>
      <c r="B42" s="30" t="s">
        <v>63</v>
      </c>
      <c r="C42" s="31" t="s">
        <v>150</v>
      </c>
      <c r="D42" s="27">
        <f t="shared" si="2"/>
        <v>1473.2255728629739</v>
      </c>
      <c r="E42" s="23">
        <v>453.03234626531599</v>
      </c>
      <c r="F42" s="23">
        <v>104.4489415011704</v>
      </c>
      <c r="G42" s="23">
        <v>118.21238611209392</v>
      </c>
      <c r="H42" s="23">
        <v>11.93119810807705</v>
      </c>
      <c r="I42" s="23">
        <v>60.868361143983904</v>
      </c>
      <c r="J42" s="32">
        <v>43.954597929853115</v>
      </c>
      <c r="K42" s="23" t="s">
        <v>27</v>
      </c>
      <c r="L42" s="23" t="s">
        <v>27</v>
      </c>
      <c r="M42" s="23">
        <v>395.42222995743157</v>
      </c>
      <c r="N42" s="23">
        <v>161.08002872923763</v>
      </c>
      <c r="O42" s="23">
        <v>58.177607381979001</v>
      </c>
      <c r="P42" s="32">
        <v>66.097875733831302</v>
      </c>
      <c r="Q42" s="32"/>
      <c r="R42" s="23">
        <v>13.12799996137619</v>
      </c>
      <c r="S42" s="23">
        <v>5.4289998710155487</v>
      </c>
      <c r="T42" s="23">
        <v>33.760999321937561</v>
      </c>
      <c r="U42" s="23">
        <v>2.8500000089406967</v>
      </c>
      <c r="V42" s="23">
        <v>75.461000464856625</v>
      </c>
      <c r="W42" s="23">
        <v>200.75400035083294</v>
      </c>
      <c r="X42" s="23" t="s">
        <v>27</v>
      </c>
      <c r="Y42" s="23" t="s">
        <v>27</v>
      </c>
      <c r="Z42" s="23">
        <v>17.934000134468079</v>
      </c>
      <c r="AA42" s="23">
        <v>17.655999880284071</v>
      </c>
      <c r="AB42" s="23">
        <v>19.646000010892749</v>
      </c>
      <c r="AC42" s="23">
        <v>133.95300001092255</v>
      </c>
      <c r="AD42" s="27">
        <f t="shared" si="3"/>
        <v>520.57200001552701</v>
      </c>
    </row>
    <row r="43" spans="1:30" ht="15" customHeight="1">
      <c r="A43" s="28">
        <v>38</v>
      </c>
      <c r="B43" s="30" t="s">
        <v>64</v>
      </c>
      <c r="C43" s="31" t="s">
        <v>149</v>
      </c>
      <c r="D43" s="27">
        <f t="shared" si="2"/>
        <v>193.69824976101572</v>
      </c>
      <c r="E43" s="23" t="s">
        <v>27</v>
      </c>
      <c r="F43" s="23">
        <v>37.951010573804382</v>
      </c>
      <c r="G43" s="23">
        <v>26.226748428225516</v>
      </c>
      <c r="H43" s="23">
        <v>81.601246965773399</v>
      </c>
      <c r="I43" s="23">
        <v>19.526651212364435</v>
      </c>
      <c r="J43" s="32">
        <v>28.392592580847968</v>
      </c>
      <c r="K43" s="23" t="s">
        <v>27</v>
      </c>
      <c r="L43" s="23" t="s">
        <v>27</v>
      </c>
      <c r="M43" s="23" t="s">
        <v>27</v>
      </c>
      <c r="N43" s="23" t="s">
        <v>27</v>
      </c>
      <c r="O43" s="23" t="s">
        <v>27</v>
      </c>
      <c r="P43" s="32" t="s">
        <v>27</v>
      </c>
      <c r="Q43" s="32"/>
      <c r="R43" s="23" t="s">
        <v>27</v>
      </c>
      <c r="S43" s="23">
        <v>8.093999907374382</v>
      </c>
      <c r="T43" s="23">
        <v>25.109000325202942</v>
      </c>
      <c r="U43" s="23">
        <v>43.407999817281961</v>
      </c>
      <c r="V43" s="23">
        <v>55.156999915838242</v>
      </c>
      <c r="W43" s="23">
        <v>216.93000023253262</v>
      </c>
      <c r="X43" s="23" t="s">
        <v>27</v>
      </c>
      <c r="Y43" s="23" t="s">
        <v>27</v>
      </c>
      <c r="Z43" s="23" t="s">
        <v>27</v>
      </c>
      <c r="AA43" s="23" t="s">
        <v>27</v>
      </c>
      <c r="AB43" s="23" t="s">
        <v>27</v>
      </c>
      <c r="AC43" s="23" t="s">
        <v>27</v>
      </c>
      <c r="AD43" s="27">
        <f t="shared" si="3"/>
        <v>348.69800019823015</v>
      </c>
    </row>
    <row r="44" spans="1:30" ht="15" customHeight="1">
      <c r="A44" s="28">
        <v>39</v>
      </c>
      <c r="B44" s="30" t="s">
        <v>65</v>
      </c>
      <c r="C44" s="31" t="s">
        <v>149</v>
      </c>
      <c r="D44" s="27">
        <f t="shared" si="2"/>
        <v>639.0036909860753</v>
      </c>
      <c r="E44" s="23">
        <v>459.77568646240235</v>
      </c>
      <c r="F44" s="23" t="s">
        <v>27</v>
      </c>
      <c r="G44" s="23">
        <v>4.9344459144324064</v>
      </c>
      <c r="H44" s="23">
        <v>128.71704257014395</v>
      </c>
      <c r="I44" s="23">
        <v>24.953927193790673</v>
      </c>
      <c r="J44" s="32">
        <v>20.622588845305948</v>
      </c>
      <c r="K44" s="23" t="s">
        <v>27</v>
      </c>
      <c r="L44" s="23" t="s">
        <v>27</v>
      </c>
      <c r="M44" s="23" t="s">
        <v>27</v>
      </c>
      <c r="N44" s="23" t="s">
        <v>27</v>
      </c>
      <c r="O44" s="23" t="s">
        <v>27</v>
      </c>
      <c r="P44" s="32" t="s">
        <v>27</v>
      </c>
      <c r="Q44" s="32"/>
      <c r="R44" s="23">
        <v>16.457000732421875</v>
      </c>
      <c r="S44" s="23" t="s">
        <v>27</v>
      </c>
      <c r="T44" s="23">
        <v>2.1279999613761902</v>
      </c>
      <c r="U44" s="23">
        <v>40.501999415457249</v>
      </c>
      <c r="V44" s="23">
        <v>34.132000222802162</v>
      </c>
      <c r="W44" s="23">
        <v>100.15599966049194</v>
      </c>
      <c r="X44" s="23" t="s">
        <v>27</v>
      </c>
      <c r="Y44" s="23" t="s">
        <v>27</v>
      </c>
      <c r="Z44" s="23" t="s">
        <v>27</v>
      </c>
      <c r="AA44" s="23" t="s">
        <v>27</v>
      </c>
      <c r="AB44" s="23" t="s">
        <v>27</v>
      </c>
      <c r="AC44" s="23" t="s">
        <v>27</v>
      </c>
      <c r="AD44" s="27">
        <f t="shared" si="3"/>
        <v>193.37499999254942</v>
      </c>
    </row>
    <row r="45" spans="1:30" ht="15" customHeight="1">
      <c r="A45" s="28">
        <v>40</v>
      </c>
      <c r="B45" s="30" t="s">
        <v>66</v>
      </c>
      <c r="C45" s="31" t="s">
        <v>149</v>
      </c>
      <c r="D45" s="27">
        <f t="shared" si="2"/>
        <v>361.84853613489264</v>
      </c>
      <c r="E45" s="23" t="s">
        <v>27</v>
      </c>
      <c r="F45" s="23">
        <v>208.43962520653756</v>
      </c>
      <c r="G45" s="23">
        <v>62.709975565314295</v>
      </c>
      <c r="H45" s="23">
        <v>30.375152201175691</v>
      </c>
      <c r="I45" s="23">
        <v>22.942094410419465</v>
      </c>
      <c r="J45" s="32">
        <v>37.38168875144563</v>
      </c>
      <c r="K45" s="23" t="s">
        <v>27</v>
      </c>
      <c r="L45" s="23" t="s">
        <v>27</v>
      </c>
      <c r="M45" s="23" t="s">
        <v>27</v>
      </c>
      <c r="N45" s="23" t="s">
        <v>27</v>
      </c>
      <c r="O45" s="23" t="s">
        <v>27</v>
      </c>
      <c r="P45" s="32" t="s">
        <v>27</v>
      </c>
      <c r="Q45" s="32"/>
      <c r="R45" s="23" t="s">
        <v>27</v>
      </c>
      <c r="S45" s="23">
        <v>18.120000204071403</v>
      </c>
      <c r="T45" s="23">
        <v>27.967999700456858</v>
      </c>
      <c r="U45" s="23">
        <v>23.602000176906586</v>
      </c>
      <c r="V45" s="23">
        <v>52.720001041889191</v>
      </c>
      <c r="W45" s="23">
        <v>251.05699979886413</v>
      </c>
      <c r="X45" s="23" t="s">
        <v>27</v>
      </c>
      <c r="Y45" s="23" t="s">
        <v>27</v>
      </c>
      <c r="Z45" s="23" t="s">
        <v>27</v>
      </c>
      <c r="AA45" s="23" t="s">
        <v>27</v>
      </c>
      <c r="AB45" s="23" t="s">
        <v>27</v>
      </c>
      <c r="AC45" s="23" t="s">
        <v>27</v>
      </c>
      <c r="AD45" s="27">
        <f t="shared" si="3"/>
        <v>373.46700092218816</v>
      </c>
    </row>
    <row r="46" spans="1:30" ht="15" customHeight="1">
      <c r="A46" s="28">
        <v>41</v>
      </c>
      <c r="B46" s="30" t="s">
        <v>67</v>
      </c>
      <c r="C46" s="31" t="s">
        <v>149</v>
      </c>
      <c r="D46" s="27">
        <f t="shared" si="2"/>
        <v>1252.4918170789801</v>
      </c>
      <c r="E46" s="23">
        <v>856.020548538208</v>
      </c>
      <c r="F46" s="23" t="s">
        <v>27</v>
      </c>
      <c r="G46" s="23" t="s">
        <v>27</v>
      </c>
      <c r="H46" s="23">
        <v>249.58523584478348</v>
      </c>
      <c r="I46" s="23">
        <v>57.731659913599493</v>
      </c>
      <c r="J46" s="32">
        <v>89.154372782389146</v>
      </c>
      <c r="K46" s="23" t="s">
        <v>27</v>
      </c>
      <c r="L46" s="23" t="s">
        <v>27</v>
      </c>
      <c r="M46" s="23" t="s">
        <v>27</v>
      </c>
      <c r="N46" s="23" t="s">
        <v>27</v>
      </c>
      <c r="O46" s="23" t="s">
        <v>27</v>
      </c>
      <c r="P46" s="32" t="s">
        <v>27</v>
      </c>
      <c r="Q46" s="32"/>
      <c r="R46" s="23">
        <v>23.023999691009521</v>
      </c>
      <c r="S46" s="23" t="s">
        <v>27</v>
      </c>
      <c r="T46" s="23" t="s">
        <v>27</v>
      </c>
      <c r="U46" s="23">
        <v>71.778999805450439</v>
      </c>
      <c r="V46" s="23">
        <v>56.713999968022108</v>
      </c>
      <c r="W46" s="23">
        <v>352.09800043702126</v>
      </c>
      <c r="X46" s="23" t="s">
        <v>27</v>
      </c>
      <c r="Y46" s="23" t="s">
        <v>27</v>
      </c>
      <c r="Z46" s="23" t="s">
        <v>27</v>
      </c>
      <c r="AA46" s="23" t="s">
        <v>27</v>
      </c>
      <c r="AB46" s="23" t="s">
        <v>27</v>
      </c>
      <c r="AC46" s="23" t="s">
        <v>27</v>
      </c>
      <c r="AD46" s="27">
        <f t="shared" si="3"/>
        <v>503.61499990150332</v>
      </c>
    </row>
    <row r="47" spans="1:30" ht="15" customHeight="1">
      <c r="A47" s="28">
        <v>42</v>
      </c>
      <c r="B47" s="30" t="s">
        <v>68</v>
      </c>
      <c r="C47" s="31" t="s">
        <v>150</v>
      </c>
      <c r="D47" s="27">
        <f t="shared" si="2"/>
        <v>1167.1209705543044</v>
      </c>
      <c r="E47" s="23" t="s">
        <v>27</v>
      </c>
      <c r="F47" s="23">
        <v>406.82535606712105</v>
      </c>
      <c r="G47" s="23">
        <v>62.047820474978536</v>
      </c>
      <c r="H47" s="23">
        <v>193.94815186924487</v>
      </c>
      <c r="I47" s="23">
        <v>123.9310372840017</v>
      </c>
      <c r="J47" s="32">
        <v>173.17763845757975</v>
      </c>
      <c r="K47" s="23" t="s">
        <v>27</v>
      </c>
      <c r="L47" s="23">
        <v>48.987050661355255</v>
      </c>
      <c r="M47" s="23">
        <v>58.43332189576514</v>
      </c>
      <c r="N47" s="23">
        <v>45.557014696113768</v>
      </c>
      <c r="O47" s="23">
        <v>22.444327817060053</v>
      </c>
      <c r="P47" s="32">
        <v>31.769251331084362</v>
      </c>
      <c r="Q47" s="32"/>
      <c r="R47" s="23" t="s">
        <v>27</v>
      </c>
      <c r="S47" s="23">
        <v>46.686000000685453</v>
      </c>
      <c r="T47" s="23">
        <v>19.337999885901809</v>
      </c>
      <c r="U47" s="23">
        <v>106.18599951639771</v>
      </c>
      <c r="V47" s="23">
        <v>161.53300003707409</v>
      </c>
      <c r="W47" s="23">
        <v>816.09600049629807</v>
      </c>
      <c r="X47" s="23" t="s">
        <v>27</v>
      </c>
      <c r="Y47" s="23">
        <v>3.788999892771244</v>
      </c>
      <c r="Z47" s="23">
        <v>6.2879999754950404</v>
      </c>
      <c r="AA47" s="23">
        <v>9.791999900713563</v>
      </c>
      <c r="AB47" s="23">
        <v>8.1139999404549599</v>
      </c>
      <c r="AC47" s="23">
        <v>67.185000002384186</v>
      </c>
      <c r="AD47" s="27">
        <f t="shared" si="3"/>
        <v>1245.0069996481761</v>
      </c>
    </row>
    <row r="48" spans="1:30" ht="15" customHeight="1">
      <c r="A48" s="28">
        <v>43</v>
      </c>
      <c r="B48" s="30" t="s">
        <v>69</v>
      </c>
      <c r="C48" s="31" t="s">
        <v>149</v>
      </c>
      <c r="D48" s="27">
        <f t="shared" si="2"/>
        <v>834.35412424275228</v>
      </c>
      <c r="E48" s="23" t="s">
        <v>27</v>
      </c>
      <c r="F48" s="23">
        <v>258.62491857695579</v>
      </c>
      <c r="G48" s="23">
        <v>89.971906748972827</v>
      </c>
      <c r="H48" s="23">
        <v>239.17625360797345</v>
      </c>
      <c r="I48" s="23">
        <v>85.648644683718686</v>
      </c>
      <c r="J48" s="32">
        <v>160.93240062513161</v>
      </c>
      <c r="K48" s="23" t="s">
        <v>27</v>
      </c>
      <c r="L48" s="23" t="s">
        <v>27</v>
      </c>
      <c r="M48" s="23" t="s">
        <v>27</v>
      </c>
      <c r="N48" s="23" t="s">
        <v>27</v>
      </c>
      <c r="O48" s="23" t="s">
        <v>27</v>
      </c>
      <c r="P48" s="32" t="s">
        <v>27</v>
      </c>
      <c r="Q48" s="32"/>
      <c r="R48" s="23" t="s">
        <v>27</v>
      </c>
      <c r="S48" s="23">
        <v>31.216000020503998</v>
      </c>
      <c r="T48" s="23">
        <v>22.023000251501799</v>
      </c>
      <c r="U48" s="23">
        <v>107.11199879273772</v>
      </c>
      <c r="V48" s="23">
        <v>103.11300012469292</v>
      </c>
      <c r="W48" s="23">
        <v>721.68000003695488</v>
      </c>
      <c r="X48" s="23" t="s">
        <v>27</v>
      </c>
      <c r="Y48" s="23" t="s">
        <v>27</v>
      </c>
      <c r="Z48" s="23" t="s">
        <v>27</v>
      </c>
      <c r="AA48" s="23" t="s">
        <v>27</v>
      </c>
      <c r="AB48" s="23" t="s">
        <v>27</v>
      </c>
      <c r="AC48" s="23" t="s">
        <v>27</v>
      </c>
      <c r="AD48" s="27">
        <f t="shared" si="3"/>
        <v>985.14399922639132</v>
      </c>
    </row>
    <row r="49" spans="1:30" ht="15" customHeight="1">
      <c r="A49" s="28">
        <v>44</v>
      </c>
      <c r="B49" s="30" t="s">
        <v>70</v>
      </c>
      <c r="C49" s="31" t="s">
        <v>149</v>
      </c>
      <c r="D49" s="27">
        <f t="shared" si="2"/>
        <v>269.82120633000551</v>
      </c>
      <c r="E49" s="23" t="s">
        <v>27</v>
      </c>
      <c r="F49" s="23" t="s">
        <v>27</v>
      </c>
      <c r="G49" s="23">
        <v>95.786397237226367</v>
      </c>
      <c r="H49" s="23">
        <v>86.936721207857133</v>
      </c>
      <c r="I49" s="23">
        <v>30.768080112885684</v>
      </c>
      <c r="J49" s="32">
        <v>56.330007772036318</v>
      </c>
      <c r="K49" s="23" t="s">
        <v>27</v>
      </c>
      <c r="L49" s="23" t="s">
        <v>27</v>
      </c>
      <c r="M49" s="23" t="s">
        <v>27</v>
      </c>
      <c r="N49" s="23" t="s">
        <v>27</v>
      </c>
      <c r="O49" s="23" t="s">
        <v>27</v>
      </c>
      <c r="P49" s="32" t="s">
        <v>27</v>
      </c>
      <c r="Q49" s="32"/>
      <c r="R49" s="23" t="s">
        <v>27</v>
      </c>
      <c r="S49" s="23" t="s">
        <v>27</v>
      </c>
      <c r="T49" s="23">
        <v>26.676999632269144</v>
      </c>
      <c r="U49" s="23">
        <v>37.583000212907791</v>
      </c>
      <c r="V49" s="23">
        <v>91.066999953240156</v>
      </c>
      <c r="W49" s="23">
        <v>443.12899994850159</v>
      </c>
      <c r="X49" s="23" t="s">
        <v>27</v>
      </c>
      <c r="Y49" s="23" t="s">
        <v>27</v>
      </c>
      <c r="Z49" s="23" t="s">
        <v>27</v>
      </c>
      <c r="AA49" s="23" t="s">
        <v>27</v>
      </c>
      <c r="AB49" s="23" t="s">
        <v>27</v>
      </c>
      <c r="AC49" s="23" t="s">
        <v>27</v>
      </c>
      <c r="AD49" s="27">
        <f t="shared" si="3"/>
        <v>598.45599974691868</v>
      </c>
    </row>
    <row r="50" spans="1:30" ht="15" customHeight="1">
      <c r="A50" s="28">
        <v>45</v>
      </c>
      <c r="B50" s="30" t="s">
        <v>71</v>
      </c>
      <c r="C50" s="31" t="s">
        <v>151</v>
      </c>
      <c r="D50" s="27">
        <f t="shared" si="2"/>
        <v>888.54085180474613</v>
      </c>
      <c r="E50" s="23" t="s">
        <v>27</v>
      </c>
      <c r="F50" s="23">
        <v>259.82618144896998</v>
      </c>
      <c r="G50" s="23" t="s">
        <v>27</v>
      </c>
      <c r="H50" s="23">
        <v>132.24536773237585</v>
      </c>
      <c r="I50" s="23">
        <v>30.615693578481675</v>
      </c>
      <c r="J50" s="32">
        <v>85.167613706544046</v>
      </c>
      <c r="K50" s="23" t="s">
        <v>27</v>
      </c>
      <c r="L50" s="23" t="s">
        <v>27</v>
      </c>
      <c r="M50" s="23">
        <v>157.07922220182419</v>
      </c>
      <c r="N50" s="23">
        <v>95.49637424039841</v>
      </c>
      <c r="O50" s="23">
        <v>57.697334076672796</v>
      </c>
      <c r="P50" s="32">
        <v>70.413064819479061</v>
      </c>
      <c r="Q50" s="32"/>
      <c r="R50" s="23" t="s">
        <v>27</v>
      </c>
      <c r="S50" s="23">
        <v>37.053999835625291</v>
      </c>
      <c r="T50" s="23" t="s">
        <v>27</v>
      </c>
      <c r="U50" s="23">
        <v>75.059999033808708</v>
      </c>
      <c r="V50" s="23">
        <v>64.598999381065369</v>
      </c>
      <c r="W50" s="23">
        <v>542.29099975340068</v>
      </c>
      <c r="X50" s="23" t="s">
        <v>27</v>
      </c>
      <c r="Y50" s="23" t="s">
        <v>27</v>
      </c>
      <c r="Z50" s="23">
        <v>8.1830001696944237</v>
      </c>
      <c r="AA50" s="23">
        <v>10.862999984994531</v>
      </c>
      <c r="AB50" s="23">
        <v>13.436999935656786</v>
      </c>
      <c r="AC50" s="23">
        <v>113.13400000333786</v>
      </c>
      <c r="AD50" s="27">
        <f t="shared" si="3"/>
        <v>864.62099809758365</v>
      </c>
    </row>
    <row r="51" spans="1:30" ht="15" customHeight="1">
      <c r="A51" s="28">
        <v>46</v>
      </c>
      <c r="B51" s="30" t="s">
        <v>72</v>
      </c>
      <c r="C51" s="31" t="s">
        <v>149</v>
      </c>
      <c r="D51" s="27">
        <f t="shared" si="2"/>
        <v>269.20411463396169</v>
      </c>
      <c r="E51" s="23" t="s">
        <v>27</v>
      </c>
      <c r="F51" s="23">
        <f>152.71540238595-0.5</f>
        <v>152.21540238595</v>
      </c>
      <c r="G51" s="23" t="s">
        <v>27</v>
      </c>
      <c r="H51" s="23">
        <f>37.3086956249028+1</f>
        <v>38.308695624902803</v>
      </c>
      <c r="I51" s="23">
        <v>41.16751182965934</v>
      </c>
      <c r="J51" s="32">
        <v>37.512504793449573</v>
      </c>
      <c r="K51" s="23" t="s">
        <v>27</v>
      </c>
      <c r="L51" s="23" t="s">
        <v>27</v>
      </c>
      <c r="M51" s="23" t="s">
        <v>27</v>
      </c>
      <c r="N51" s="23" t="s">
        <v>27</v>
      </c>
      <c r="O51" s="23" t="s">
        <v>27</v>
      </c>
      <c r="P51" s="32" t="s">
        <v>27</v>
      </c>
      <c r="Q51" s="32"/>
      <c r="R51" s="23" t="s">
        <v>27</v>
      </c>
      <c r="S51" s="23">
        <v>18.752999939024448</v>
      </c>
      <c r="T51" s="23" t="s">
        <v>27</v>
      </c>
      <c r="U51" s="23">
        <v>23.963999830186367</v>
      </c>
      <c r="V51" s="23">
        <v>78.952999986708164</v>
      </c>
      <c r="W51" s="23">
        <v>225.02200023829937</v>
      </c>
      <c r="X51" s="23" t="s">
        <v>27</v>
      </c>
      <c r="Y51" s="23" t="s">
        <v>27</v>
      </c>
      <c r="Z51" s="23" t="s">
        <v>27</v>
      </c>
      <c r="AA51" s="23" t="s">
        <v>27</v>
      </c>
      <c r="AB51" s="23" t="s">
        <v>27</v>
      </c>
      <c r="AC51" s="23" t="s">
        <v>27</v>
      </c>
      <c r="AD51" s="27">
        <f t="shared" si="3"/>
        <v>346.69199999421835</v>
      </c>
    </row>
    <row r="52" spans="1:30" ht="15" customHeight="1">
      <c r="A52" s="28">
        <v>47</v>
      </c>
      <c r="B52" s="30" t="s">
        <v>73</v>
      </c>
      <c r="C52" s="31" t="s">
        <v>150</v>
      </c>
      <c r="D52" s="27">
        <f t="shared" si="2"/>
        <v>3500.6127718517509</v>
      </c>
      <c r="E52" s="23">
        <v>776.26877717494961</v>
      </c>
      <c r="F52" s="23">
        <v>292.22329616069794</v>
      </c>
      <c r="G52" s="23">
        <v>92.753992601394657</v>
      </c>
      <c r="H52" s="23">
        <v>231.07850005146489</v>
      </c>
      <c r="I52" s="23">
        <v>187.64616345512866</v>
      </c>
      <c r="J52" s="32">
        <v>180.07438095870984</v>
      </c>
      <c r="K52" s="23">
        <v>256.30303015923499</v>
      </c>
      <c r="L52" s="23">
        <v>121.76459788852929</v>
      </c>
      <c r="M52" s="23">
        <v>435.83860822352767</v>
      </c>
      <c r="N52" s="23">
        <v>544.42043815190721</v>
      </c>
      <c r="O52" s="23">
        <v>200.00902594758199</v>
      </c>
      <c r="P52" s="32">
        <v>182.23196107862472</v>
      </c>
      <c r="Q52" s="32"/>
      <c r="R52" s="23">
        <v>18.713000059127808</v>
      </c>
      <c r="S52" s="23">
        <v>25.184000372886658</v>
      </c>
      <c r="T52" s="23">
        <v>13.274999774992466</v>
      </c>
      <c r="U52" s="23">
        <v>78.591000301763415</v>
      </c>
      <c r="V52" s="23">
        <v>139.26500001549721</v>
      </c>
      <c r="W52" s="23">
        <v>596.88200049381703</v>
      </c>
      <c r="X52" s="23">
        <v>5.9340000450611115</v>
      </c>
      <c r="Y52" s="23">
        <v>8.4160000085830688</v>
      </c>
      <c r="Z52" s="23">
        <v>17.360999695956707</v>
      </c>
      <c r="AA52" s="23">
        <v>63.619999998714775</v>
      </c>
      <c r="AB52" s="23">
        <v>52.095000021159649</v>
      </c>
      <c r="AC52" s="23">
        <v>314</v>
      </c>
      <c r="AD52" s="27">
        <f t="shared" si="3"/>
        <v>1333.3360007875599</v>
      </c>
    </row>
    <row r="53" spans="1:30" ht="15" customHeight="1">
      <c r="A53" s="28">
        <v>48</v>
      </c>
      <c r="B53" s="30" t="s">
        <v>74</v>
      </c>
      <c r="C53" s="31" t="s">
        <v>149</v>
      </c>
      <c r="D53" s="27">
        <f t="shared" si="2"/>
        <v>845.62437837661537</v>
      </c>
      <c r="E53" s="23" t="s">
        <v>27</v>
      </c>
      <c r="F53" s="23">
        <v>231.9214551493898</v>
      </c>
      <c r="G53" s="23">
        <v>173.73298667502402</v>
      </c>
      <c r="H53" s="23">
        <v>228.67402437679098</v>
      </c>
      <c r="I53" s="23">
        <v>103.36360216774047</v>
      </c>
      <c r="J53" s="32">
        <v>107.93231000767007</v>
      </c>
      <c r="K53" s="23" t="s">
        <v>27</v>
      </c>
      <c r="L53" s="23" t="s">
        <v>27</v>
      </c>
      <c r="M53" s="23" t="s">
        <v>27</v>
      </c>
      <c r="N53" s="23" t="s">
        <v>27</v>
      </c>
      <c r="O53" s="23" t="s">
        <v>27</v>
      </c>
      <c r="P53" s="32" t="s">
        <v>27</v>
      </c>
      <c r="Q53" s="32"/>
      <c r="R53" s="23" t="s">
        <v>27</v>
      </c>
      <c r="S53" s="23">
        <v>39.181999005377293</v>
      </c>
      <c r="T53" s="23">
        <v>27.63199982047081</v>
      </c>
      <c r="U53" s="23">
        <v>89.8290023393929</v>
      </c>
      <c r="V53" s="23">
        <v>70.944001458585262</v>
      </c>
      <c r="W53" s="23">
        <v>340.70100057125092</v>
      </c>
      <c r="X53" s="23" t="s">
        <v>27</v>
      </c>
      <c r="Y53" s="23" t="s">
        <v>27</v>
      </c>
      <c r="Z53" s="23" t="s">
        <v>27</v>
      </c>
      <c r="AA53" s="23" t="s">
        <v>27</v>
      </c>
      <c r="AB53" s="23" t="s">
        <v>27</v>
      </c>
      <c r="AC53" s="23" t="s">
        <v>27</v>
      </c>
      <c r="AD53" s="27">
        <f t="shared" si="3"/>
        <v>568.28800319507718</v>
      </c>
    </row>
    <row r="54" spans="1:30" ht="15" customHeight="1">
      <c r="A54" s="28">
        <v>49</v>
      </c>
      <c r="B54" s="30" t="s">
        <v>75</v>
      </c>
      <c r="C54" s="31" t="s">
        <v>150</v>
      </c>
      <c r="D54" s="27">
        <f t="shared" si="2"/>
        <v>384.47009812166158</v>
      </c>
      <c r="E54" s="23" t="s">
        <v>27</v>
      </c>
      <c r="F54" s="23" t="s">
        <v>27</v>
      </c>
      <c r="G54" s="23">
        <v>68.248312523230908</v>
      </c>
      <c r="H54" s="23">
        <v>124.79893053928018</v>
      </c>
      <c r="I54" s="23">
        <v>46.377622701108457</v>
      </c>
      <c r="J54" s="32">
        <v>71.566765477100688</v>
      </c>
      <c r="K54" s="23" t="s">
        <v>27</v>
      </c>
      <c r="L54" s="23" t="s">
        <v>27</v>
      </c>
      <c r="M54" s="23">
        <v>22.788304237432779</v>
      </c>
      <c r="N54" s="23">
        <v>22.386026907235383</v>
      </c>
      <c r="O54" s="23">
        <v>16.05549000824243</v>
      </c>
      <c r="P54" s="32">
        <v>12.248645728030732</v>
      </c>
      <c r="Q54" s="32"/>
      <c r="R54" s="23" t="s">
        <v>27</v>
      </c>
      <c r="S54" s="23" t="s">
        <v>27</v>
      </c>
      <c r="T54" s="23">
        <v>17.339999862015247</v>
      </c>
      <c r="U54" s="23">
        <v>54.583000421524048</v>
      </c>
      <c r="V54" s="23">
        <v>68.141999661922455</v>
      </c>
      <c r="W54" s="23">
        <v>363.4679998466745</v>
      </c>
      <c r="X54" s="23" t="s">
        <v>27</v>
      </c>
      <c r="Y54" s="23" t="s">
        <v>27</v>
      </c>
      <c r="Z54" s="23">
        <v>2.1320000141859055</v>
      </c>
      <c r="AA54" s="23">
        <v>4.3479999750852585</v>
      </c>
      <c r="AB54" s="23">
        <v>5.2920000180602074</v>
      </c>
      <c r="AC54" s="23">
        <v>24.449999988079071</v>
      </c>
      <c r="AD54" s="27">
        <f t="shared" si="3"/>
        <v>539.75499978754669</v>
      </c>
    </row>
    <row r="55" spans="1:30" ht="15" customHeight="1">
      <c r="A55" s="28">
        <v>50</v>
      </c>
      <c r="B55" s="30" t="s">
        <v>76</v>
      </c>
      <c r="C55" s="31" t="s">
        <v>149</v>
      </c>
      <c r="D55" s="27">
        <f t="shared" si="2"/>
        <v>1037.4904545905595</v>
      </c>
      <c r="E55" s="23">
        <v>662.58682209396363</v>
      </c>
      <c r="F55" s="23" t="s">
        <v>27</v>
      </c>
      <c r="G55" s="23" t="s">
        <v>27</v>
      </c>
      <c r="H55" s="23">
        <v>246.95691017351299</v>
      </c>
      <c r="I55" s="23">
        <v>47.062838178277019</v>
      </c>
      <c r="J55" s="32">
        <v>80.883884144805862</v>
      </c>
      <c r="K55" s="23" t="s">
        <v>27</v>
      </c>
      <c r="L55" s="23" t="s">
        <v>27</v>
      </c>
      <c r="M55" s="23" t="s">
        <v>27</v>
      </c>
      <c r="N55" s="23" t="s">
        <v>27</v>
      </c>
      <c r="O55" s="23" t="s">
        <v>27</v>
      </c>
      <c r="P55" s="32" t="s">
        <v>27</v>
      </c>
      <c r="Q55" s="32"/>
      <c r="R55" s="23">
        <v>20.665999889373779</v>
      </c>
      <c r="S55" s="23" t="s">
        <v>27</v>
      </c>
      <c r="T55" s="23" t="s">
        <v>27</v>
      </c>
      <c r="U55" s="23">
        <v>113.73399945348501</v>
      </c>
      <c r="V55" s="23">
        <v>97.309000343084335</v>
      </c>
      <c r="W55" s="23">
        <v>508.53100007027388</v>
      </c>
      <c r="X55" s="23" t="s">
        <v>27</v>
      </c>
      <c r="Y55" s="23" t="s">
        <v>27</v>
      </c>
      <c r="Z55" s="23" t="s">
        <v>27</v>
      </c>
      <c r="AA55" s="23" t="s">
        <v>27</v>
      </c>
      <c r="AB55" s="23" t="s">
        <v>27</v>
      </c>
      <c r="AC55" s="23" t="s">
        <v>27</v>
      </c>
      <c r="AD55" s="27">
        <f t="shared" si="3"/>
        <v>740.239999756217</v>
      </c>
    </row>
    <row r="56" spans="1:30" ht="15" customHeight="1">
      <c r="A56" s="28">
        <v>51</v>
      </c>
      <c r="B56" s="30" t="s">
        <v>77</v>
      </c>
      <c r="C56" s="31" t="s">
        <v>151</v>
      </c>
      <c r="D56" s="27">
        <f t="shared" si="2"/>
        <v>1481.0858829803021</v>
      </c>
      <c r="E56" s="23" t="s">
        <v>27</v>
      </c>
      <c r="F56" s="23">
        <v>306.34447738075255</v>
      </c>
      <c r="G56" s="23">
        <v>114.08415852007271</v>
      </c>
      <c r="H56" s="23">
        <v>77.626971193492409</v>
      </c>
      <c r="I56" s="23">
        <v>68.542225213646887</v>
      </c>
      <c r="J56" s="32">
        <v>94.695223823102992</v>
      </c>
      <c r="K56" s="23" t="s">
        <v>27</v>
      </c>
      <c r="L56" s="23">
        <v>142.42070898044111</v>
      </c>
      <c r="M56" s="23">
        <v>365.16035199230907</v>
      </c>
      <c r="N56" s="23">
        <f>194.128284633159+0.5</f>
        <v>194.62828463315901</v>
      </c>
      <c r="O56" s="23">
        <f>66.4966225325558+3</f>
        <v>69.496622532555804</v>
      </c>
      <c r="P56" s="32">
        <v>48.086858710769505</v>
      </c>
      <c r="Q56" s="32"/>
      <c r="R56" s="23" t="s">
        <v>27</v>
      </c>
      <c r="S56" s="23">
        <v>33.315000295639038</v>
      </c>
      <c r="T56" s="23">
        <v>24.147999793291092</v>
      </c>
      <c r="U56" s="23">
        <v>30.524000324308872</v>
      </c>
      <c r="V56" s="23">
        <v>107.18199932575226</v>
      </c>
      <c r="W56" s="23">
        <v>500.02100054174662</v>
      </c>
      <c r="X56" s="23" t="s">
        <v>27</v>
      </c>
      <c r="Y56" s="23">
        <v>6.3420000821352005</v>
      </c>
      <c r="Z56" s="23">
        <v>18.136000350117683</v>
      </c>
      <c r="AA56" s="23">
        <v>26.616999870166183</v>
      </c>
      <c r="AB56" s="23">
        <v>27.105000249575824</v>
      </c>
      <c r="AC56" s="23">
        <v>106.63100000843406</v>
      </c>
      <c r="AD56" s="27">
        <f t="shared" si="3"/>
        <v>880.02100084116682</v>
      </c>
    </row>
    <row r="57" spans="1:30" ht="15" customHeight="1">
      <c r="A57" s="28">
        <v>52</v>
      </c>
      <c r="B57" s="30" t="s">
        <v>78</v>
      </c>
      <c r="C57" s="31" t="s">
        <v>149</v>
      </c>
      <c r="D57" s="27">
        <f t="shared" si="2"/>
        <v>692.15945926035261</v>
      </c>
      <c r="E57" s="23">
        <v>378.88467974901198</v>
      </c>
      <c r="F57" s="23" t="s">
        <v>27</v>
      </c>
      <c r="G57" s="23">
        <v>102.23203991206363</v>
      </c>
      <c r="H57" s="23">
        <v>108.13820903646946</v>
      </c>
      <c r="I57" s="23">
        <v>57.727139631524679</v>
      </c>
      <c r="J57" s="32">
        <v>45.177390931282886</v>
      </c>
      <c r="K57" s="23" t="s">
        <v>27</v>
      </c>
      <c r="L57" s="23" t="s">
        <v>27</v>
      </c>
      <c r="M57" s="23" t="s">
        <v>27</v>
      </c>
      <c r="N57" s="23" t="s">
        <v>27</v>
      </c>
      <c r="O57" s="23" t="s">
        <v>27</v>
      </c>
      <c r="P57" s="32" t="s">
        <v>27</v>
      </c>
      <c r="Q57" s="32"/>
      <c r="R57" s="23">
        <v>13.358999967575073</v>
      </c>
      <c r="S57" s="23" t="s">
        <v>27</v>
      </c>
      <c r="T57" s="23">
        <v>29.735999947413802</v>
      </c>
      <c r="U57" s="23">
        <v>51.801000624895096</v>
      </c>
      <c r="V57" s="23">
        <v>106.76099960505962</v>
      </c>
      <c r="W57" s="23">
        <v>264.91700020432472</v>
      </c>
      <c r="X57" s="23" t="s">
        <v>27</v>
      </c>
      <c r="Y57" s="23" t="s">
        <v>27</v>
      </c>
      <c r="Z57" s="23" t="s">
        <v>27</v>
      </c>
      <c r="AA57" s="23" t="s">
        <v>27</v>
      </c>
      <c r="AB57" s="23" t="s">
        <v>27</v>
      </c>
      <c r="AC57" s="23" t="s">
        <v>27</v>
      </c>
      <c r="AD57" s="27">
        <f t="shared" si="3"/>
        <v>466.57400034926832</v>
      </c>
    </row>
    <row r="58" spans="1:30" ht="15" customHeight="1">
      <c r="A58" s="28">
        <v>53</v>
      </c>
      <c r="B58" s="30" t="s">
        <v>79</v>
      </c>
      <c r="C58" s="31" t="s">
        <v>149</v>
      </c>
      <c r="D58" s="27">
        <f t="shared" si="2"/>
        <v>191.62656438088524</v>
      </c>
      <c r="E58" s="23" t="s">
        <v>27</v>
      </c>
      <c r="F58" s="23">
        <v>83.060813512578605</v>
      </c>
      <c r="G58" s="23">
        <v>10.560180937543512</v>
      </c>
      <c r="H58" s="23">
        <v>55.868787363033739</v>
      </c>
      <c r="I58" s="23">
        <v>13.474597169056535</v>
      </c>
      <c r="J58" s="32">
        <v>28.662185398672886</v>
      </c>
      <c r="K58" s="23" t="s">
        <v>27</v>
      </c>
      <c r="L58" s="23" t="s">
        <v>27</v>
      </c>
      <c r="M58" s="23" t="s">
        <v>27</v>
      </c>
      <c r="N58" s="23" t="s">
        <v>27</v>
      </c>
      <c r="O58" s="23" t="s">
        <v>27</v>
      </c>
      <c r="P58" s="32" t="s">
        <v>27</v>
      </c>
      <c r="Q58" s="32"/>
      <c r="R58" s="23" t="s">
        <v>27</v>
      </c>
      <c r="S58" s="23">
        <v>20.035000491887331</v>
      </c>
      <c r="T58" s="23">
        <v>18.376999661326408</v>
      </c>
      <c r="U58" s="23">
        <v>46.561000388115644</v>
      </c>
      <c r="V58" s="23">
        <v>54.973000690340996</v>
      </c>
      <c r="W58" s="23">
        <v>275.53700022026896</v>
      </c>
      <c r="X58" s="23" t="s">
        <v>27</v>
      </c>
      <c r="Y58" s="23" t="s">
        <v>27</v>
      </c>
      <c r="Z58" s="23" t="s">
        <v>27</v>
      </c>
      <c r="AA58" s="23" t="s">
        <v>27</v>
      </c>
      <c r="AB58" s="23" t="s">
        <v>27</v>
      </c>
      <c r="AC58" s="23" t="s">
        <v>27</v>
      </c>
      <c r="AD58" s="27">
        <f t="shared" si="3"/>
        <v>415.48300145193934</v>
      </c>
    </row>
    <row r="59" spans="1:30" ht="15" customHeight="1">
      <c r="A59" s="28">
        <v>54</v>
      </c>
      <c r="B59" s="30" t="s">
        <v>80</v>
      </c>
      <c r="C59" s="31" t="s">
        <v>150</v>
      </c>
      <c r="D59" s="27">
        <f t="shared" si="2"/>
        <v>1646.3660877981742</v>
      </c>
      <c r="E59" s="23" t="s">
        <v>27</v>
      </c>
      <c r="F59" s="23">
        <v>510.47617982947827</v>
      </c>
      <c r="G59" s="23">
        <v>75.396972193852065</v>
      </c>
      <c r="H59" s="23">
        <v>293.68942113625633</v>
      </c>
      <c r="I59" s="23">
        <v>118.65376382052153</v>
      </c>
      <c r="J59" s="32">
        <v>156.50889891556102</v>
      </c>
      <c r="K59" s="23" t="s">
        <v>27</v>
      </c>
      <c r="L59" s="23">
        <v>119.89969991934299</v>
      </c>
      <c r="M59" s="23">
        <v>53.486849636673931</v>
      </c>
      <c r="N59" s="23">
        <v>173.96150710566715</v>
      </c>
      <c r="O59" s="23">
        <v>71.809240652449432</v>
      </c>
      <c r="P59" s="32">
        <v>72.483554588371334</v>
      </c>
      <c r="Q59" s="32"/>
      <c r="R59" s="23" t="s">
        <v>27</v>
      </c>
      <c r="S59" s="23">
        <v>42.097999215126038</v>
      </c>
      <c r="T59" s="23">
        <v>13.294000081717968</v>
      </c>
      <c r="U59" s="23">
        <v>95.148999512195587</v>
      </c>
      <c r="V59" s="23">
        <v>118.00199985876679</v>
      </c>
      <c r="W59" s="23">
        <v>622.86099984776229</v>
      </c>
      <c r="X59" s="23" t="s">
        <v>27</v>
      </c>
      <c r="Y59" s="23">
        <v>6.4700000584125519</v>
      </c>
      <c r="Z59" s="23">
        <v>4.1699999570846558</v>
      </c>
      <c r="AA59" s="23">
        <v>16.303000248968601</v>
      </c>
      <c r="AB59" s="23">
        <v>18.667999964207411</v>
      </c>
      <c r="AC59" s="23">
        <v>124.74600001424551</v>
      </c>
      <c r="AD59" s="27">
        <f t="shared" si="3"/>
        <v>1061.7609987584874</v>
      </c>
    </row>
    <row r="60" spans="1:30" ht="15" customHeight="1">
      <c r="A60" s="28">
        <v>55</v>
      </c>
      <c r="B60" s="30" t="s">
        <v>81</v>
      </c>
      <c r="C60" s="31" t="s">
        <v>149</v>
      </c>
      <c r="D60" s="27">
        <f t="shared" si="2"/>
        <v>320.5075975854021</v>
      </c>
      <c r="E60" s="23" t="s">
        <v>27</v>
      </c>
      <c r="F60" s="23" t="s">
        <v>27</v>
      </c>
      <c r="G60" s="23">
        <v>167.46164082527162</v>
      </c>
      <c r="H60" s="23">
        <v>36.385418925441805</v>
      </c>
      <c r="I60" s="23">
        <v>35.797906822502611</v>
      </c>
      <c r="J60" s="32">
        <v>80.862631012186085</v>
      </c>
      <c r="K60" s="23" t="s">
        <v>27</v>
      </c>
      <c r="L60" s="23" t="s">
        <v>27</v>
      </c>
      <c r="M60" s="23" t="s">
        <v>27</v>
      </c>
      <c r="N60" s="23" t="s">
        <v>27</v>
      </c>
      <c r="O60" s="23" t="s">
        <v>27</v>
      </c>
      <c r="P60" s="32" t="s">
        <v>27</v>
      </c>
      <c r="Q60" s="32"/>
      <c r="R60" s="23" t="s">
        <v>27</v>
      </c>
      <c r="S60" s="23" t="s">
        <v>27</v>
      </c>
      <c r="T60" s="23">
        <v>50.503999583423138</v>
      </c>
      <c r="U60" s="23">
        <v>40.600000537931919</v>
      </c>
      <c r="V60" s="23">
        <v>84.042999446392059</v>
      </c>
      <c r="W60" s="23">
        <v>550.39299988001585</v>
      </c>
      <c r="X60" s="23" t="s">
        <v>27</v>
      </c>
      <c r="Y60" s="23" t="s">
        <v>27</v>
      </c>
      <c r="Z60" s="23" t="s">
        <v>27</v>
      </c>
      <c r="AA60" s="23" t="s">
        <v>27</v>
      </c>
      <c r="AB60" s="23" t="s">
        <v>27</v>
      </c>
      <c r="AC60" s="23" t="s">
        <v>27</v>
      </c>
      <c r="AD60" s="27">
        <f t="shared" si="3"/>
        <v>725.53999944776297</v>
      </c>
    </row>
    <row r="61" spans="1:30" ht="15" customHeight="1">
      <c r="A61" s="28">
        <v>56</v>
      </c>
      <c r="B61" s="30" t="s">
        <v>82</v>
      </c>
      <c r="C61" s="31" t="s">
        <v>151</v>
      </c>
      <c r="D61" s="27">
        <f t="shared" si="2"/>
        <v>18335.952360679101</v>
      </c>
      <c r="E61" s="23">
        <v>158.52460546493529</v>
      </c>
      <c r="F61" s="23">
        <v>114.67580198258162</v>
      </c>
      <c r="G61" s="23">
        <v>70.077614620782441</v>
      </c>
      <c r="H61" s="23">
        <v>2.7072000503540039</v>
      </c>
      <c r="I61" s="23">
        <v>30.836016649520026</v>
      </c>
      <c r="J61" s="32">
        <v>33.981541096828273</v>
      </c>
      <c r="K61" s="23">
        <v>7763.7851845077876</v>
      </c>
      <c r="L61" s="23">
        <v>460.04680054232477</v>
      </c>
      <c r="M61" s="23">
        <v>3655.1375381519365</v>
      </c>
      <c r="N61" s="23">
        <v>2971.1856825410082</v>
      </c>
      <c r="O61" s="23">
        <v>1414.8530459811539</v>
      </c>
      <c r="P61" s="32">
        <v>1660.1413290898877</v>
      </c>
      <c r="Q61" s="32"/>
      <c r="R61" s="23">
        <v>3.2090001106262207</v>
      </c>
      <c r="S61" s="23">
        <v>4.8920000847429037</v>
      </c>
      <c r="T61" s="23">
        <v>7.6079999431967735</v>
      </c>
      <c r="U61" s="23">
        <v>0.42300000786781311</v>
      </c>
      <c r="V61" s="23">
        <v>22.433999611996114</v>
      </c>
      <c r="W61" s="23">
        <v>111.24300003051758</v>
      </c>
      <c r="X61" s="23">
        <v>93.621999993920326</v>
      </c>
      <c r="Y61" s="23">
        <v>13.651000034064054</v>
      </c>
      <c r="Z61" s="23">
        <v>158.70699976733886</v>
      </c>
      <c r="AA61" s="23">
        <v>239.84299962362275</v>
      </c>
      <c r="AB61" s="23">
        <v>265.53900021826848</v>
      </c>
      <c r="AC61" s="23">
        <v>2330.8950000125915</v>
      </c>
      <c r="AD61" s="27">
        <f t="shared" si="3"/>
        <v>3252.0659994387534</v>
      </c>
    </row>
    <row r="62" spans="1:30" ht="15" customHeight="1">
      <c r="A62" s="28">
        <v>57</v>
      </c>
      <c r="B62" s="30" t="s">
        <v>83</v>
      </c>
      <c r="C62" s="31" t="s">
        <v>157</v>
      </c>
      <c r="D62" s="27">
        <f t="shared" si="2"/>
        <v>999.41733585087195</v>
      </c>
      <c r="E62" s="23" t="s">
        <v>27</v>
      </c>
      <c r="F62" s="23">
        <f>260.887492280006+7</f>
        <v>267.88749228000597</v>
      </c>
      <c r="G62" s="23">
        <v>92.580949886560447</v>
      </c>
      <c r="H62" s="23">
        <v>62.655422531917694</v>
      </c>
      <c r="I62" s="23">
        <v>66.110199570152915</v>
      </c>
      <c r="J62" s="32">
        <v>58.377567596316268</v>
      </c>
      <c r="K62" s="23" t="s">
        <v>27</v>
      </c>
      <c r="L62" s="23" t="s">
        <v>27</v>
      </c>
      <c r="M62" s="23">
        <v>237.62310984814167</v>
      </c>
      <c r="N62" s="23">
        <v>127.46284643685445</v>
      </c>
      <c r="O62" s="23">
        <v>48.808107987008988</v>
      </c>
      <c r="P62" s="32">
        <v>37.911639713913601</v>
      </c>
      <c r="Q62" s="32"/>
      <c r="R62" s="23" t="s">
        <v>27</v>
      </c>
      <c r="S62" s="23">
        <v>9.2130001783370972</v>
      </c>
      <c r="T62" s="23">
        <v>10.96999990940094</v>
      </c>
      <c r="U62" s="23">
        <v>20.795999951660633</v>
      </c>
      <c r="V62" s="23">
        <v>57.89200028963387</v>
      </c>
      <c r="W62" s="23">
        <v>214.57199974358082</v>
      </c>
      <c r="X62" s="23" t="s">
        <v>27</v>
      </c>
      <c r="Y62" s="23" t="s">
        <v>27</v>
      </c>
      <c r="Z62" s="23">
        <v>7.3350000083446503</v>
      </c>
      <c r="AA62" s="23">
        <v>11.031000016257167</v>
      </c>
      <c r="AB62" s="23">
        <v>14.526000026613474</v>
      </c>
      <c r="AC62" s="23">
        <v>71</v>
      </c>
      <c r="AD62" s="27">
        <f t="shared" si="3"/>
        <v>417.33500012382865</v>
      </c>
    </row>
    <row r="63" spans="1:30" ht="15" customHeight="1">
      <c r="A63" s="28">
        <v>58</v>
      </c>
      <c r="B63" s="30" t="s">
        <v>84</v>
      </c>
      <c r="C63" s="31" t="s">
        <v>149</v>
      </c>
      <c r="D63" s="27">
        <f t="shared" si="2"/>
        <v>616.60560743783617</v>
      </c>
      <c r="E63" s="23" t="s">
        <v>27</v>
      </c>
      <c r="F63" s="23">
        <v>227.63466937147825</v>
      </c>
      <c r="G63" s="23">
        <v>21.6317200563848</v>
      </c>
      <c r="H63" s="23">
        <v>220.8711976864524</v>
      </c>
      <c r="I63" s="23">
        <v>73.438422968635336</v>
      </c>
      <c r="J63" s="32">
        <v>73.029597354885425</v>
      </c>
      <c r="K63" s="23" t="s">
        <v>27</v>
      </c>
      <c r="L63" s="23" t="s">
        <v>27</v>
      </c>
      <c r="M63" s="23" t="s">
        <v>27</v>
      </c>
      <c r="N63" s="23" t="s">
        <v>27</v>
      </c>
      <c r="O63" s="23" t="s">
        <v>27</v>
      </c>
      <c r="P63" s="32" t="s">
        <v>27</v>
      </c>
      <c r="Q63" s="32"/>
      <c r="R63" s="23" t="s">
        <v>27</v>
      </c>
      <c r="S63" s="23">
        <v>24.747000690549612</v>
      </c>
      <c r="T63" s="23">
        <v>4.6420000120997429</v>
      </c>
      <c r="U63" s="23">
        <v>56.535999493673444</v>
      </c>
      <c r="V63" s="23">
        <v>88.538999663665891</v>
      </c>
      <c r="W63" s="23">
        <v>327.7829998806119</v>
      </c>
      <c r="X63" s="23" t="s">
        <v>27</v>
      </c>
      <c r="Y63" s="23" t="s">
        <v>27</v>
      </c>
      <c r="Z63" s="23" t="s">
        <v>27</v>
      </c>
      <c r="AA63" s="23" t="s">
        <v>27</v>
      </c>
      <c r="AB63" s="23" t="s">
        <v>27</v>
      </c>
      <c r="AC63" s="23" t="s">
        <v>27</v>
      </c>
      <c r="AD63" s="27">
        <f t="shared" si="3"/>
        <v>502.24699974060059</v>
      </c>
    </row>
    <row r="64" spans="1:30" ht="15" customHeight="1">
      <c r="A64" s="28">
        <v>59</v>
      </c>
      <c r="B64" s="30" t="s">
        <v>85</v>
      </c>
      <c r="C64" s="31" t="s">
        <v>151</v>
      </c>
      <c r="D64" s="27">
        <f t="shared" si="2"/>
        <v>3895.3972394844277</v>
      </c>
      <c r="E64" s="23">
        <v>138.15600514411926</v>
      </c>
      <c r="F64" s="23" t="s">
        <v>27</v>
      </c>
      <c r="G64" s="23" t="s">
        <v>27</v>
      </c>
      <c r="H64" s="23">
        <v>110.28517648043484</v>
      </c>
      <c r="I64" s="23">
        <v>15.647944908589125</v>
      </c>
      <c r="J64" s="32">
        <v>16.979242187450136</v>
      </c>
      <c r="K64" s="23">
        <v>2016.9773081548215</v>
      </c>
      <c r="L64" s="23" t="s">
        <v>27</v>
      </c>
      <c r="M64" s="23">
        <v>142.00756910241208</v>
      </c>
      <c r="N64" s="23">
        <v>813.4295968536436</v>
      </c>
      <c r="O64" s="23">
        <f>328.6817731754-13</f>
        <v>315.6817731754</v>
      </c>
      <c r="P64" s="32">
        <v>326.23262347755752</v>
      </c>
      <c r="Q64" s="32"/>
      <c r="R64" s="23">
        <v>3.1760001182556152</v>
      </c>
      <c r="S64" s="23" t="s">
        <v>27</v>
      </c>
      <c r="T64" s="23" t="s">
        <v>27</v>
      </c>
      <c r="U64" s="23">
        <v>37.072999617084861</v>
      </c>
      <c r="V64" s="23">
        <v>28.519999653100967</v>
      </c>
      <c r="W64" s="23">
        <v>98.660999983549118</v>
      </c>
      <c r="X64" s="23">
        <v>16.248000383377075</v>
      </c>
      <c r="Y64" s="23" t="s">
        <v>27</v>
      </c>
      <c r="Z64" s="23">
        <v>12.364999857265502</v>
      </c>
      <c r="AA64" s="23">
        <v>68.127999890595675</v>
      </c>
      <c r="AB64" s="23">
        <v>66.11500047147274</v>
      </c>
      <c r="AC64" s="23">
        <v>490.53099985420704</v>
      </c>
      <c r="AD64" s="27">
        <f t="shared" si="3"/>
        <v>820.81699982890859</v>
      </c>
    </row>
    <row r="65" spans="1:30" ht="15" customHeight="1">
      <c r="A65" s="28">
        <v>60</v>
      </c>
      <c r="B65" s="30" t="s">
        <v>86</v>
      </c>
      <c r="C65" s="31" t="s">
        <v>149</v>
      </c>
      <c r="D65" s="27">
        <f t="shared" si="2"/>
        <v>515.49833217059154</v>
      </c>
      <c r="E65" s="23" t="s">
        <v>27</v>
      </c>
      <c r="F65" s="23">
        <v>184.26139008831979</v>
      </c>
      <c r="G65" s="23" t="s">
        <v>27</v>
      </c>
      <c r="H65" s="23">
        <v>177.79018169459701</v>
      </c>
      <c r="I65" s="23">
        <v>94.565839513242238</v>
      </c>
      <c r="J65" s="32">
        <v>58.880920874432533</v>
      </c>
      <c r="K65" s="23" t="s">
        <v>27</v>
      </c>
      <c r="L65" s="23" t="s">
        <v>27</v>
      </c>
      <c r="M65" s="23" t="s">
        <v>27</v>
      </c>
      <c r="N65" s="23" t="s">
        <v>27</v>
      </c>
      <c r="O65" s="23" t="s">
        <v>27</v>
      </c>
      <c r="P65" s="32" t="s">
        <v>27</v>
      </c>
      <c r="Q65" s="32"/>
      <c r="R65" s="23" t="s">
        <v>27</v>
      </c>
      <c r="S65" s="23">
        <v>29.472999572753906</v>
      </c>
      <c r="T65" s="23" t="s">
        <v>27</v>
      </c>
      <c r="U65" s="23">
        <v>67.849001243710518</v>
      </c>
      <c r="V65" s="23">
        <v>100.48700053989887</v>
      </c>
      <c r="W65" s="23">
        <v>244.23099994659424</v>
      </c>
      <c r="X65" s="23" t="s">
        <v>27</v>
      </c>
      <c r="Y65" s="23" t="s">
        <v>27</v>
      </c>
      <c r="Z65" s="23" t="s">
        <v>27</v>
      </c>
      <c r="AA65" s="23" t="s">
        <v>27</v>
      </c>
      <c r="AB65" s="23" t="s">
        <v>27</v>
      </c>
      <c r="AC65" s="23" t="s">
        <v>27</v>
      </c>
      <c r="AD65" s="27">
        <f t="shared" si="3"/>
        <v>442.04000130295753</v>
      </c>
    </row>
    <row r="66" spans="1:30" ht="15" customHeight="1">
      <c r="A66" s="28">
        <v>61</v>
      </c>
      <c r="B66" s="30" t="s">
        <v>87</v>
      </c>
      <c r="C66" s="31" t="s">
        <v>150</v>
      </c>
      <c r="D66" s="27">
        <f t="shared" si="2"/>
        <v>886.04684779835566</v>
      </c>
      <c r="E66" s="23" t="s">
        <v>27</v>
      </c>
      <c r="F66" s="23">
        <v>450.10076208639146</v>
      </c>
      <c r="G66" s="23" t="s">
        <v>27</v>
      </c>
      <c r="H66" s="23">
        <v>138.90818775530906</v>
      </c>
      <c r="I66" s="23">
        <v>104.92002860753239</v>
      </c>
      <c r="J66" s="32">
        <v>126.51211065996668</v>
      </c>
      <c r="K66" s="23" t="s">
        <v>27</v>
      </c>
      <c r="L66" s="23" t="s">
        <v>27</v>
      </c>
      <c r="M66" s="23">
        <v>23.936324648380278</v>
      </c>
      <c r="N66" s="23">
        <v>23.782120047330856</v>
      </c>
      <c r="O66" s="23">
        <v>10.071990104593336</v>
      </c>
      <c r="P66" s="32">
        <v>7.8153238888516157</v>
      </c>
      <c r="Q66" s="32"/>
      <c r="R66" s="23" t="s">
        <v>27</v>
      </c>
      <c r="S66" s="23">
        <v>29.233999967575073</v>
      </c>
      <c r="T66" s="23" t="s">
        <v>27</v>
      </c>
      <c r="U66" s="23">
        <v>63.973999977111816</v>
      </c>
      <c r="V66" s="23">
        <v>91.325001269578934</v>
      </c>
      <c r="W66" s="23">
        <v>463.25800000876188</v>
      </c>
      <c r="X66" s="23" t="s">
        <v>27</v>
      </c>
      <c r="Y66" s="23" t="s">
        <v>27</v>
      </c>
      <c r="Z66" s="23">
        <v>1.0210000276565552</v>
      </c>
      <c r="AA66" s="23">
        <v>2.995000034570694</v>
      </c>
      <c r="AB66" s="23">
        <v>6.1600000334437937</v>
      </c>
      <c r="AC66" s="23">
        <v>22.954999983310699</v>
      </c>
      <c r="AD66" s="27">
        <f t="shared" si="3"/>
        <v>680.92200130200945</v>
      </c>
    </row>
    <row r="67" spans="1:30" ht="15" customHeight="1">
      <c r="A67" s="28">
        <v>62</v>
      </c>
      <c r="B67" s="30" t="s">
        <v>88</v>
      </c>
      <c r="C67" s="31" t="s">
        <v>149</v>
      </c>
      <c r="D67" s="27">
        <f t="shared" si="2"/>
        <v>490.94290396339909</v>
      </c>
      <c r="E67" s="23">
        <v>127.14368208074569</v>
      </c>
      <c r="F67" s="23" t="s">
        <v>27</v>
      </c>
      <c r="G67" s="23">
        <v>140.33655131276697</v>
      </c>
      <c r="H67" s="23">
        <v>111.54333342530579</v>
      </c>
      <c r="I67" s="23">
        <v>52.790259399682284</v>
      </c>
      <c r="J67" s="32">
        <v>59.129077744898375</v>
      </c>
      <c r="K67" s="23" t="s">
        <v>27</v>
      </c>
      <c r="L67" s="23" t="s">
        <v>27</v>
      </c>
      <c r="M67" s="23" t="s">
        <v>27</v>
      </c>
      <c r="N67" s="23" t="s">
        <v>27</v>
      </c>
      <c r="O67" s="23" t="s">
        <v>27</v>
      </c>
      <c r="P67" s="32" t="s">
        <v>27</v>
      </c>
      <c r="Q67" s="32"/>
      <c r="R67" s="23">
        <v>4.0390000343322754</v>
      </c>
      <c r="S67" s="23" t="s">
        <v>27</v>
      </c>
      <c r="T67" s="23">
        <v>27.328000215813518</v>
      </c>
      <c r="U67" s="23">
        <v>46.136999987065792</v>
      </c>
      <c r="V67" s="23">
        <v>76.76299960911274</v>
      </c>
      <c r="W67" s="23">
        <v>298.35899967141449</v>
      </c>
      <c r="X67" s="23" t="s">
        <v>27</v>
      </c>
      <c r="Y67" s="23" t="s">
        <v>27</v>
      </c>
      <c r="Z67" s="23" t="s">
        <v>27</v>
      </c>
      <c r="AA67" s="23" t="s">
        <v>27</v>
      </c>
      <c r="AB67" s="23" t="s">
        <v>27</v>
      </c>
      <c r="AC67" s="23" t="s">
        <v>27</v>
      </c>
      <c r="AD67" s="27">
        <f t="shared" si="3"/>
        <v>452.62599951773882</v>
      </c>
    </row>
    <row r="68" spans="1:30" ht="15" customHeight="1">
      <c r="A68" s="28">
        <v>63</v>
      </c>
      <c r="B68" s="30" t="s">
        <v>89</v>
      </c>
      <c r="C68" s="31" t="s">
        <v>150</v>
      </c>
      <c r="D68" s="27">
        <f t="shared" si="2"/>
        <v>2164.6559491803778</v>
      </c>
      <c r="E68" s="23">
        <v>706.64857834482189</v>
      </c>
      <c r="F68" s="23">
        <v>143.99616246223451</v>
      </c>
      <c r="G68" s="23">
        <v>77.752305244326593</v>
      </c>
      <c r="H68" s="23">
        <v>480.11949395472556</v>
      </c>
      <c r="I68" s="23">
        <v>82.492369040280579</v>
      </c>
      <c r="J68" s="32">
        <v>177.85406878539703</v>
      </c>
      <c r="K68" s="23">
        <v>132.82460342979431</v>
      </c>
      <c r="L68" s="23" t="s">
        <v>27</v>
      </c>
      <c r="M68" s="23">
        <v>204.98099464905263</v>
      </c>
      <c r="N68" s="23">
        <v>116.33062832987308</v>
      </c>
      <c r="O68" s="23">
        <v>17.177837737381459</v>
      </c>
      <c r="P68" s="32">
        <v>24.478907202489978</v>
      </c>
      <c r="Q68" s="32"/>
      <c r="R68" s="23">
        <v>19.266000658273697</v>
      </c>
      <c r="S68" s="23">
        <v>16.486999750137329</v>
      </c>
      <c r="T68" s="23">
        <v>11.976000159978867</v>
      </c>
      <c r="U68" s="23">
        <v>101.70499958656728</v>
      </c>
      <c r="V68" s="23">
        <v>93.044000178575516</v>
      </c>
      <c r="W68" s="23">
        <v>765.72300010081381</v>
      </c>
      <c r="X68" s="23">
        <v>3.5580000877380371</v>
      </c>
      <c r="Y68" s="23" t="s">
        <v>27</v>
      </c>
      <c r="Z68" s="23">
        <v>11.063999973237514</v>
      </c>
      <c r="AA68" s="23">
        <v>10.811999920755625</v>
      </c>
      <c r="AB68" s="23">
        <v>8.0189998894929886</v>
      </c>
      <c r="AC68" s="23">
        <v>60.732999952509999</v>
      </c>
      <c r="AD68" s="27">
        <f t="shared" si="3"/>
        <v>1102.3870002580807</v>
      </c>
    </row>
    <row r="69" spans="1:30" ht="15" customHeight="1">
      <c r="A69" s="28">
        <v>64</v>
      </c>
      <c r="B69" s="30" t="s">
        <v>90</v>
      </c>
      <c r="C69" s="31" t="s">
        <v>149</v>
      </c>
      <c r="D69" s="27">
        <f t="shared" si="2"/>
        <v>569.78209795084649</v>
      </c>
      <c r="E69" s="23" t="s">
        <v>27</v>
      </c>
      <c r="F69" s="23">
        <v>297.17886454744638</v>
      </c>
      <c r="G69" s="23" t="s">
        <v>27</v>
      </c>
      <c r="H69" s="23">
        <v>120.11088986605405</v>
      </c>
      <c r="I69" s="23">
        <v>56.854464231133463</v>
      </c>
      <c r="J69" s="32">
        <v>95.637879306212568</v>
      </c>
      <c r="K69" s="23" t="s">
        <v>27</v>
      </c>
      <c r="L69" s="23" t="s">
        <v>27</v>
      </c>
      <c r="M69" s="23" t="s">
        <v>27</v>
      </c>
      <c r="N69" s="23" t="s">
        <v>27</v>
      </c>
      <c r="O69" s="23" t="s">
        <v>27</v>
      </c>
      <c r="P69" s="32" t="s">
        <v>27</v>
      </c>
      <c r="Q69" s="32"/>
      <c r="R69" s="23" t="s">
        <v>27</v>
      </c>
      <c r="S69" s="23">
        <v>34.151999939233065</v>
      </c>
      <c r="T69" s="23" t="s">
        <v>27</v>
      </c>
      <c r="U69" s="23">
        <v>96.075999554246664</v>
      </c>
      <c r="V69" s="23">
        <v>64.600999802350998</v>
      </c>
      <c r="W69" s="23">
        <v>413.65400046855211</v>
      </c>
      <c r="X69" s="23" t="s">
        <v>27</v>
      </c>
      <c r="Y69" s="23" t="s">
        <v>27</v>
      </c>
      <c r="Z69" s="23" t="s">
        <v>27</v>
      </c>
      <c r="AA69" s="23" t="s">
        <v>27</v>
      </c>
      <c r="AB69" s="23" t="s">
        <v>27</v>
      </c>
      <c r="AC69" s="23" t="s">
        <v>27</v>
      </c>
      <c r="AD69" s="27">
        <f t="shared" si="3"/>
        <v>608.48299976438284</v>
      </c>
    </row>
    <row r="70" spans="1:30" ht="15" customHeight="1">
      <c r="A70" s="28">
        <v>65</v>
      </c>
      <c r="B70" s="30" t="s">
        <v>91</v>
      </c>
      <c r="C70" s="31" t="s">
        <v>149</v>
      </c>
      <c r="D70" s="27">
        <f t="shared" ref="D70:D101" si="4">SUM(E70:J70)+SUM(K70:P70)</f>
        <v>204.76365256548058</v>
      </c>
      <c r="E70" s="23" t="s">
        <v>27</v>
      </c>
      <c r="F70" s="23" t="s">
        <v>27</v>
      </c>
      <c r="G70" s="23">
        <v>60.735222424358128</v>
      </c>
      <c r="H70" s="23">
        <v>58.077850294560193</v>
      </c>
      <c r="I70" s="23">
        <v>28.427400773495435</v>
      </c>
      <c r="J70" s="32">
        <v>57.523179073066849</v>
      </c>
      <c r="K70" s="23" t="s">
        <v>27</v>
      </c>
      <c r="L70" s="23" t="s">
        <v>27</v>
      </c>
      <c r="M70" s="23" t="s">
        <v>27</v>
      </c>
      <c r="N70" s="23" t="s">
        <v>27</v>
      </c>
      <c r="O70" s="23" t="s">
        <v>27</v>
      </c>
      <c r="P70" s="32" t="s">
        <v>27</v>
      </c>
      <c r="Q70" s="32"/>
      <c r="R70" s="23" t="s">
        <v>27</v>
      </c>
      <c r="S70" s="23" t="s">
        <v>27</v>
      </c>
      <c r="T70" s="23">
        <v>14.845000192523003</v>
      </c>
      <c r="U70" s="23">
        <v>39.337999358773232</v>
      </c>
      <c r="V70" s="23">
        <v>55.333999544382095</v>
      </c>
      <c r="W70" s="23">
        <v>348.27000017464161</v>
      </c>
      <c r="X70" s="23" t="s">
        <v>27</v>
      </c>
      <c r="Y70" s="23" t="s">
        <v>27</v>
      </c>
      <c r="Z70" s="23" t="s">
        <v>27</v>
      </c>
      <c r="AA70" s="23" t="s">
        <v>27</v>
      </c>
      <c r="AB70" s="23" t="s">
        <v>27</v>
      </c>
      <c r="AC70" s="23" t="s">
        <v>27</v>
      </c>
      <c r="AD70" s="27">
        <f t="shared" ref="AD70:AD101" si="5">SUM(R70:AC70)</f>
        <v>457.78699927031994</v>
      </c>
    </row>
    <row r="71" spans="1:30" ht="15" customHeight="1">
      <c r="A71" s="28">
        <v>66</v>
      </c>
      <c r="B71" s="30" t="s">
        <v>92</v>
      </c>
      <c r="C71" s="31" t="s">
        <v>149</v>
      </c>
      <c r="D71" s="27">
        <f t="shared" si="4"/>
        <v>384.9082869696457</v>
      </c>
      <c r="E71" s="23" t="s">
        <v>27</v>
      </c>
      <c r="F71" s="23">
        <v>73.126618519544607</v>
      </c>
      <c r="G71" s="23">
        <v>89.872207251690327</v>
      </c>
      <c r="H71" s="23">
        <v>80.204880588531495</v>
      </c>
      <c r="I71" s="23">
        <v>58.700130887925624</v>
      </c>
      <c r="J71" s="32">
        <v>83.004449721953705</v>
      </c>
      <c r="K71" s="23" t="s">
        <v>27</v>
      </c>
      <c r="L71" s="23" t="s">
        <v>27</v>
      </c>
      <c r="M71" s="23" t="s">
        <v>27</v>
      </c>
      <c r="N71" s="23" t="s">
        <v>27</v>
      </c>
      <c r="O71" s="23" t="s">
        <v>27</v>
      </c>
      <c r="P71" s="32" t="s">
        <v>27</v>
      </c>
      <c r="Q71" s="32"/>
      <c r="R71" s="23" t="s">
        <v>27</v>
      </c>
      <c r="S71" s="23">
        <v>15.096999883651733</v>
      </c>
      <c r="T71" s="23">
        <v>26.136999759823084</v>
      </c>
      <c r="U71" s="23">
        <v>43.135000705718994</v>
      </c>
      <c r="V71" s="23">
        <v>72.035000205039978</v>
      </c>
      <c r="W71" s="23">
        <v>376.69999994337559</v>
      </c>
      <c r="X71" s="23" t="s">
        <v>27</v>
      </c>
      <c r="Y71" s="23" t="s">
        <v>27</v>
      </c>
      <c r="Z71" s="23" t="s">
        <v>27</v>
      </c>
      <c r="AA71" s="23" t="s">
        <v>27</v>
      </c>
      <c r="AB71" s="23" t="s">
        <v>27</v>
      </c>
      <c r="AC71" s="23" t="s">
        <v>27</v>
      </c>
      <c r="AD71" s="27">
        <f t="shared" si="5"/>
        <v>533.10400049760938</v>
      </c>
    </row>
    <row r="72" spans="1:30" ht="15" customHeight="1">
      <c r="A72" s="28">
        <v>67</v>
      </c>
      <c r="B72" s="30" t="s">
        <v>93</v>
      </c>
      <c r="C72" s="31" t="s">
        <v>149</v>
      </c>
      <c r="D72" s="27">
        <f t="shared" si="4"/>
        <v>713.94513111296658</v>
      </c>
      <c r="E72" s="23" t="s">
        <v>27</v>
      </c>
      <c r="F72" s="23">
        <v>287.9271601791084</v>
      </c>
      <c r="G72" s="23" t="s">
        <v>27</v>
      </c>
      <c r="H72" s="23">
        <v>212.08270679183303</v>
      </c>
      <c r="I72" s="23">
        <v>88.856551628828043</v>
      </c>
      <c r="J72" s="32">
        <v>125.07871251319719</v>
      </c>
      <c r="K72" s="23" t="s">
        <v>27</v>
      </c>
      <c r="L72" s="23" t="s">
        <v>27</v>
      </c>
      <c r="M72" s="23" t="s">
        <v>27</v>
      </c>
      <c r="N72" s="23" t="s">
        <v>27</v>
      </c>
      <c r="O72" s="23" t="s">
        <v>27</v>
      </c>
      <c r="P72" s="32" t="s">
        <v>27</v>
      </c>
      <c r="Q72" s="32"/>
      <c r="R72" s="23" t="s">
        <v>27</v>
      </c>
      <c r="S72" s="23">
        <v>47.148999977856874</v>
      </c>
      <c r="T72" s="23" t="s">
        <v>27</v>
      </c>
      <c r="U72" s="23">
        <v>96.108000099658966</v>
      </c>
      <c r="V72" s="23">
        <v>72.758999407291412</v>
      </c>
      <c r="W72" s="23">
        <v>440.85500006377697</v>
      </c>
      <c r="X72" s="23" t="s">
        <v>27</v>
      </c>
      <c r="Y72" s="23" t="s">
        <v>27</v>
      </c>
      <c r="Z72" s="23" t="s">
        <v>27</v>
      </c>
      <c r="AA72" s="23" t="s">
        <v>27</v>
      </c>
      <c r="AB72" s="23" t="s">
        <v>27</v>
      </c>
      <c r="AC72" s="23" t="s">
        <v>27</v>
      </c>
      <c r="AD72" s="27">
        <f t="shared" si="5"/>
        <v>656.87099954858422</v>
      </c>
    </row>
    <row r="73" spans="1:30" ht="15" customHeight="1">
      <c r="A73" s="28">
        <v>68</v>
      </c>
      <c r="B73" s="30" t="s">
        <v>94</v>
      </c>
      <c r="C73" s="31" t="s">
        <v>149</v>
      </c>
      <c r="D73" s="27">
        <f t="shared" si="4"/>
        <v>432.52976830526057</v>
      </c>
      <c r="E73" s="23" t="s">
        <v>27</v>
      </c>
      <c r="F73" s="23">
        <v>243.91839904242755</v>
      </c>
      <c r="G73" s="23" t="s">
        <v>27</v>
      </c>
      <c r="H73" s="23">
        <v>90.331290713676253</v>
      </c>
      <c r="I73" s="23">
        <v>38.600056155085561</v>
      </c>
      <c r="J73" s="32">
        <v>59.680022394071202</v>
      </c>
      <c r="K73" s="23" t="s">
        <v>27</v>
      </c>
      <c r="L73" s="23" t="s">
        <v>27</v>
      </c>
      <c r="M73" s="23" t="s">
        <v>27</v>
      </c>
      <c r="N73" s="23" t="s">
        <v>27</v>
      </c>
      <c r="O73" s="23" t="s">
        <v>27</v>
      </c>
      <c r="P73" s="32" t="s">
        <v>27</v>
      </c>
      <c r="Q73" s="32"/>
      <c r="R73" s="23" t="s">
        <v>27</v>
      </c>
      <c r="S73" s="23">
        <v>52.725999858230352</v>
      </c>
      <c r="T73" s="23" t="s">
        <v>27</v>
      </c>
      <c r="U73" s="23">
        <v>67.297001023776829</v>
      </c>
      <c r="V73" s="23">
        <v>80.474999740719795</v>
      </c>
      <c r="W73" s="23">
        <v>377.16600023210049</v>
      </c>
      <c r="X73" s="23" t="s">
        <v>27</v>
      </c>
      <c r="Y73" s="23" t="s">
        <v>27</v>
      </c>
      <c r="Z73" s="23" t="s">
        <v>27</v>
      </c>
      <c r="AA73" s="23" t="s">
        <v>27</v>
      </c>
      <c r="AB73" s="23" t="s">
        <v>27</v>
      </c>
      <c r="AC73" s="23" t="s">
        <v>27</v>
      </c>
      <c r="AD73" s="27">
        <f t="shared" si="5"/>
        <v>577.66400085482746</v>
      </c>
    </row>
    <row r="74" spans="1:30" ht="15" customHeight="1">
      <c r="A74" s="28">
        <v>69</v>
      </c>
      <c r="B74" s="30" t="s">
        <v>95</v>
      </c>
      <c r="C74" s="31" t="s">
        <v>149</v>
      </c>
      <c r="D74" s="27">
        <f t="shared" si="4"/>
        <v>669.2214106582137</v>
      </c>
      <c r="E74" s="23" t="s">
        <v>27</v>
      </c>
      <c r="F74" s="23">
        <v>349.66045999720694</v>
      </c>
      <c r="G74" s="23">
        <v>55.727313928127288</v>
      </c>
      <c r="H74" s="23">
        <v>83.689113223537802</v>
      </c>
      <c r="I74" s="23">
        <v>72.588724867939945</v>
      </c>
      <c r="J74" s="32">
        <v>107.55579864140178</v>
      </c>
      <c r="K74" s="23" t="s">
        <v>27</v>
      </c>
      <c r="L74" s="23" t="s">
        <v>27</v>
      </c>
      <c r="M74" s="23" t="s">
        <v>27</v>
      </c>
      <c r="N74" s="23" t="s">
        <v>27</v>
      </c>
      <c r="O74" s="23" t="s">
        <v>27</v>
      </c>
      <c r="P74" s="32" t="s">
        <v>27</v>
      </c>
      <c r="Q74" s="32"/>
      <c r="R74" s="23" t="s">
        <v>27</v>
      </c>
      <c r="S74" s="23">
        <v>38.296000353991985</v>
      </c>
      <c r="T74" s="23">
        <v>13.361999988555908</v>
      </c>
      <c r="U74" s="23">
        <v>57.519999139010906</v>
      </c>
      <c r="V74" s="23">
        <v>84.213001251220703</v>
      </c>
      <c r="W74" s="23">
        <v>471.28800054639578</v>
      </c>
      <c r="X74" s="23" t="s">
        <v>27</v>
      </c>
      <c r="Y74" s="23" t="s">
        <v>27</v>
      </c>
      <c r="Z74" s="23" t="s">
        <v>27</v>
      </c>
      <c r="AA74" s="23" t="s">
        <v>27</v>
      </c>
      <c r="AB74" s="23" t="s">
        <v>27</v>
      </c>
      <c r="AC74" s="23" t="s">
        <v>27</v>
      </c>
      <c r="AD74" s="27">
        <f t="shared" si="5"/>
        <v>664.67900127917528</v>
      </c>
    </row>
    <row r="75" spans="1:30" ht="15" customHeight="1">
      <c r="A75" s="28">
        <v>70</v>
      </c>
      <c r="B75" s="30" t="s">
        <v>96</v>
      </c>
      <c r="C75" s="31" t="s">
        <v>149</v>
      </c>
      <c r="D75" s="27">
        <f t="shared" si="4"/>
        <v>396.8971713841986</v>
      </c>
      <c r="E75" s="23">
        <v>113.2633889465332</v>
      </c>
      <c r="F75" s="23" t="s">
        <v>27</v>
      </c>
      <c r="G75" s="23">
        <v>155.38051243166626</v>
      </c>
      <c r="H75" s="23">
        <v>47.45197744959593</v>
      </c>
      <c r="I75" s="23">
        <v>32.845774537555876</v>
      </c>
      <c r="J75" s="32">
        <v>47.955518018847343</v>
      </c>
      <c r="K75" s="23" t="s">
        <v>27</v>
      </c>
      <c r="L75" s="23" t="s">
        <v>27</v>
      </c>
      <c r="M75" s="23" t="s">
        <v>27</v>
      </c>
      <c r="N75" s="23" t="s">
        <v>27</v>
      </c>
      <c r="O75" s="23" t="s">
        <v>27</v>
      </c>
      <c r="P75" s="32" t="s">
        <v>27</v>
      </c>
      <c r="Q75" s="32"/>
      <c r="R75" s="23">
        <v>4.5279998779296875</v>
      </c>
      <c r="S75" s="23" t="s">
        <v>27</v>
      </c>
      <c r="T75" s="23">
        <v>31.912999622523785</v>
      </c>
      <c r="U75" s="23">
        <v>34.639000698924065</v>
      </c>
      <c r="V75" s="23">
        <v>86.697999630123377</v>
      </c>
      <c r="W75" s="23">
        <v>351.2020000629127</v>
      </c>
      <c r="X75" s="23" t="s">
        <v>27</v>
      </c>
      <c r="Y75" s="23" t="s">
        <v>27</v>
      </c>
      <c r="Z75" s="23" t="s">
        <v>27</v>
      </c>
      <c r="AA75" s="23" t="s">
        <v>27</v>
      </c>
      <c r="AB75" s="23" t="s">
        <v>27</v>
      </c>
      <c r="AC75" s="23" t="s">
        <v>27</v>
      </c>
      <c r="AD75" s="27">
        <f t="shared" si="5"/>
        <v>508.97999989241362</v>
      </c>
    </row>
    <row r="76" spans="1:30" ht="15" customHeight="1">
      <c r="A76" s="28">
        <v>71</v>
      </c>
      <c r="B76" s="30" t="s">
        <v>97</v>
      </c>
      <c r="C76" s="31" t="s">
        <v>150</v>
      </c>
      <c r="D76" s="27">
        <f t="shared" si="4"/>
        <v>826.88876410000842</v>
      </c>
      <c r="E76" s="23" t="s">
        <v>27</v>
      </c>
      <c r="F76" s="23">
        <v>197.53716260995716</v>
      </c>
      <c r="G76" s="23">
        <v>186.27120979449154</v>
      </c>
      <c r="H76" s="23">
        <v>79.25599043777585</v>
      </c>
      <c r="I76" s="23">
        <v>85.748878301560879</v>
      </c>
      <c r="J76" s="32">
        <v>124.40018824299776</v>
      </c>
      <c r="K76" s="23" t="s">
        <v>27</v>
      </c>
      <c r="L76" s="23" t="s">
        <v>27</v>
      </c>
      <c r="M76" s="23">
        <v>73.150701174139982</v>
      </c>
      <c r="N76" s="23">
        <v>54.649393845260143</v>
      </c>
      <c r="O76" s="23">
        <v>10.816930061709137</v>
      </c>
      <c r="P76" s="32">
        <v>15.058309632115913</v>
      </c>
      <c r="Q76" s="32"/>
      <c r="R76" s="23" t="s">
        <v>27</v>
      </c>
      <c r="S76" s="23">
        <v>25.231000002473593</v>
      </c>
      <c r="T76" s="23">
        <v>37.909000247716904</v>
      </c>
      <c r="U76" s="23">
        <v>54.828000433743</v>
      </c>
      <c r="V76" s="23">
        <v>140.81800159811974</v>
      </c>
      <c r="W76" s="23">
        <v>677.27999978885055</v>
      </c>
      <c r="X76" s="23" t="s">
        <v>27</v>
      </c>
      <c r="Y76" s="23" t="s">
        <v>27</v>
      </c>
      <c r="Z76" s="23">
        <v>10.172000005841255</v>
      </c>
      <c r="AA76" s="23">
        <v>9.7079999670386314</v>
      </c>
      <c r="AB76" s="23">
        <v>7.3100000731647015</v>
      </c>
      <c r="AC76" s="23">
        <v>47.075000002980232</v>
      </c>
      <c r="AD76" s="27">
        <f t="shared" si="5"/>
        <v>1010.3310021199286</v>
      </c>
    </row>
    <row r="77" spans="1:30" ht="15" customHeight="1">
      <c r="A77" s="28">
        <v>72</v>
      </c>
      <c r="B77" s="30" t="s">
        <v>98</v>
      </c>
      <c r="C77" s="31" t="s">
        <v>149</v>
      </c>
      <c r="D77" s="27">
        <f t="shared" si="4"/>
        <v>660.40351386312045</v>
      </c>
      <c r="E77" s="23">
        <v>382.14071760225295</v>
      </c>
      <c r="F77" s="23">
        <v>50.412074079513552</v>
      </c>
      <c r="G77" s="23">
        <v>84.340049897085876</v>
      </c>
      <c r="H77" s="23">
        <v>59.64284474161267</v>
      </c>
      <c r="I77" s="23">
        <v>28.115636913686991</v>
      </c>
      <c r="J77" s="32">
        <v>55.752190628968322</v>
      </c>
      <c r="K77" s="23" t="s">
        <v>27</v>
      </c>
      <c r="L77" s="23" t="s">
        <v>27</v>
      </c>
      <c r="M77" s="23" t="s">
        <v>27</v>
      </c>
      <c r="N77" s="23" t="s">
        <v>27</v>
      </c>
      <c r="O77" s="23" t="s">
        <v>27</v>
      </c>
      <c r="P77" s="32" t="s">
        <v>27</v>
      </c>
      <c r="Q77" s="32"/>
      <c r="R77" s="23">
        <v>20.962000131607056</v>
      </c>
      <c r="S77" s="23">
        <v>5.6099998950958252</v>
      </c>
      <c r="T77" s="23">
        <v>16.180000094696879</v>
      </c>
      <c r="U77" s="23">
        <v>41.73499983549118</v>
      </c>
      <c r="V77" s="23">
        <v>57.54599966108799</v>
      </c>
      <c r="W77" s="23">
        <v>348.30800007283688</v>
      </c>
      <c r="X77" s="23" t="s">
        <v>27</v>
      </c>
      <c r="Y77" s="23" t="s">
        <v>27</v>
      </c>
      <c r="Z77" s="23" t="s">
        <v>27</v>
      </c>
      <c r="AA77" s="23" t="s">
        <v>27</v>
      </c>
      <c r="AB77" s="23" t="s">
        <v>27</v>
      </c>
      <c r="AC77" s="23" t="s">
        <v>27</v>
      </c>
      <c r="AD77" s="27">
        <f t="shared" si="5"/>
        <v>490.34099969081581</v>
      </c>
    </row>
    <row r="78" spans="1:30" ht="15" customHeight="1">
      <c r="A78" s="28">
        <v>73</v>
      </c>
      <c r="B78" s="30" t="s">
        <v>99</v>
      </c>
      <c r="C78" s="31" t="s">
        <v>150</v>
      </c>
      <c r="D78" s="27">
        <f t="shared" si="4"/>
        <v>2049.5472045235833</v>
      </c>
      <c r="E78" s="23">
        <v>197.9753989815712</v>
      </c>
      <c r="F78" s="23">
        <v>148.51978953813762</v>
      </c>
      <c r="G78" s="23" t="s">
        <v>27</v>
      </c>
      <c r="H78" s="23">
        <v>147.04674512336777</v>
      </c>
      <c r="I78" s="23">
        <v>59.311107391584663</v>
      </c>
      <c r="J78" s="32">
        <v>50.809329156704436</v>
      </c>
      <c r="K78" s="23">
        <v>356.6200496184826</v>
      </c>
      <c r="L78" s="23" t="s">
        <v>27</v>
      </c>
      <c r="M78" s="23">
        <v>473.63446470150535</v>
      </c>
      <c r="N78" s="23">
        <v>320.46053704619783</v>
      </c>
      <c r="O78" s="23">
        <v>110.79296725875814</v>
      </c>
      <c r="P78" s="32">
        <v>184.37681570727364</v>
      </c>
      <c r="Q78" s="32"/>
      <c r="R78" s="23">
        <v>6.9199999570846558</v>
      </c>
      <c r="S78" s="23">
        <v>16.053999926894903</v>
      </c>
      <c r="T78" s="23" t="s">
        <v>27</v>
      </c>
      <c r="U78" s="23">
        <v>58.206000169739127</v>
      </c>
      <c r="V78" s="23">
        <v>65.500999506562948</v>
      </c>
      <c r="W78" s="23">
        <v>215.8869999172166</v>
      </c>
      <c r="X78" s="23">
        <v>10.400000154972076</v>
      </c>
      <c r="Y78" s="23" t="s">
        <v>27</v>
      </c>
      <c r="Z78" s="23">
        <v>28.26700003258884</v>
      </c>
      <c r="AA78" s="23">
        <v>48.707999879959971</v>
      </c>
      <c r="AB78" s="23">
        <v>31.021000019973144</v>
      </c>
      <c r="AC78" s="23">
        <v>332.37499996460974</v>
      </c>
      <c r="AD78" s="27">
        <f t="shared" si="5"/>
        <v>813.33899952960201</v>
      </c>
    </row>
    <row r="79" spans="1:30" ht="15" customHeight="1">
      <c r="A79" s="28">
        <v>74</v>
      </c>
      <c r="B79" s="30" t="s">
        <v>100</v>
      </c>
      <c r="C79" s="31" t="s">
        <v>149</v>
      </c>
      <c r="D79" s="27">
        <f t="shared" si="4"/>
        <v>493.14560598076355</v>
      </c>
      <c r="E79" s="23" t="s">
        <v>27</v>
      </c>
      <c r="F79" s="23">
        <v>186.30286450710892</v>
      </c>
      <c r="G79" s="23">
        <v>15.747511660397052</v>
      </c>
      <c r="H79" s="23">
        <v>60.981967026785014</v>
      </c>
      <c r="I79" s="23">
        <v>86.271491974085563</v>
      </c>
      <c r="J79" s="32">
        <v>143.84177081238698</v>
      </c>
      <c r="K79" s="23" t="s">
        <v>27</v>
      </c>
      <c r="L79" s="23" t="s">
        <v>27</v>
      </c>
      <c r="M79" s="23" t="s">
        <v>27</v>
      </c>
      <c r="N79" s="23" t="s">
        <v>27</v>
      </c>
      <c r="O79" s="23" t="s">
        <v>27</v>
      </c>
      <c r="P79" s="32" t="s">
        <v>27</v>
      </c>
      <c r="Q79" s="32"/>
      <c r="R79" s="23" t="s">
        <v>27</v>
      </c>
      <c r="S79" s="23">
        <v>22.251999862492085</v>
      </c>
      <c r="T79" s="23">
        <v>11.919999748468399</v>
      </c>
      <c r="U79" s="23">
        <v>35.538000114262104</v>
      </c>
      <c r="V79" s="23">
        <v>95.979998663067818</v>
      </c>
      <c r="W79" s="23">
        <v>614.00000008940697</v>
      </c>
      <c r="X79" s="23" t="s">
        <v>27</v>
      </c>
      <c r="Y79" s="23" t="s">
        <v>27</v>
      </c>
      <c r="Z79" s="23" t="s">
        <v>27</v>
      </c>
      <c r="AA79" s="23" t="s">
        <v>27</v>
      </c>
      <c r="AB79" s="23" t="s">
        <v>27</v>
      </c>
      <c r="AC79" s="23" t="s">
        <v>27</v>
      </c>
      <c r="AD79" s="27">
        <f t="shared" si="5"/>
        <v>779.68999847769737</v>
      </c>
    </row>
    <row r="80" spans="1:30" ht="15" customHeight="1">
      <c r="A80" s="28">
        <v>75</v>
      </c>
      <c r="B80" s="30" t="s">
        <v>101</v>
      </c>
      <c r="C80" s="31" t="s">
        <v>149</v>
      </c>
      <c r="D80" s="27">
        <f t="shared" si="4"/>
        <v>301.97712930973591</v>
      </c>
      <c r="E80" s="23" t="s">
        <v>27</v>
      </c>
      <c r="F80" s="23" t="s">
        <v>27</v>
      </c>
      <c r="G80" s="23">
        <v>70.542080176502466</v>
      </c>
      <c r="H80" s="23">
        <v>143.94362642621994</v>
      </c>
      <c r="I80" s="23">
        <v>35.784910055458546</v>
      </c>
      <c r="J80" s="32">
        <v>51.706512651554966</v>
      </c>
      <c r="K80" s="23" t="s">
        <v>27</v>
      </c>
      <c r="L80" s="23" t="s">
        <v>27</v>
      </c>
      <c r="M80" s="23" t="s">
        <v>27</v>
      </c>
      <c r="N80" s="23" t="s">
        <v>27</v>
      </c>
      <c r="O80" s="23" t="s">
        <v>27</v>
      </c>
      <c r="P80" s="32" t="s">
        <v>27</v>
      </c>
      <c r="Q80" s="32"/>
      <c r="R80" s="23" t="s">
        <v>27</v>
      </c>
      <c r="S80" s="23" t="s">
        <v>27</v>
      </c>
      <c r="T80" s="23">
        <v>11.573000017553568</v>
      </c>
      <c r="U80" s="23">
        <v>68.343000132590532</v>
      </c>
      <c r="V80" s="23">
        <v>68.982000172138214</v>
      </c>
      <c r="W80" s="23">
        <v>311.15900016576052</v>
      </c>
      <c r="X80" s="23" t="s">
        <v>27</v>
      </c>
      <c r="Y80" s="23" t="s">
        <v>27</v>
      </c>
      <c r="Z80" s="23" t="s">
        <v>27</v>
      </c>
      <c r="AA80" s="23" t="s">
        <v>27</v>
      </c>
      <c r="AB80" s="23" t="s">
        <v>27</v>
      </c>
      <c r="AC80" s="23" t="s">
        <v>27</v>
      </c>
      <c r="AD80" s="27">
        <f t="shared" si="5"/>
        <v>460.05700048804283</v>
      </c>
    </row>
    <row r="81" spans="1:30" ht="15" customHeight="1">
      <c r="A81" s="28">
        <v>76</v>
      </c>
      <c r="B81" s="30" t="s">
        <v>102</v>
      </c>
      <c r="C81" s="31" t="s">
        <v>150</v>
      </c>
      <c r="D81" s="27">
        <f t="shared" si="4"/>
        <v>2522.7239775966154</v>
      </c>
      <c r="E81" s="23">
        <v>622.31623211765293</v>
      </c>
      <c r="F81" s="23">
        <v>133.18836445495486</v>
      </c>
      <c r="G81" s="23">
        <v>133.52650256156176</v>
      </c>
      <c r="H81" s="23">
        <v>256.41697659450767</v>
      </c>
      <c r="I81" s="23">
        <v>123.51348516389727</v>
      </c>
      <c r="J81" s="32">
        <v>137.8446893816118</v>
      </c>
      <c r="K81" s="23">
        <v>500.31842178368566</v>
      </c>
      <c r="L81" s="23" t="s">
        <v>27</v>
      </c>
      <c r="M81" s="23">
        <v>247.41371908937396</v>
      </c>
      <c r="N81" s="23">
        <v>209.01762772170454</v>
      </c>
      <c r="O81" s="23">
        <v>74.896835807293655</v>
      </c>
      <c r="P81" s="32">
        <v>84.271122920371056</v>
      </c>
      <c r="Q81" s="32"/>
      <c r="R81" s="23">
        <v>13.182999968528748</v>
      </c>
      <c r="S81" s="23">
        <v>10.481000192463398</v>
      </c>
      <c r="T81" s="23">
        <v>25.62799977697432</v>
      </c>
      <c r="U81" s="23">
        <v>50.106000307947397</v>
      </c>
      <c r="V81" s="23">
        <v>105.24199952464551</v>
      </c>
      <c r="W81" s="23">
        <v>498.07799991965294</v>
      </c>
      <c r="X81" s="23">
        <v>10.951999962329865</v>
      </c>
      <c r="Y81" s="23" t="s">
        <v>27</v>
      </c>
      <c r="Z81" s="23">
        <v>13.852000053972006</v>
      </c>
      <c r="AA81" s="23">
        <v>23.492000047117472</v>
      </c>
      <c r="AB81" s="23">
        <v>16.064000159502029</v>
      </c>
      <c r="AC81" s="23">
        <v>128.61100000143051</v>
      </c>
      <c r="AD81" s="27">
        <f t="shared" si="5"/>
        <v>895.68899991456419</v>
      </c>
    </row>
    <row r="82" spans="1:30" ht="15" customHeight="1">
      <c r="A82" s="28">
        <v>77</v>
      </c>
      <c r="B82" s="30" t="s">
        <v>103</v>
      </c>
      <c r="C82" s="31" t="s">
        <v>149</v>
      </c>
      <c r="D82" s="27">
        <f t="shared" si="4"/>
        <v>385.16680601357564</v>
      </c>
      <c r="E82" s="23" t="s">
        <v>27</v>
      </c>
      <c r="F82" s="23">
        <v>147.97909776941688</v>
      </c>
      <c r="G82" s="23">
        <v>44.081687612369656</v>
      </c>
      <c r="H82" s="23">
        <v>90.275117346882823</v>
      </c>
      <c r="I82" s="23">
        <v>39.343950672626498</v>
      </c>
      <c r="J82" s="32">
        <v>63.486952612279801</v>
      </c>
      <c r="K82" s="23" t="s">
        <v>27</v>
      </c>
      <c r="L82" s="23" t="s">
        <v>27</v>
      </c>
      <c r="M82" s="23" t="s">
        <v>27</v>
      </c>
      <c r="N82" s="23" t="s">
        <v>27</v>
      </c>
      <c r="O82" s="23" t="s">
        <v>27</v>
      </c>
      <c r="P82" s="32" t="s">
        <v>27</v>
      </c>
      <c r="Q82" s="32"/>
      <c r="R82" s="23" t="s">
        <v>27</v>
      </c>
      <c r="S82" s="23">
        <v>25.448999579995871</v>
      </c>
      <c r="T82" s="23">
        <v>12.546000517904758</v>
      </c>
      <c r="U82" s="23">
        <v>64.783001378178596</v>
      </c>
      <c r="V82" s="23">
        <v>79.06799989938736</v>
      </c>
      <c r="W82" s="23">
        <v>392.12300018966198</v>
      </c>
      <c r="X82" s="23" t="s">
        <v>27</v>
      </c>
      <c r="Y82" s="23" t="s">
        <v>27</v>
      </c>
      <c r="Z82" s="23" t="s">
        <v>27</v>
      </c>
      <c r="AA82" s="23" t="s">
        <v>27</v>
      </c>
      <c r="AB82" s="23" t="s">
        <v>27</v>
      </c>
      <c r="AC82" s="23" t="s">
        <v>27</v>
      </c>
      <c r="AD82" s="27">
        <f t="shared" si="5"/>
        <v>573.96900156512856</v>
      </c>
    </row>
    <row r="83" spans="1:30" ht="15" customHeight="1">
      <c r="A83" s="28">
        <v>78</v>
      </c>
      <c r="B83" s="30" t="s">
        <v>104</v>
      </c>
      <c r="C83" s="31" t="s">
        <v>150</v>
      </c>
      <c r="D83" s="27">
        <f t="shared" si="4"/>
        <v>457.58548975626559</v>
      </c>
      <c r="E83" s="23" t="s">
        <v>27</v>
      </c>
      <c r="F83" s="23">
        <v>75.120380151033402</v>
      </c>
      <c r="G83" s="23" t="s">
        <v>27</v>
      </c>
      <c r="H83" s="23">
        <v>131.79300155087932</v>
      </c>
      <c r="I83" s="23">
        <v>70.307722695562987</v>
      </c>
      <c r="J83" s="32">
        <v>67.19392612734886</v>
      </c>
      <c r="K83" s="23" t="s">
        <v>27</v>
      </c>
      <c r="L83" s="23" t="s">
        <v>27</v>
      </c>
      <c r="M83" s="23">
        <v>45.539351379945877</v>
      </c>
      <c r="N83" s="23">
        <v>41.017381928335872</v>
      </c>
      <c r="O83" s="23">
        <v>13.43671395239234</v>
      </c>
      <c r="P83" s="32">
        <v>13.177011970766946</v>
      </c>
      <c r="Q83" s="32"/>
      <c r="R83" s="23" t="s">
        <v>27</v>
      </c>
      <c r="S83" s="23">
        <v>11.77400004863739</v>
      </c>
      <c r="T83" s="23" t="s">
        <v>27</v>
      </c>
      <c r="U83" s="23">
        <v>67.443000059574842</v>
      </c>
      <c r="V83" s="23">
        <v>85.98400054499507</v>
      </c>
      <c r="W83" s="23">
        <v>304.29399961978197</v>
      </c>
      <c r="X83" s="23" t="s">
        <v>27</v>
      </c>
      <c r="Y83" s="23" t="s">
        <v>27</v>
      </c>
      <c r="Z83" s="23">
        <v>3.7379999551922083</v>
      </c>
      <c r="AA83" s="23">
        <v>8.1170000173151493</v>
      </c>
      <c r="AB83" s="23">
        <v>6.9130000397562981</v>
      </c>
      <c r="AC83" s="23">
        <v>34.740000009536743</v>
      </c>
      <c r="AD83" s="27">
        <f t="shared" si="5"/>
        <v>523.00300029478967</v>
      </c>
    </row>
    <row r="84" spans="1:30" ht="15" customHeight="1">
      <c r="A84" s="28">
        <v>79</v>
      </c>
      <c r="B84" s="30" t="s">
        <v>105</v>
      </c>
      <c r="C84" s="31" t="s">
        <v>149</v>
      </c>
      <c r="D84" s="27">
        <f t="shared" si="4"/>
        <v>1234.9090663119305</v>
      </c>
      <c r="E84" s="23">
        <v>323.08936314105989</v>
      </c>
      <c r="F84" s="23">
        <v>460.29100412830712</v>
      </c>
      <c r="G84" s="23">
        <v>104.27083772814274</v>
      </c>
      <c r="H84" s="23">
        <v>161.49680006528087</v>
      </c>
      <c r="I84" s="23">
        <v>42.440348081111907</v>
      </c>
      <c r="J84" s="32">
        <v>143.32071316802791</v>
      </c>
      <c r="K84" s="23" t="s">
        <v>27</v>
      </c>
      <c r="L84" s="23" t="s">
        <v>27</v>
      </c>
      <c r="M84" s="23" t="s">
        <v>27</v>
      </c>
      <c r="N84" s="23" t="s">
        <v>27</v>
      </c>
      <c r="O84" s="23" t="s">
        <v>27</v>
      </c>
      <c r="P84" s="32" t="s">
        <v>27</v>
      </c>
      <c r="Q84" s="32"/>
      <c r="R84" s="23">
        <v>12.032000303268433</v>
      </c>
      <c r="S84" s="23">
        <v>68.550000317394733</v>
      </c>
      <c r="T84" s="23">
        <v>25.212000399827957</v>
      </c>
      <c r="U84" s="23">
        <v>47.585999788716435</v>
      </c>
      <c r="V84" s="23">
        <v>49.407000541687012</v>
      </c>
      <c r="W84" s="23">
        <v>629.35900022834539</v>
      </c>
      <c r="X84" s="23" t="s">
        <v>27</v>
      </c>
      <c r="Y84" s="23" t="s">
        <v>27</v>
      </c>
      <c r="Z84" s="23" t="s">
        <v>27</v>
      </c>
      <c r="AA84" s="23" t="s">
        <v>27</v>
      </c>
      <c r="AB84" s="23" t="s">
        <v>27</v>
      </c>
      <c r="AC84" s="23" t="s">
        <v>27</v>
      </c>
      <c r="AD84" s="27">
        <f t="shared" si="5"/>
        <v>832.14600157923996</v>
      </c>
    </row>
    <row r="85" spans="1:30" ht="15" customHeight="1">
      <c r="A85" s="28">
        <v>80</v>
      </c>
      <c r="B85" s="30" t="s">
        <v>106</v>
      </c>
      <c r="C85" s="31" t="s">
        <v>149</v>
      </c>
      <c r="D85" s="27">
        <f t="shared" si="4"/>
        <v>350.47398122527932</v>
      </c>
      <c r="E85" s="23" t="s">
        <v>27</v>
      </c>
      <c r="F85" s="23">
        <v>123.10530139958858</v>
      </c>
      <c r="G85" s="23">
        <v>56.60283551996946</v>
      </c>
      <c r="H85" s="23">
        <v>69.511191151797775</v>
      </c>
      <c r="I85" s="23">
        <v>60.707618839740753</v>
      </c>
      <c r="J85" s="32">
        <v>40.547034314182753</v>
      </c>
      <c r="K85" s="23" t="s">
        <v>27</v>
      </c>
      <c r="L85" s="23" t="s">
        <v>27</v>
      </c>
      <c r="M85" s="23" t="s">
        <v>27</v>
      </c>
      <c r="N85" s="23" t="s">
        <v>27</v>
      </c>
      <c r="O85" s="23" t="s">
        <v>27</v>
      </c>
      <c r="P85" s="32" t="s">
        <v>27</v>
      </c>
      <c r="Q85" s="32"/>
      <c r="R85" s="23" t="s">
        <v>27</v>
      </c>
      <c r="S85" s="23">
        <v>16.322000205516815</v>
      </c>
      <c r="T85" s="23">
        <v>9.708999902009964</v>
      </c>
      <c r="U85" s="23">
        <v>40.227999225258827</v>
      </c>
      <c r="V85" s="23">
        <v>52.869999408721924</v>
      </c>
      <c r="W85" s="23">
        <v>148.52399995736778</v>
      </c>
      <c r="X85" s="23" t="s">
        <v>27</v>
      </c>
      <c r="Y85" s="23" t="s">
        <v>27</v>
      </c>
      <c r="Z85" s="23" t="s">
        <v>27</v>
      </c>
      <c r="AA85" s="23" t="s">
        <v>27</v>
      </c>
      <c r="AB85" s="23" t="s">
        <v>27</v>
      </c>
      <c r="AC85" s="23" t="s">
        <v>27</v>
      </c>
      <c r="AD85" s="27">
        <f t="shared" si="5"/>
        <v>267.65299869887531</v>
      </c>
    </row>
    <row r="86" spans="1:30" ht="15" customHeight="1">
      <c r="A86" s="28">
        <v>81</v>
      </c>
      <c r="B86" s="30" t="s">
        <v>107</v>
      </c>
      <c r="C86" s="31" t="s">
        <v>150</v>
      </c>
      <c r="D86" s="27">
        <f t="shared" si="4"/>
        <v>581.04157423359629</v>
      </c>
      <c r="E86" s="23" t="s">
        <v>27</v>
      </c>
      <c r="F86" s="23">
        <v>162.26360487528146</v>
      </c>
      <c r="G86" s="23">
        <v>56.908405262246731</v>
      </c>
      <c r="H86" s="23">
        <v>49.569784242704507</v>
      </c>
      <c r="I86" s="23">
        <v>25.749673891779036</v>
      </c>
      <c r="J86" s="32">
        <v>34.808422930854356</v>
      </c>
      <c r="K86" s="23" t="s">
        <v>27</v>
      </c>
      <c r="L86" s="23" t="s">
        <v>27</v>
      </c>
      <c r="M86" s="23">
        <v>153.27516918794998</v>
      </c>
      <c r="N86" s="23">
        <v>50.171126006472853</v>
      </c>
      <c r="O86" s="23">
        <v>28.595578064121305</v>
      </c>
      <c r="P86" s="32">
        <v>19.699809772186082</v>
      </c>
      <c r="Q86" s="32"/>
      <c r="R86" s="23" t="s">
        <v>27</v>
      </c>
      <c r="S86" s="23">
        <v>26.448999963700771</v>
      </c>
      <c r="T86" s="23">
        <v>8.4519998803734779</v>
      </c>
      <c r="U86" s="23">
        <v>42.070999514311552</v>
      </c>
      <c r="V86" s="23">
        <v>52.531999733299017</v>
      </c>
      <c r="W86" s="23">
        <v>217.02100006304681</v>
      </c>
      <c r="X86" s="23" t="s">
        <v>27</v>
      </c>
      <c r="Y86" s="23" t="s">
        <v>27</v>
      </c>
      <c r="Z86" s="23">
        <v>14.479000175837427</v>
      </c>
      <c r="AA86" s="23">
        <v>11.893999936059117</v>
      </c>
      <c r="AB86" s="23">
        <v>15.684999950230122</v>
      </c>
      <c r="AC86" s="23">
        <v>54.056999988853931</v>
      </c>
      <c r="AD86" s="27">
        <f t="shared" si="5"/>
        <v>442.63999920571223</v>
      </c>
    </row>
    <row r="87" spans="1:30" ht="15" customHeight="1">
      <c r="A87" s="28">
        <v>82</v>
      </c>
      <c r="B87" s="30" t="s">
        <v>108</v>
      </c>
      <c r="C87" s="31" t="s">
        <v>150</v>
      </c>
      <c r="D87" s="27">
        <f t="shared" si="4"/>
        <v>661.82584687292001</v>
      </c>
      <c r="E87" s="23" t="s">
        <v>27</v>
      </c>
      <c r="F87" s="23">
        <v>135.21240649789573</v>
      </c>
      <c r="G87" s="23">
        <v>88.052189074248076</v>
      </c>
      <c r="H87" s="23">
        <v>213.21322207926588</v>
      </c>
      <c r="I87" s="23">
        <v>80.08034018743038</v>
      </c>
      <c r="J87" s="32">
        <v>76.903558923363917</v>
      </c>
      <c r="K87" s="23" t="s">
        <v>27</v>
      </c>
      <c r="L87" s="23" t="s">
        <v>27</v>
      </c>
      <c r="M87" s="23">
        <v>40.005876253470781</v>
      </c>
      <c r="N87" s="23">
        <v>4.4358100169897083</v>
      </c>
      <c r="O87" s="23">
        <v>14.795905999690294</v>
      </c>
      <c r="P87" s="32">
        <v>9.1265378405651791</v>
      </c>
      <c r="Q87" s="32"/>
      <c r="R87" s="23" t="s">
        <v>27</v>
      </c>
      <c r="S87" s="23">
        <v>15.988000340759754</v>
      </c>
      <c r="T87" s="23">
        <v>11.559999950230122</v>
      </c>
      <c r="U87" s="23">
        <v>68.567000159993768</v>
      </c>
      <c r="V87" s="23">
        <v>85.930000513792038</v>
      </c>
      <c r="W87" s="23">
        <v>320.94000051915646</v>
      </c>
      <c r="X87" s="23" t="s">
        <v>27</v>
      </c>
      <c r="Y87" s="23" t="s">
        <v>27</v>
      </c>
      <c r="Z87" s="23">
        <v>3.4830000326037407</v>
      </c>
      <c r="AA87" s="23">
        <v>2.0310000032186508</v>
      </c>
      <c r="AB87" s="23">
        <v>2.5</v>
      </c>
      <c r="AC87" s="23">
        <v>12</v>
      </c>
      <c r="AD87" s="27">
        <f t="shared" si="5"/>
        <v>522.99900151975453</v>
      </c>
    </row>
    <row r="88" spans="1:30" ht="15" customHeight="1">
      <c r="A88" s="28">
        <v>83</v>
      </c>
      <c r="B88" s="30" t="s">
        <v>109</v>
      </c>
      <c r="C88" s="31" t="s">
        <v>149</v>
      </c>
      <c r="D88" s="27">
        <f t="shared" si="4"/>
        <v>142.65071825651171</v>
      </c>
      <c r="E88" s="23" t="s">
        <v>27</v>
      </c>
      <c r="F88" s="23" t="s">
        <v>27</v>
      </c>
      <c r="G88" s="23">
        <v>61.885782178729769</v>
      </c>
      <c r="H88" s="23">
        <v>34.53046575307846</v>
      </c>
      <c r="I88" s="23">
        <v>16.00228486198187</v>
      </c>
      <c r="J88" s="32">
        <v>30.232185462721606</v>
      </c>
      <c r="K88" s="23" t="s">
        <v>27</v>
      </c>
      <c r="L88" s="23" t="s">
        <v>27</v>
      </c>
      <c r="M88" s="23" t="s">
        <v>27</v>
      </c>
      <c r="N88" s="23" t="s">
        <v>27</v>
      </c>
      <c r="O88" s="23" t="s">
        <v>27</v>
      </c>
      <c r="P88" s="32" t="s">
        <v>27</v>
      </c>
      <c r="Q88" s="32"/>
      <c r="R88" s="23" t="s">
        <v>27</v>
      </c>
      <c r="S88" s="23" t="s">
        <v>27</v>
      </c>
      <c r="T88" s="23">
        <v>19.386000037193298</v>
      </c>
      <c r="U88" s="23">
        <v>44.791000604629517</v>
      </c>
      <c r="V88" s="23">
        <v>39.061999946832657</v>
      </c>
      <c r="W88" s="23">
        <v>210.8490002155304</v>
      </c>
      <c r="X88" s="23" t="s">
        <v>27</v>
      </c>
      <c r="Y88" s="23" t="s">
        <v>27</v>
      </c>
      <c r="Z88" s="23" t="s">
        <v>27</v>
      </c>
      <c r="AA88" s="23" t="s">
        <v>27</v>
      </c>
      <c r="AB88" s="23" t="s">
        <v>27</v>
      </c>
      <c r="AC88" s="23" t="s">
        <v>27</v>
      </c>
      <c r="AD88" s="27">
        <f t="shared" si="5"/>
        <v>314.08800080418587</v>
      </c>
    </row>
    <row r="89" spans="1:30" ht="15" customHeight="1">
      <c r="A89" s="28">
        <v>84</v>
      </c>
      <c r="B89" s="30" t="s">
        <v>110</v>
      </c>
      <c r="C89" s="31" t="s">
        <v>150</v>
      </c>
      <c r="D89" s="27">
        <f t="shared" si="4"/>
        <v>559.39929360331166</v>
      </c>
      <c r="E89" s="23" t="s">
        <v>27</v>
      </c>
      <c r="F89" s="23">
        <v>281.17635063159463</v>
      </c>
      <c r="G89" s="23">
        <v>32.191150357425215</v>
      </c>
      <c r="H89" s="23">
        <v>69.463130543567246</v>
      </c>
      <c r="I89" s="23">
        <v>28.795644052028656</v>
      </c>
      <c r="J89" s="32">
        <v>39.190219246876168</v>
      </c>
      <c r="K89" s="23" t="s">
        <v>27</v>
      </c>
      <c r="L89" s="23" t="s">
        <v>27</v>
      </c>
      <c r="M89" s="23">
        <v>53.671427621249109</v>
      </c>
      <c r="N89" s="23">
        <v>20.451290137648581</v>
      </c>
      <c r="O89" s="23">
        <v>17.289584933534265</v>
      </c>
      <c r="P89" s="32">
        <v>17.170496079387821</v>
      </c>
      <c r="Q89" s="32"/>
      <c r="R89" s="23" t="s">
        <v>27</v>
      </c>
      <c r="S89" s="23">
        <v>22.498999804258347</v>
      </c>
      <c r="T89" s="23">
        <v>11.925000198185444</v>
      </c>
      <c r="U89" s="23">
        <v>43.156999848783016</v>
      </c>
      <c r="V89" s="23">
        <v>63.216000556945801</v>
      </c>
      <c r="W89" s="23">
        <v>255.79600006341934</v>
      </c>
      <c r="X89" s="23" t="s">
        <v>27</v>
      </c>
      <c r="Y89" s="23" t="s">
        <v>27</v>
      </c>
      <c r="Z89" s="23">
        <v>4.5329999681562185</v>
      </c>
      <c r="AA89" s="23">
        <v>5.2660000249743462</v>
      </c>
      <c r="AB89" s="23">
        <v>7.4139999523758888</v>
      </c>
      <c r="AC89" s="23">
        <v>40.398999989032745</v>
      </c>
      <c r="AD89" s="27">
        <f t="shared" si="5"/>
        <v>454.20500040613115</v>
      </c>
    </row>
    <row r="90" spans="1:30" ht="15" customHeight="1">
      <c r="A90" s="28">
        <v>85</v>
      </c>
      <c r="B90" s="30" t="s">
        <v>111</v>
      </c>
      <c r="C90" s="31" t="s">
        <v>149</v>
      </c>
      <c r="D90" s="27">
        <f t="shared" si="4"/>
        <v>350.98394449918555</v>
      </c>
      <c r="E90" s="23" t="s">
        <v>27</v>
      </c>
      <c r="F90" s="23">
        <v>59.237080421447757</v>
      </c>
      <c r="G90" s="23">
        <v>39.674149714469912</v>
      </c>
      <c r="H90" s="23">
        <v>121.49488906805217</v>
      </c>
      <c r="I90" s="23">
        <v>46.869139883786438</v>
      </c>
      <c r="J90" s="32">
        <v>83.708685411429258</v>
      </c>
      <c r="K90" s="23" t="s">
        <v>27</v>
      </c>
      <c r="L90" s="23" t="s">
        <v>27</v>
      </c>
      <c r="M90" s="23" t="s">
        <v>27</v>
      </c>
      <c r="N90" s="23" t="s">
        <v>27</v>
      </c>
      <c r="O90" s="23" t="s">
        <v>27</v>
      </c>
      <c r="P90" s="32" t="s">
        <v>27</v>
      </c>
      <c r="Q90" s="32"/>
      <c r="R90" s="23" t="s">
        <v>27</v>
      </c>
      <c r="S90" s="23">
        <v>13.802000045776367</v>
      </c>
      <c r="T90" s="23">
        <v>11.718999862670898</v>
      </c>
      <c r="U90" s="23">
        <v>52.861999616026878</v>
      </c>
      <c r="V90" s="23">
        <v>77.229999661445618</v>
      </c>
      <c r="W90" s="23">
        <v>456.70500008761883</v>
      </c>
      <c r="X90" s="23" t="s">
        <v>27</v>
      </c>
      <c r="Y90" s="23" t="s">
        <v>27</v>
      </c>
      <c r="Z90" s="23" t="s">
        <v>27</v>
      </c>
      <c r="AA90" s="23" t="s">
        <v>27</v>
      </c>
      <c r="AB90" s="23" t="s">
        <v>27</v>
      </c>
      <c r="AC90" s="23" t="s">
        <v>27</v>
      </c>
      <c r="AD90" s="27">
        <f t="shared" si="5"/>
        <v>612.31799927353859</v>
      </c>
    </row>
    <row r="91" spans="1:30" ht="15" customHeight="1">
      <c r="A91" s="28">
        <v>86</v>
      </c>
      <c r="B91" s="30" t="s">
        <v>112</v>
      </c>
      <c r="C91" s="31" t="s">
        <v>149</v>
      </c>
      <c r="D91" s="27">
        <f t="shared" si="4"/>
        <v>284.32737669249173</v>
      </c>
      <c r="E91" s="23" t="s">
        <v>27</v>
      </c>
      <c r="F91" s="23" t="s">
        <v>27</v>
      </c>
      <c r="G91" s="23" t="s">
        <v>27</v>
      </c>
      <c r="H91" s="23">
        <v>148.7845770151913</v>
      </c>
      <c r="I91" s="23">
        <v>54.474808531552554</v>
      </c>
      <c r="J91" s="32">
        <v>81.067991145747897</v>
      </c>
      <c r="K91" s="23" t="s">
        <v>27</v>
      </c>
      <c r="L91" s="23" t="s">
        <v>27</v>
      </c>
      <c r="M91" s="23" t="s">
        <v>27</v>
      </c>
      <c r="N91" s="23" t="s">
        <v>27</v>
      </c>
      <c r="O91" s="23" t="s">
        <v>27</v>
      </c>
      <c r="P91" s="32" t="s">
        <v>27</v>
      </c>
      <c r="Q91" s="32"/>
      <c r="R91" s="23" t="s">
        <v>27</v>
      </c>
      <c r="S91" s="23" t="s">
        <v>27</v>
      </c>
      <c r="T91" s="23" t="s">
        <v>27</v>
      </c>
      <c r="U91" s="23">
        <v>74.889000531286001</v>
      </c>
      <c r="V91" s="23">
        <v>93.833001106977463</v>
      </c>
      <c r="W91" s="23">
        <v>454.72500047180802</v>
      </c>
      <c r="X91" s="23" t="s">
        <v>27</v>
      </c>
      <c r="Y91" s="23" t="s">
        <v>27</v>
      </c>
      <c r="Z91" s="23" t="s">
        <v>27</v>
      </c>
      <c r="AA91" s="23" t="s">
        <v>27</v>
      </c>
      <c r="AB91" s="23" t="s">
        <v>27</v>
      </c>
      <c r="AC91" s="23" t="s">
        <v>27</v>
      </c>
      <c r="AD91" s="27">
        <f t="shared" si="5"/>
        <v>623.44700211007148</v>
      </c>
    </row>
    <row r="92" spans="1:30" ht="15" customHeight="1">
      <c r="A92" s="28">
        <v>87</v>
      </c>
      <c r="B92" s="30" t="s">
        <v>113</v>
      </c>
      <c r="C92" s="31" t="s">
        <v>150</v>
      </c>
      <c r="D92" s="27">
        <f t="shared" si="4"/>
        <v>711.53072840512289</v>
      </c>
      <c r="E92" s="23">
        <v>230.21213382411003</v>
      </c>
      <c r="F92" s="23" t="s">
        <v>27</v>
      </c>
      <c r="G92" s="23">
        <v>146.93681898543238</v>
      </c>
      <c r="H92" s="23">
        <v>88.673435417763883</v>
      </c>
      <c r="I92" s="23">
        <v>30.359115371108054</v>
      </c>
      <c r="J92" s="32">
        <v>33.707967933047534</v>
      </c>
      <c r="K92" s="23" t="s">
        <v>27</v>
      </c>
      <c r="L92" s="23" t="s">
        <v>27</v>
      </c>
      <c r="M92" s="23">
        <v>55.47059064480662</v>
      </c>
      <c r="N92" s="23">
        <v>95.145301249958578</v>
      </c>
      <c r="O92" s="23">
        <v>14.026083133220673</v>
      </c>
      <c r="P92" s="32">
        <v>16.999281845675164</v>
      </c>
      <c r="Q92" s="32"/>
      <c r="R92" s="23">
        <v>11.386999845504761</v>
      </c>
      <c r="S92" s="23" t="s">
        <v>27</v>
      </c>
      <c r="T92" s="23">
        <v>24.905000038444996</v>
      </c>
      <c r="U92" s="23">
        <v>30.065999783575535</v>
      </c>
      <c r="V92" s="23">
        <v>43.580000370740891</v>
      </c>
      <c r="W92" s="23">
        <v>168.72199980914593</v>
      </c>
      <c r="X92" s="23" t="s">
        <v>27</v>
      </c>
      <c r="Y92" s="23" t="s">
        <v>27</v>
      </c>
      <c r="Z92" s="23">
        <v>3.6409999877214432</v>
      </c>
      <c r="AA92" s="23">
        <v>14.602999775670469</v>
      </c>
      <c r="AB92" s="23">
        <v>8.1750000882893801</v>
      </c>
      <c r="AC92" s="23">
        <v>48.449999988079071</v>
      </c>
      <c r="AD92" s="27">
        <f t="shared" si="5"/>
        <v>353.52899968717247</v>
      </c>
    </row>
    <row r="93" spans="1:30" ht="15" customHeight="1">
      <c r="A93" s="28">
        <v>88</v>
      </c>
      <c r="B93" s="30" t="s">
        <v>114</v>
      </c>
      <c r="C93" s="31" t="s">
        <v>149</v>
      </c>
      <c r="D93" s="27">
        <f t="shared" si="4"/>
        <v>353.37622660897063</v>
      </c>
      <c r="E93" s="23" t="s">
        <v>27</v>
      </c>
      <c r="F93" s="23">
        <v>27.933509368896484</v>
      </c>
      <c r="G93" s="23">
        <v>176.6545133986175</v>
      </c>
      <c r="H93" s="23">
        <v>54.354726473689077</v>
      </c>
      <c r="I93" s="23">
        <v>29.068298754036427</v>
      </c>
      <c r="J93" s="32">
        <v>65.365178613731118</v>
      </c>
      <c r="K93" s="23" t="s">
        <v>27</v>
      </c>
      <c r="L93" s="23" t="s">
        <v>27</v>
      </c>
      <c r="M93" s="23" t="s">
        <v>27</v>
      </c>
      <c r="N93" s="23" t="s">
        <v>27</v>
      </c>
      <c r="O93" s="23" t="s">
        <v>27</v>
      </c>
      <c r="P93" s="32" t="s">
        <v>27</v>
      </c>
      <c r="Q93" s="32"/>
      <c r="R93" s="23" t="s">
        <v>27</v>
      </c>
      <c r="S93" s="23">
        <v>5.4029998779296875</v>
      </c>
      <c r="T93" s="23">
        <v>57.621999382972717</v>
      </c>
      <c r="U93" s="23">
        <v>42.748000293970108</v>
      </c>
      <c r="V93" s="23">
        <v>79.290999233722687</v>
      </c>
      <c r="W93" s="23">
        <v>488.63399982452393</v>
      </c>
      <c r="X93" s="23" t="s">
        <v>27</v>
      </c>
      <c r="Y93" s="23" t="s">
        <v>27</v>
      </c>
      <c r="Z93" s="23" t="s">
        <v>27</v>
      </c>
      <c r="AA93" s="23" t="s">
        <v>27</v>
      </c>
      <c r="AB93" s="23" t="s">
        <v>27</v>
      </c>
      <c r="AC93" s="23" t="s">
        <v>27</v>
      </c>
      <c r="AD93" s="27">
        <f t="shared" si="5"/>
        <v>673.69799861311913</v>
      </c>
    </row>
    <row r="94" spans="1:30" ht="15" customHeight="1">
      <c r="A94" s="28">
        <v>89</v>
      </c>
      <c r="B94" s="30" t="s">
        <v>115</v>
      </c>
      <c r="C94" s="31" t="s">
        <v>149</v>
      </c>
      <c r="D94" s="27">
        <f t="shared" si="4"/>
        <v>971.62467740473573</v>
      </c>
      <c r="E94" s="23" t="s">
        <v>27</v>
      </c>
      <c r="F94" s="23">
        <v>189.02224033355714</v>
      </c>
      <c r="G94" s="23">
        <v>135.84338122724742</v>
      </c>
      <c r="H94" s="23">
        <v>347.08540127738939</v>
      </c>
      <c r="I94" s="23">
        <v>149.20052831162513</v>
      </c>
      <c r="J94" s="32">
        <v>150.47312625491665</v>
      </c>
      <c r="K94" s="23" t="s">
        <v>27</v>
      </c>
      <c r="L94" s="23" t="s">
        <v>27</v>
      </c>
      <c r="M94" s="23" t="s">
        <v>27</v>
      </c>
      <c r="N94" s="23" t="s">
        <v>27</v>
      </c>
      <c r="O94" s="23" t="s">
        <v>27</v>
      </c>
      <c r="P94" s="32" t="s">
        <v>27</v>
      </c>
      <c r="Q94" s="32"/>
      <c r="R94" s="23" t="s">
        <v>27</v>
      </c>
      <c r="S94" s="23">
        <v>22.250999450683594</v>
      </c>
      <c r="T94" s="23">
        <v>27.778999716043472</v>
      </c>
      <c r="U94" s="23">
        <v>88.769000321626663</v>
      </c>
      <c r="V94" s="23">
        <v>122.72299859672785</v>
      </c>
      <c r="W94" s="23">
        <v>531.8570004478097</v>
      </c>
      <c r="X94" s="23" t="s">
        <v>27</v>
      </c>
      <c r="Y94" s="23" t="s">
        <v>27</v>
      </c>
      <c r="Z94" s="23" t="s">
        <v>27</v>
      </c>
      <c r="AA94" s="23" t="s">
        <v>27</v>
      </c>
      <c r="AB94" s="23" t="s">
        <v>27</v>
      </c>
      <c r="AC94" s="23" t="s">
        <v>27</v>
      </c>
      <c r="AD94" s="27">
        <f t="shared" si="5"/>
        <v>793.37899853289127</v>
      </c>
    </row>
    <row r="95" spans="1:30" ht="15" customHeight="1">
      <c r="A95" s="28">
        <v>90</v>
      </c>
      <c r="B95" s="30" t="s">
        <v>116</v>
      </c>
      <c r="C95" s="31" t="s">
        <v>150</v>
      </c>
      <c r="D95" s="27">
        <f t="shared" si="4"/>
        <v>1160.3024262260128</v>
      </c>
      <c r="E95" s="23" t="s">
        <v>27</v>
      </c>
      <c r="F95" s="23">
        <v>220.482414249897</v>
      </c>
      <c r="G95" s="23">
        <v>190.82477531325816</v>
      </c>
      <c r="H95" s="23">
        <v>255.53002645602078</v>
      </c>
      <c r="I95" s="23">
        <v>74.652274318724864</v>
      </c>
      <c r="J95" s="32">
        <v>74.40483668828341</v>
      </c>
      <c r="K95" s="23" t="s">
        <v>27</v>
      </c>
      <c r="L95" s="23">
        <v>55.081474130630497</v>
      </c>
      <c r="M95" s="23">
        <v>100.87922147505731</v>
      </c>
      <c r="N95" s="23">
        <v>139.89499665334822</v>
      </c>
      <c r="O95" s="23">
        <v>14.879842926621437</v>
      </c>
      <c r="P95" s="32">
        <v>33.672564014171186</v>
      </c>
      <c r="Q95" s="32"/>
      <c r="R95" s="23" t="s">
        <v>27</v>
      </c>
      <c r="S95" s="23">
        <v>23.995999574661255</v>
      </c>
      <c r="T95" s="23">
        <v>27.675000078976154</v>
      </c>
      <c r="U95" s="23">
        <v>89.081000132486224</v>
      </c>
      <c r="V95" s="23">
        <v>105.37199949473143</v>
      </c>
      <c r="W95" s="23">
        <v>368.52699951082468</v>
      </c>
      <c r="X95" s="23" t="s">
        <v>27</v>
      </c>
      <c r="Y95" s="23">
        <v>6.4340000152587891</v>
      </c>
      <c r="Z95" s="23">
        <v>7.676000040024519</v>
      </c>
      <c r="AA95" s="23">
        <v>14.892999976873398</v>
      </c>
      <c r="AB95" s="23">
        <v>6.5669999867677689</v>
      </c>
      <c r="AC95" s="23">
        <v>80.662999987602234</v>
      </c>
      <c r="AD95" s="27">
        <f t="shared" si="5"/>
        <v>730.88399879820645</v>
      </c>
    </row>
    <row r="96" spans="1:30" ht="15" customHeight="1">
      <c r="A96" s="28">
        <v>91</v>
      </c>
      <c r="B96" s="30" t="s">
        <v>117</v>
      </c>
      <c r="C96" s="31" t="s">
        <v>149</v>
      </c>
      <c r="D96" s="27">
        <f t="shared" si="4"/>
        <v>168.13968222604598</v>
      </c>
      <c r="E96" s="23" t="s">
        <v>27</v>
      </c>
      <c r="F96" s="23">
        <v>51.782382107019423</v>
      </c>
      <c r="G96" s="23" t="s">
        <v>27</v>
      </c>
      <c r="H96" s="23">
        <v>62.423660249672828</v>
      </c>
      <c r="I96" s="23">
        <v>22.619954990844242</v>
      </c>
      <c r="J96" s="32">
        <v>31.313684878509491</v>
      </c>
      <c r="K96" s="23" t="s">
        <v>27</v>
      </c>
      <c r="L96" s="23" t="s">
        <v>27</v>
      </c>
      <c r="M96" s="23" t="s">
        <v>27</v>
      </c>
      <c r="N96" s="23" t="s">
        <v>27</v>
      </c>
      <c r="O96" s="23" t="s">
        <v>27</v>
      </c>
      <c r="P96" s="32" t="s">
        <v>27</v>
      </c>
      <c r="Q96" s="32"/>
      <c r="R96" s="23" t="s">
        <v>27</v>
      </c>
      <c r="S96" s="23">
        <v>12.211000025272369</v>
      </c>
      <c r="T96" s="23" t="s">
        <v>27</v>
      </c>
      <c r="U96" s="23">
        <v>28.499000044539571</v>
      </c>
      <c r="V96" s="23">
        <v>53.16000018408522</v>
      </c>
      <c r="W96" s="23">
        <v>213.27499978244305</v>
      </c>
      <c r="X96" s="23" t="s">
        <v>27</v>
      </c>
      <c r="Y96" s="23" t="s">
        <v>27</v>
      </c>
      <c r="Z96" s="23" t="s">
        <v>27</v>
      </c>
      <c r="AA96" s="23" t="s">
        <v>27</v>
      </c>
      <c r="AB96" s="23" t="s">
        <v>27</v>
      </c>
      <c r="AC96" s="23" t="s">
        <v>27</v>
      </c>
      <c r="AD96" s="27">
        <f t="shared" si="5"/>
        <v>307.14500003634021</v>
      </c>
    </row>
    <row r="97" spans="1:30" ht="15" customHeight="1">
      <c r="A97" s="28">
        <v>92</v>
      </c>
      <c r="B97" s="30" t="s">
        <v>118</v>
      </c>
      <c r="C97" s="31" t="s">
        <v>149</v>
      </c>
      <c r="D97" s="27">
        <f t="shared" si="4"/>
        <v>901.69132633169477</v>
      </c>
      <c r="E97" s="23" t="s">
        <v>27</v>
      </c>
      <c r="F97" s="23">
        <v>329.73926076030733</v>
      </c>
      <c r="G97" s="23" t="s">
        <v>27</v>
      </c>
      <c r="H97" s="23">
        <v>378.69310451991856</v>
      </c>
      <c r="I97" s="23">
        <v>70.718061824560166</v>
      </c>
      <c r="J97" s="32">
        <v>122.54089922690865</v>
      </c>
      <c r="K97" s="23" t="s">
        <v>27</v>
      </c>
      <c r="L97" s="23" t="s">
        <v>27</v>
      </c>
      <c r="M97" s="23" t="s">
        <v>27</v>
      </c>
      <c r="N97" s="23" t="s">
        <v>27</v>
      </c>
      <c r="O97" s="23" t="s">
        <v>27</v>
      </c>
      <c r="P97" s="32" t="s">
        <v>27</v>
      </c>
      <c r="Q97" s="32"/>
      <c r="R97" s="23" t="s">
        <v>27</v>
      </c>
      <c r="S97" s="23">
        <v>46.096999645233154</v>
      </c>
      <c r="T97" s="23" t="s">
        <v>27</v>
      </c>
      <c r="U97" s="23">
        <v>119.66399989277124</v>
      </c>
      <c r="V97" s="23">
        <v>117.95199930667877</v>
      </c>
      <c r="W97" s="23">
        <v>673.66299988329411</v>
      </c>
      <c r="X97" s="23" t="s">
        <v>27</v>
      </c>
      <c r="Y97" s="23" t="s">
        <v>27</v>
      </c>
      <c r="Z97" s="23" t="s">
        <v>27</v>
      </c>
      <c r="AA97" s="23" t="s">
        <v>27</v>
      </c>
      <c r="AB97" s="23" t="s">
        <v>27</v>
      </c>
      <c r="AC97" s="23" t="s">
        <v>27</v>
      </c>
      <c r="AD97" s="27">
        <f t="shared" si="5"/>
        <v>957.37599872797728</v>
      </c>
    </row>
    <row r="98" spans="1:30" ht="15" customHeight="1">
      <c r="A98" s="28">
        <v>93</v>
      </c>
      <c r="B98" s="30" t="s">
        <v>119</v>
      </c>
      <c r="C98" s="31" t="s">
        <v>151</v>
      </c>
      <c r="D98" s="27">
        <f t="shared" si="4"/>
        <v>1303.1173244385493</v>
      </c>
      <c r="E98" s="23">
        <v>624.40556179523469</v>
      </c>
      <c r="F98" s="23" t="s">
        <v>27</v>
      </c>
      <c r="G98" s="23">
        <v>219.68233607866614</v>
      </c>
      <c r="H98" s="23">
        <v>123.26096775075793</v>
      </c>
      <c r="I98" s="23">
        <v>106.8858069011271</v>
      </c>
      <c r="J98" s="32">
        <v>88.784899699395794</v>
      </c>
      <c r="K98" s="23" t="s">
        <v>27</v>
      </c>
      <c r="L98" s="23" t="s">
        <v>27</v>
      </c>
      <c r="M98" s="23" t="s">
        <v>27</v>
      </c>
      <c r="N98" s="23">
        <v>88.946863400667908</v>
      </c>
      <c r="O98" s="23">
        <v>24.16452449825406</v>
      </c>
      <c r="P98" s="32">
        <v>26.986364314445758</v>
      </c>
      <c r="Q98" s="32"/>
      <c r="R98" s="23">
        <v>13.412000119686127</v>
      </c>
      <c r="S98" s="23" t="s">
        <v>27</v>
      </c>
      <c r="T98" s="23">
        <v>25.000000396743417</v>
      </c>
      <c r="U98" s="23">
        <v>37.905000070109963</v>
      </c>
      <c r="V98" s="23">
        <v>70.735000379383564</v>
      </c>
      <c r="W98" s="23">
        <f>261.948000073432+12</f>
        <v>273.94800007343201</v>
      </c>
      <c r="X98" s="23" t="s">
        <v>27</v>
      </c>
      <c r="Y98" s="23" t="s">
        <v>27</v>
      </c>
      <c r="Z98" s="23" t="s">
        <v>27</v>
      </c>
      <c r="AA98" s="23">
        <v>8.8149999678134918</v>
      </c>
      <c r="AB98" s="23">
        <v>7.7829998433589935</v>
      </c>
      <c r="AC98" s="23">
        <f>50.097000002861+3</f>
        <v>53.097000002861002</v>
      </c>
      <c r="AD98" s="27">
        <f t="shared" si="5"/>
        <v>490.69500085338859</v>
      </c>
    </row>
    <row r="99" spans="1:30" ht="15" customHeight="1">
      <c r="A99" s="28">
        <v>94</v>
      </c>
      <c r="B99" s="30" t="s">
        <v>120</v>
      </c>
      <c r="C99" s="31" t="s">
        <v>149</v>
      </c>
      <c r="D99" s="27">
        <f t="shared" si="4"/>
        <v>234.96558481352113</v>
      </c>
      <c r="E99" s="23" t="s">
        <v>27</v>
      </c>
      <c r="F99" s="23" t="s">
        <v>27</v>
      </c>
      <c r="G99" s="23">
        <v>78.128578117534516</v>
      </c>
      <c r="H99" s="23">
        <v>84.421839338188988</v>
      </c>
      <c r="I99" s="23">
        <v>28.894185054183005</v>
      </c>
      <c r="J99" s="32">
        <v>43.520982303614623</v>
      </c>
      <c r="K99" s="23" t="s">
        <v>27</v>
      </c>
      <c r="L99" s="23" t="s">
        <v>27</v>
      </c>
      <c r="M99" s="23" t="s">
        <v>27</v>
      </c>
      <c r="N99" s="23" t="s">
        <v>27</v>
      </c>
      <c r="O99" s="23" t="s">
        <v>27</v>
      </c>
      <c r="P99" s="32" t="s">
        <v>27</v>
      </c>
      <c r="Q99" s="32"/>
      <c r="R99" s="23" t="s">
        <v>27</v>
      </c>
      <c r="S99" s="23" t="s">
        <v>27</v>
      </c>
      <c r="T99" s="23">
        <v>27.110999651253223</v>
      </c>
      <c r="U99" s="23">
        <v>89.202999266795814</v>
      </c>
      <c r="V99" s="23">
        <v>65.738000273704529</v>
      </c>
      <c r="W99" s="23">
        <v>290.47100076824427</v>
      </c>
      <c r="X99" s="23" t="s">
        <v>27</v>
      </c>
      <c r="Y99" s="23" t="s">
        <v>27</v>
      </c>
      <c r="Z99" s="23" t="s">
        <v>27</v>
      </c>
      <c r="AA99" s="23" t="s">
        <v>27</v>
      </c>
      <c r="AB99" s="23" t="s">
        <v>27</v>
      </c>
      <c r="AC99" s="23" t="s">
        <v>27</v>
      </c>
      <c r="AD99" s="27">
        <f t="shared" si="5"/>
        <v>472.52299995999783</v>
      </c>
    </row>
    <row r="100" spans="1:30" ht="15" customHeight="1">
      <c r="A100" s="28">
        <v>95</v>
      </c>
      <c r="B100" s="30" t="s">
        <v>121</v>
      </c>
      <c r="C100" s="31" t="s">
        <v>149</v>
      </c>
      <c r="D100" s="27">
        <f t="shared" si="4"/>
        <v>111.65249058106819</v>
      </c>
      <c r="E100" s="23" t="s">
        <v>27</v>
      </c>
      <c r="F100" s="23" t="s">
        <v>27</v>
      </c>
      <c r="G100" s="23">
        <v>18.997894997000696</v>
      </c>
      <c r="H100" s="23">
        <v>48.315052470520136</v>
      </c>
      <c r="I100" s="23">
        <v>14.487170995593072</v>
      </c>
      <c r="J100" s="32">
        <v>29.852372117954292</v>
      </c>
      <c r="K100" s="23" t="s">
        <v>27</v>
      </c>
      <c r="L100" s="23" t="s">
        <v>27</v>
      </c>
      <c r="M100" s="23" t="s">
        <v>27</v>
      </c>
      <c r="N100" s="23" t="s">
        <v>27</v>
      </c>
      <c r="O100" s="23" t="s">
        <v>27</v>
      </c>
      <c r="P100" s="32" t="s">
        <v>27</v>
      </c>
      <c r="Q100" s="32"/>
      <c r="R100" s="23" t="s">
        <v>27</v>
      </c>
      <c r="S100" s="23" t="s">
        <v>27</v>
      </c>
      <c r="T100" s="23">
        <v>14.306999862194061</v>
      </c>
      <c r="U100" s="23">
        <v>41.15200044773519</v>
      </c>
      <c r="V100" s="23">
        <v>45.793999999761581</v>
      </c>
      <c r="W100" s="23">
        <v>244.69000017642975</v>
      </c>
      <c r="X100" s="23" t="s">
        <v>27</v>
      </c>
      <c r="Y100" s="23" t="s">
        <v>27</v>
      </c>
      <c r="Z100" s="23" t="s">
        <v>27</v>
      </c>
      <c r="AA100" s="23" t="s">
        <v>27</v>
      </c>
      <c r="AB100" s="23" t="s">
        <v>27</v>
      </c>
      <c r="AC100" s="23" t="s">
        <v>27</v>
      </c>
      <c r="AD100" s="27">
        <f t="shared" si="5"/>
        <v>345.94300048612058</v>
      </c>
    </row>
    <row r="101" spans="1:30" ht="15" customHeight="1">
      <c r="A101" s="28">
        <v>96</v>
      </c>
      <c r="B101" s="30" t="s">
        <v>122</v>
      </c>
      <c r="C101" s="31" t="s">
        <v>149</v>
      </c>
      <c r="D101" s="27">
        <f t="shared" si="4"/>
        <v>336.03023523393989</v>
      </c>
      <c r="E101" s="23" t="s">
        <v>27</v>
      </c>
      <c r="F101" s="23">
        <v>34.972338931560515</v>
      </c>
      <c r="G101" s="23">
        <v>119.5092257862091</v>
      </c>
      <c r="H101" s="23">
        <f>65.1444593988061-18</f>
        <v>47.144459398806106</v>
      </c>
      <c r="I101" s="23">
        <v>62.088341721028087</v>
      </c>
      <c r="J101" s="32">
        <v>72.315869396336026</v>
      </c>
      <c r="K101" s="23" t="s">
        <v>27</v>
      </c>
      <c r="L101" s="23" t="s">
        <v>27</v>
      </c>
      <c r="M101" s="23" t="s">
        <v>27</v>
      </c>
      <c r="N101" s="23" t="s">
        <v>27</v>
      </c>
      <c r="O101" s="23" t="s">
        <v>27</v>
      </c>
      <c r="P101" s="32" t="s">
        <v>27</v>
      </c>
      <c r="Q101" s="32"/>
      <c r="R101" s="23" t="s">
        <v>27</v>
      </c>
      <c r="S101" s="23">
        <v>4.33899986743927</v>
      </c>
      <c r="T101" s="23">
        <v>19.421999722719193</v>
      </c>
      <c r="U101" s="23">
        <v>43.807000607252121</v>
      </c>
      <c r="V101" s="23">
        <v>78.749999515712261</v>
      </c>
      <c r="W101" s="23">
        <v>335.03100050985813</v>
      </c>
      <c r="X101" s="23" t="s">
        <v>27</v>
      </c>
      <c r="Y101" s="23" t="s">
        <v>27</v>
      </c>
      <c r="Z101" s="23" t="s">
        <v>27</v>
      </c>
      <c r="AA101" s="23" t="s">
        <v>27</v>
      </c>
      <c r="AB101" s="23" t="s">
        <v>27</v>
      </c>
      <c r="AC101" s="23" t="s">
        <v>27</v>
      </c>
      <c r="AD101" s="27">
        <f t="shared" si="5"/>
        <v>481.34900022298098</v>
      </c>
    </row>
    <row r="102" spans="1:30" ht="15" customHeight="1">
      <c r="A102" s="28">
        <v>97</v>
      </c>
      <c r="B102" s="30" t="s">
        <v>123</v>
      </c>
      <c r="C102" s="31" t="s">
        <v>150</v>
      </c>
      <c r="D102" s="27">
        <f t="shared" ref="D102:D125" si="6">SUM(E102:J102)+SUM(K102:P102)</f>
        <v>922.34482280105988</v>
      </c>
      <c r="E102" s="23" t="s">
        <v>27</v>
      </c>
      <c r="F102" s="23">
        <v>306.20853923195602</v>
      </c>
      <c r="G102" s="23" t="s">
        <v>27</v>
      </c>
      <c r="H102" s="23">
        <v>196.65011090189219</v>
      </c>
      <c r="I102" s="23">
        <v>89.356567986570298</v>
      </c>
      <c r="J102" s="32">
        <v>87.614370997355451</v>
      </c>
      <c r="K102" s="23" t="s">
        <v>27</v>
      </c>
      <c r="L102" s="23" t="s">
        <v>27</v>
      </c>
      <c r="M102" s="23">
        <v>133.16691087490321</v>
      </c>
      <c r="N102" s="23">
        <v>68.563975930117067</v>
      </c>
      <c r="O102" s="23">
        <v>17.26728706761077</v>
      </c>
      <c r="P102" s="32">
        <v>23.517059810654889</v>
      </c>
      <c r="Q102" s="32"/>
      <c r="R102" s="23" t="s">
        <v>27</v>
      </c>
      <c r="S102" s="23">
        <v>33.739000648260117</v>
      </c>
      <c r="T102" s="23" t="s">
        <v>27</v>
      </c>
      <c r="U102" s="23">
        <v>82.309000134468079</v>
      </c>
      <c r="V102" s="23">
        <v>94.482000436633825</v>
      </c>
      <c r="W102" s="23">
        <v>362.28999982587993</v>
      </c>
      <c r="X102" s="23" t="s">
        <v>27</v>
      </c>
      <c r="Y102" s="23" t="s">
        <v>27</v>
      </c>
      <c r="Z102" s="23">
        <v>7.4540000855922699</v>
      </c>
      <c r="AA102" s="23">
        <v>10.869000013917685</v>
      </c>
      <c r="AB102" s="23">
        <v>4.4750000406056643</v>
      </c>
      <c r="AC102" s="23">
        <v>40.395000014454126</v>
      </c>
      <c r="AD102" s="27">
        <f t="shared" ref="AD102:AD125" si="7">SUM(R102:AC102)</f>
        <v>636.0130011998117</v>
      </c>
    </row>
    <row r="103" spans="1:30" ht="15" customHeight="1">
      <c r="A103" s="28">
        <v>98</v>
      </c>
      <c r="B103" s="30" t="s">
        <v>124</v>
      </c>
      <c r="C103" s="31" t="s">
        <v>150</v>
      </c>
      <c r="D103" s="27">
        <f t="shared" si="6"/>
        <v>2195.4910739704369</v>
      </c>
      <c r="E103" s="23" t="s">
        <v>27</v>
      </c>
      <c r="F103" s="23">
        <v>831.07918465948103</v>
      </c>
      <c r="G103" s="23" t="s">
        <v>27</v>
      </c>
      <c r="H103" s="23">
        <v>426.52342920503764</v>
      </c>
      <c r="I103" s="23">
        <v>275.3688536723256</v>
      </c>
      <c r="J103" s="32">
        <v>281.78076183226443</v>
      </c>
      <c r="K103" s="23" t="s">
        <v>27</v>
      </c>
      <c r="L103" s="23" t="s">
        <v>27</v>
      </c>
      <c r="M103" s="23">
        <v>261.95404450201988</v>
      </c>
      <c r="N103" s="23">
        <v>82.649827704325318</v>
      </c>
      <c r="O103" s="23">
        <v>16.116939979404211</v>
      </c>
      <c r="P103" s="32">
        <v>20.018032415578972</v>
      </c>
      <c r="Q103" s="32"/>
      <c r="R103" s="23" t="s">
        <v>27</v>
      </c>
      <c r="S103" s="23">
        <v>76.710999965667725</v>
      </c>
      <c r="T103" s="23" t="s">
        <v>27</v>
      </c>
      <c r="U103" s="23">
        <v>141.88100177422166</v>
      </c>
      <c r="V103" s="23">
        <v>178.15100059658289</v>
      </c>
      <c r="W103" s="23">
        <v>857.21900057792664</v>
      </c>
      <c r="X103" s="23" t="s">
        <v>27</v>
      </c>
      <c r="Y103" s="23" t="s">
        <v>27</v>
      </c>
      <c r="Z103" s="23">
        <v>8.9810001850128174</v>
      </c>
      <c r="AA103" s="23">
        <v>10.818000212311745</v>
      </c>
      <c r="AB103" s="23">
        <v>5.9740000367164612</v>
      </c>
      <c r="AC103" s="23">
        <v>43</v>
      </c>
      <c r="AD103" s="27">
        <f t="shared" si="7"/>
        <v>1322.7350033484399</v>
      </c>
    </row>
    <row r="104" spans="1:30" ht="15" customHeight="1">
      <c r="A104" s="28">
        <v>99</v>
      </c>
      <c r="B104" s="30" t="s">
        <v>125</v>
      </c>
      <c r="C104" s="31" t="s">
        <v>149</v>
      </c>
      <c r="D104" s="27">
        <f t="shared" si="6"/>
        <v>522.45205170981865</v>
      </c>
      <c r="E104" s="23" t="s">
        <v>27</v>
      </c>
      <c r="F104" s="23">
        <v>283.55216274261477</v>
      </c>
      <c r="G104" s="23">
        <v>8.0210102394372225</v>
      </c>
      <c r="H104" s="23">
        <v>146.59731694004685</v>
      </c>
      <c r="I104" s="23">
        <v>36.950541209567341</v>
      </c>
      <c r="J104" s="32">
        <v>47.331020578152547</v>
      </c>
      <c r="K104" s="23" t="s">
        <v>27</v>
      </c>
      <c r="L104" s="23" t="s">
        <v>27</v>
      </c>
      <c r="M104" s="23" t="s">
        <v>27</v>
      </c>
      <c r="N104" s="23" t="s">
        <v>27</v>
      </c>
      <c r="O104" s="23" t="s">
        <v>27</v>
      </c>
      <c r="P104" s="32" t="s">
        <v>27</v>
      </c>
      <c r="Q104" s="32"/>
      <c r="R104" s="23" t="s">
        <v>27</v>
      </c>
      <c r="S104" s="23">
        <v>24.086999893188477</v>
      </c>
      <c r="T104" s="23">
        <v>3.5040001049637794</v>
      </c>
      <c r="U104" s="23">
        <v>49.549000270664692</v>
      </c>
      <c r="V104" s="23">
        <v>57.825000267475843</v>
      </c>
      <c r="W104" s="23">
        <v>250.04199974238873</v>
      </c>
      <c r="X104" s="23" t="s">
        <v>27</v>
      </c>
      <c r="Y104" s="23" t="s">
        <v>27</v>
      </c>
      <c r="Z104" s="23" t="s">
        <v>27</v>
      </c>
      <c r="AA104" s="23" t="s">
        <v>27</v>
      </c>
      <c r="AB104" s="23" t="s">
        <v>27</v>
      </c>
      <c r="AC104" s="23" t="s">
        <v>27</v>
      </c>
      <c r="AD104" s="27">
        <f t="shared" si="7"/>
        <v>385.00700027868152</v>
      </c>
    </row>
    <row r="105" spans="1:30" ht="15" customHeight="1">
      <c r="A105" s="28">
        <v>100</v>
      </c>
      <c r="B105" s="30" t="s">
        <v>126</v>
      </c>
      <c r="C105" s="31" t="s">
        <v>150</v>
      </c>
      <c r="D105" s="27">
        <f t="shared" si="6"/>
        <v>1838.0796342949693</v>
      </c>
      <c r="E105" s="23" t="s">
        <v>27</v>
      </c>
      <c r="F105" s="23">
        <v>571.77332907195387</v>
      </c>
      <c r="G105" s="23">
        <v>44.616639592170714</v>
      </c>
      <c r="H105" s="23">
        <v>250.36281418447197</v>
      </c>
      <c r="I105" s="23">
        <v>98.308233858108522</v>
      </c>
      <c r="J105" s="32">
        <v>242.07614195658871</v>
      </c>
      <c r="K105" s="23" t="s">
        <v>27</v>
      </c>
      <c r="L105" s="23">
        <v>11.511384496450423</v>
      </c>
      <c r="M105" s="23">
        <v>315.59342681369185</v>
      </c>
      <c r="N105" s="23">
        <v>108.95503932198137</v>
      </c>
      <c r="O105" s="23">
        <v>64.353843235895042</v>
      </c>
      <c r="P105" s="32">
        <v>130.52878176365695</v>
      </c>
      <c r="Q105" s="32"/>
      <c r="R105" s="23" t="s">
        <v>27</v>
      </c>
      <c r="S105" s="23">
        <v>68.533999539911747</v>
      </c>
      <c r="T105" s="23">
        <v>4.1690001487731934</v>
      </c>
      <c r="U105" s="23">
        <v>96.180999733507633</v>
      </c>
      <c r="V105" s="23">
        <v>134.96600052714348</v>
      </c>
      <c r="W105" s="23">
        <v>1178.4000002965331</v>
      </c>
      <c r="X105" s="23" t="s">
        <v>27</v>
      </c>
      <c r="Y105" s="23">
        <v>1.1720000505447388</v>
      </c>
      <c r="Z105" s="23">
        <v>13.855999980121851</v>
      </c>
      <c r="AA105" s="23">
        <v>16.573999915271997</v>
      </c>
      <c r="AB105" s="23">
        <v>9.622000016272068</v>
      </c>
      <c r="AC105" s="23">
        <v>159.00100006908178</v>
      </c>
      <c r="AD105" s="27">
        <f t="shared" si="7"/>
        <v>1682.4750002771616</v>
      </c>
    </row>
    <row r="106" spans="1:30" ht="15" customHeight="1">
      <c r="A106" s="28">
        <v>101</v>
      </c>
      <c r="B106" s="30" t="s">
        <v>127</v>
      </c>
      <c r="C106" s="31" t="s">
        <v>149</v>
      </c>
      <c r="D106" s="27">
        <f t="shared" si="6"/>
        <v>45.011752633268749</v>
      </c>
      <c r="E106" s="23" t="s">
        <v>27</v>
      </c>
      <c r="F106" s="23">
        <v>4.4780999779701229</v>
      </c>
      <c r="G106" s="23" t="s">
        <v>27</v>
      </c>
      <c r="H106" s="23">
        <v>24.492263458609582</v>
      </c>
      <c r="I106" s="23">
        <v>7.4377419308423995</v>
      </c>
      <c r="J106" s="32">
        <v>8.6036472658466465</v>
      </c>
      <c r="K106" s="23" t="s">
        <v>27</v>
      </c>
      <c r="L106" s="23" t="s">
        <v>27</v>
      </c>
      <c r="M106" s="23" t="s">
        <v>27</v>
      </c>
      <c r="N106" s="23" t="s">
        <v>27</v>
      </c>
      <c r="O106" s="23" t="s">
        <v>27</v>
      </c>
      <c r="P106" s="32" t="s">
        <v>27</v>
      </c>
      <c r="Q106" s="32"/>
      <c r="R106" s="23" t="s">
        <v>27</v>
      </c>
      <c r="S106" s="23">
        <v>1.3569999933242798</v>
      </c>
      <c r="T106" s="23" t="s">
        <v>27</v>
      </c>
      <c r="U106" s="23">
        <v>32.219000697135925</v>
      </c>
      <c r="V106" s="23">
        <v>32.473999604582787</v>
      </c>
      <c r="W106" s="23">
        <v>86.289999961853027</v>
      </c>
      <c r="X106" s="23" t="s">
        <v>27</v>
      </c>
      <c r="Y106" s="23" t="s">
        <v>27</v>
      </c>
      <c r="Z106" s="23" t="s">
        <v>27</v>
      </c>
      <c r="AA106" s="23" t="s">
        <v>27</v>
      </c>
      <c r="AB106" s="23" t="s">
        <v>27</v>
      </c>
      <c r="AC106" s="23" t="s">
        <v>27</v>
      </c>
      <c r="AD106" s="27">
        <f t="shared" si="7"/>
        <v>152.34000025689602</v>
      </c>
    </row>
    <row r="107" spans="1:30" ht="15" customHeight="1">
      <c r="A107" s="28">
        <v>102</v>
      </c>
      <c r="B107" s="30" t="s">
        <v>128</v>
      </c>
      <c r="C107" s="31" t="s">
        <v>149</v>
      </c>
      <c r="D107" s="27">
        <f t="shared" si="6"/>
        <v>1216.3334560841329</v>
      </c>
      <c r="E107" s="23">
        <v>811.41002305746076</v>
      </c>
      <c r="F107" s="23">
        <v>71.324515741467479</v>
      </c>
      <c r="G107" s="23">
        <v>90.373587938074024</v>
      </c>
      <c r="H107" s="23">
        <v>92.343231707394125</v>
      </c>
      <c r="I107" s="23">
        <v>53.927974013984205</v>
      </c>
      <c r="J107" s="32">
        <v>96.954123625752288</v>
      </c>
      <c r="K107" s="23" t="s">
        <v>27</v>
      </c>
      <c r="L107" s="23" t="s">
        <v>27</v>
      </c>
      <c r="M107" s="23" t="s">
        <v>27</v>
      </c>
      <c r="N107" s="23" t="s">
        <v>27</v>
      </c>
      <c r="O107" s="23" t="s">
        <v>27</v>
      </c>
      <c r="P107" s="32" t="s">
        <v>27</v>
      </c>
      <c r="Q107" s="32"/>
      <c r="R107" s="23">
        <v>22.641000628471375</v>
      </c>
      <c r="S107" s="23">
        <v>10.063999801874161</v>
      </c>
      <c r="T107" s="23">
        <v>14.365999989211559</v>
      </c>
      <c r="U107" s="23">
        <v>51.229000367224216</v>
      </c>
      <c r="V107" s="23">
        <v>75.427999675273895</v>
      </c>
      <c r="W107" s="23">
        <v>477.48299977555871</v>
      </c>
      <c r="X107" s="23" t="s">
        <v>27</v>
      </c>
      <c r="Y107" s="23" t="s">
        <v>27</v>
      </c>
      <c r="Z107" s="23" t="s">
        <v>27</v>
      </c>
      <c r="AA107" s="23" t="s">
        <v>27</v>
      </c>
      <c r="AB107" s="23" t="s">
        <v>27</v>
      </c>
      <c r="AC107" s="23" t="s">
        <v>27</v>
      </c>
      <c r="AD107" s="27">
        <f t="shared" si="7"/>
        <v>651.21100023761392</v>
      </c>
    </row>
    <row r="108" spans="1:30" ht="15" customHeight="1">
      <c r="A108" s="28">
        <v>103</v>
      </c>
      <c r="B108" s="30" t="s">
        <v>129</v>
      </c>
      <c r="C108" s="31" t="s">
        <v>150</v>
      </c>
      <c r="D108" s="27">
        <f t="shared" si="6"/>
        <v>856.10861485848272</v>
      </c>
      <c r="E108" s="23">
        <v>255.72310056877137</v>
      </c>
      <c r="F108" s="23" t="s">
        <v>27</v>
      </c>
      <c r="G108" s="23">
        <v>87.862110909700391</v>
      </c>
      <c r="H108" s="23">
        <v>171.91393747663406</v>
      </c>
      <c r="I108" s="23">
        <v>41.484229514569044</v>
      </c>
      <c r="J108" s="32">
        <v>72.571680208183665</v>
      </c>
      <c r="K108" s="23">
        <v>23.257529565095901</v>
      </c>
      <c r="L108" s="23" t="s">
        <v>27</v>
      </c>
      <c r="M108" s="23">
        <v>107.88895696856827</v>
      </c>
      <c r="N108" s="23">
        <v>38.968614280834792</v>
      </c>
      <c r="O108" s="23">
        <v>24.09330559837818</v>
      </c>
      <c r="P108" s="32">
        <v>32.345149767747039</v>
      </c>
      <c r="Q108" s="32"/>
      <c r="R108" s="23">
        <v>18.180000305175781</v>
      </c>
      <c r="S108" s="23" t="s">
        <v>27</v>
      </c>
      <c r="T108" s="23">
        <v>14.066000193357468</v>
      </c>
      <c r="U108" s="23">
        <v>62.648999582510442</v>
      </c>
      <c r="V108" s="23">
        <v>45.571000471711159</v>
      </c>
      <c r="W108" s="23">
        <v>307.3329998254776</v>
      </c>
      <c r="X108" s="23">
        <v>1.5299999713897705</v>
      </c>
      <c r="Y108" s="23" t="s">
        <v>27</v>
      </c>
      <c r="Z108" s="23">
        <v>5.3939999956637621</v>
      </c>
      <c r="AA108" s="23">
        <v>5.0860000476241112</v>
      </c>
      <c r="AB108" s="23">
        <v>5.8010000810027122</v>
      </c>
      <c r="AC108" s="23">
        <v>53.061999995261431</v>
      </c>
      <c r="AD108" s="27">
        <f t="shared" si="7"/>
        <v>518.67200046917424</v>
      </c>
    </row>
    <row r="109" spans="1:30" ht="15" customHeight="1">
      <c r="A109" s="28">
        <v>104</v>
      </c>
      <c r="B109" s="30" t="s">
        <v>130</v>
      </c>
      <c r="C109" s="31" t="s">
        <v>149</v>
      </c>
      <c r="D109" s="27">
        <f t="shared" si="6"/>
        <v>515.92234211775599</v>
      </c>
      <c r="E109" s="23" t="s">
        <v>27</v>
      </c>
      <c r="F109" s="23">
        <v>207.05324041062966</v>
      </c>
      <c r="G109" s="23" t="s">
        <v>27</v>
      </c>
      <c r="H109" s="23">
        <v>114.34123812627793</v>
      </c>
      <c r="I109" s="23">
        <v>72.3356704813242</v>
      </c>
      <c r="J109" s="32">
        <v>122.19219309952426</v>
      </c>
      <c r="K109" s="23" t="s">
        <v>27</v>
      </c>
      <c r="L109" s="23" t="s">
        <v>27</v>
      </c>
      <c r="M109" s="23" t="s">
        <v>27</v>
      </c>
      <c r="N109" s="23" t="s">
        <v>27</v>
      </c>
      <c r="O109" s="23" t="s">
        <v>27</v>
      </c>
      <c r="P109" s="32" t="s">
        <v>27</v>
      </c>
      <c r="Q109" s="32"/>
      <c r="R109" s="23" t="s">
        <v>27</v>
      </c>
      <c r="S109" s="23">
        <v>41.255999689921737</v>
      </c>
      <c r="T109" s="23" t="s">
        <v>27</v>
      </c>
      <c r="U109" s="23">
        <v>44.998000510036945</v>
      </c>
      <c r="V109" s="23">
        <v>74.275000810623169</v>
      </c>
      <c r="W109" s="23">
        <v>496.0999993160367</v>
      </c>
      <c r="X109" s="23" t="s">
        <v>27</v>
      </c>
      <c r="Y109" s="23" t="s">
        <v>27</v>
      </c>
      <c r="Z109" s="23" t="s">
        <v>27</v>
      </c>
      <c r="AA109" s="23" t="s">
        <v>27</v>
      </c>
      <c r="AB109" s="23" t="s">
        <v>27</v>
      </c>
      <c r="AC109" s="23" t="s">
        <v>27</v>
      </c>
      <c r="AD109" s="27">
        <f t="shared" si="7"/>
        <v>656.62900032661855</v>
      </c>
    </row>
    <row r="110" spans="1:30" ht="15" customHeight="1">
      <c r="A110" s="28">
        <v>105</v>
      </c>
      <c r="B110" s="30" t="s">
        <v>131</v>
      </c>
      <c r="C110" s="31" t="s">
        <v>150</v>
      </c>
      <c r="D110" s="27">
        <f t="shared" si="6"/>
        <v>1726.2381950545923</v>
      </c>
      <c r="E110" s="23">
        <v>862.08970169067379</v>
      </c>
      <c r="F110" s="23">
        <v>13.177827677249908</v>
      </c>
      <c r="G110" s="23">
        <v>91.788459947854278</v>
      </c>
      <c r="H110" s="23">
        <v>154.51773624787853</v>
      </c>
      <c r="I110" s="23">
        <v>56.244964063322172</v>
      </c>
      <c r="J110" s="32">
        <v>55.703537557272526</v>
      </c>
      <c r="K110" s="23">
        <v>142.29021451711654</v>
      </c>
      <c r="L110" s="23" t="s">
        <v>27</v>
      </c>
      <c r="M110" s="23">
        <v>152.0404564920664</v>
      </c>
      <c r="N110" s="23">
        <v>131.72652856158652</v>
      </c>
      <c r="O110" s="23">
        <v>22.363509136497974</v>
      </c>
      <c r="P110" s="32">
        <v>44.295259163073808</v>
      </c>
      <c r="Q110" s="32"/>
      <c r="R110" s="23">
        <v>22.706999778747559</v>
      </c>
      <c r="S110" s="23">
        <v>2.3010001182556152</v>
      </c>
      <c r="T110" s="23">
        <v>14.881999954581261</v>
      </c>
      <c r="U110" s="23">
        <v>55.649000070057809</v>
      </c>
      <c r="V110" s="23">
        <v>59.359999870881438</v>
      </c>
      <c r="W110" s="23">
        <v>230.06800055503845</v>
      </c>
      <c r="X110" s="23">
        <v>3.6340000629425049</v>
      </c>
      <c r="Y110" s="23" t="s">
        <v>27</v>
      </c>
      <c r="Z110" s="23">
        <v>9.7889998331665993</v>
      </c>
      <c r="AA110" s="23">
        <v>12.418999859131873</v>
      </c>
      <c r="AB110" s="23">
        <v>7.0510000139474869</v>
      </c>
      <c r="AC110" s="23">
        <v>86</v>
      </c>
      <c r="AD110" s="27">
        <f t="shared" si="7"/>
        <v>503.8600001167506</v>
      </c>
    </row>
    <row r="111" spans="1:30" ht="15" customHeight="1">
      <c r="A111" s="28">
        <v>106</v>
      </c>
      <c r="B111" s="30" t="s">
        <v>132</v>
      </c>
      <c r="C111" s="31" t="s">
        <v>150</v>
      </c>
      <c r="D111" s="27">
        <f t="shared" si="6"/>
        <v>1585.8806912836076</v>
      </c>
      <c r="E111" s="23">
        <v>908.92364714622499</v>
      </c>
      <c r="F111" s="23" t="s">
        <v>27</v>
      </c>
      <c r="G111" s="23">
        <v>158.43398538286985</v>
      </c>
      <c r="H111" s="23">
        <v>144.48741013336928</v>
      </c>
      <c r="I111" s="23">
        <v>84.415227830290789</v>
      </c>
      <c r="J111" s="32">
        <v>65.071403431589133</v>
      </c>
      <c r="K111" s="23" t="s">
        <v>27</v>
      </c>
      <c r="L111" s="23" t="s">
        <v>27</v>
      </c>
      <c r="M111" s="23">
        <v>149.64406884313001</v>
      </c>
      <c r="N111" s="23">
        <v>35.708078584641221</v>
      </c>
      <c r="O111" s="23">
        <v>20.208070163041352</v>
      </c>
      <c r="P111" s="32">
        <v>18.988799768451091</v>
      </c>
      <c r="Q111" s="32"/>
      <c r="R111" s="23">
        <v>22.329000473022461</v>
      </c>
      <c r="S111" s="23" t="s">
        <v>27</v>
      </c>
      <c r="T111" s="23">
        <v>27.552000667899847</v>
      </c>
      <c r="U111" s="23">
        <v>58.06700025126338</v>
      </c>
      <c r="V111" s="23">
        <v>111.85399938374758</v>
      </c>
      <c r="W111" s="23">
        <v>309.81800006330013</v>
      </c>
      <c r="X111" s="23" t="s">
        <v>27</v>
      </c>
      <c r="Y111" s="23" t="s">
        <v>27</v>
      </c>
      <c r="Z111" s="23">
        <v>10.222000123932958</v>
      </c>
      <c r="AA111" s="23">
        <v>3.5519999694079161</v>
      </c>
      <c r="AB111" s="23">
        <v>7.6160000562667847</v>
      </c>
      <c r="AC111" s="23">
        <v>41.215000003576279</v>
      </c>
      <c r="AD111" s="27">
        <f t="shared" si="7"/>
        <v>592.22500099241734</v>
      </c>
    </row>
    <row r="112" spans="1:30" ht="15" customHeight="1">
      <c r="A112" s="28">
        <v>107</v>
      </c>
      <c r="B112" s="30" t="s">
        <v>133</v>
      </c>
      <c r="C112" s="31" t="s">
        <v>150</v>
      </c>
      <c r="D112" s="27">
        <f t="shared" si="6"/>
        <v>930.32189699257106</v>
      </c>
      <c r="E112" s="23">
        <v>509.79197877860071</v>
      </c>
      <c r="F112" s="23" t="s">
        <v>27</v>
      </c>
      <c r="G112" s="23">
        <v>42.958006397224963</v>
      </c>
      <c r="H112" s="23">
        <v>128.14849272033945</v>
      </c>
      <c r="I112" s="23">
        <v>38.871493467181921</v>
      </c>
      <c r="J112" s="32">
        <v>50.376972517147458</v>
      </c>
      <c r="K112" s="23" t="s">
        <v>27</v>
      </c>
      <c r="L112" s="23" t="s">
        <v>27</v>
      </c>
      <c r="M112" s="23" t="s">
        <v>27</v>
      </c>
      <c r="N112" s="23">
        <v>82.219040522878984</v>
      </c>
      <c r="O112" s="23">
        <v>46.902783374868335</v>
      </c>
      <c r="P112" s="32">
        <v>31.053129214329132</v>
      </c>
      <c r="Q112" s="32"/>
      <c r="R112" s="23">
        <v>13.711000263690948</v>
      </c>
      <c r="S112" s="23" t="s">
        <v>27</v>
      </c>
      <c r="T112" s="23">
        <v>4.8320000525563955</v>
      </c>
      <c r="U112" s="23">
        <v>46.97800019569695</v>
      </c>
      <c r="V112" s="23">
        <v>69.041000738739967</v>
      </c>
      <c r="W112" s="23">
        <v>288.03900015819818</v>
      </c>
      <c r="X112" s="23" t="s">
        <v>27</v>
      </c>
      <c r="Y112" s="23" t="s">
        <v>27</v>
      </c>
      <c r="Z112" s="23" t="s">
        <v>27</v>
      </c>
      <c r="AA112" s="23">
        <v>12.286000085063279</v>
      </c>
      <c r="AB112" s="23">
        <v>13.432000033557415</v>
      </c>
      <c r="AC112" s="23">
        <v>56.773999989032745</v>
      </c>
      <c r="AD112" s="27">
        <f t="shared" si="7"/>
        <v>505.09300151653588</v>
      </c>
    </row>
    <row r="113" spans="1:30" ht="15" customHeight="1">
      <c r="A113" s="28">
        <v>108</v>
      </c>
      <c r="B113" s="30" t="s">
        <v>134</v>
      </c>
      <c r="C113" s="31" t="s">
        <v>149</v>
      </c>
      <c r="D113" s="27">
        <f t="shared" si="6"/>
        <v>299.11641196785263</v>
      </c>
      <c r="E113" s="23" t="s">
        <v>27</v>
      </c>
      <c r="F113" s="23" t="s">
        <v>27</v>
      </c>
      <c r="G113" s="23">
        <v>111.07978339241073</v>
      </c>
      <c r="H113" s="23">
        <v>107.50066223490238</v>
      </c>
      <c r="I113" s="23">
        <v>36.622446169108152</v>
      </c>
      <c r="J113" s="32">
        <v>43.913520171431372</v>
      </c>
      <c r="K113" s="23" t="s">
        <v>27</v>
      </c>
      <c r="L113" s="23" t="s">
        <v>27</v>
      </c>
      <c r="M113" s="23" t="s">
        <v>27</v>
      </c>
      <c r="N113" s="23" t="s">
        <v>27</v>
      </c>
      <c r="O113" s="23" t="s">
        <v>27</v>
      </c>
      <c r="P113" s="32" t="s">
        <v>27</v>
      </c>
      <c r="Q113" s="32"/>
      <c r="R113" s="23" t="s">
        <v>27</v>
      </c>
      <c r="S113" s="23" t="s">
        <v>27</v>
      </c>
      <c r="T113" s="23">
        <v>12.451000135391951</v>
      </c>
      <c r="U113" s="23">
        <v>43.239000514149666</v>
      </c>
      <c r="V113" s="23">
        <v>49.516000583767891</v>
      </c>
      <c r="W113" s="23">
        <v>211.73499964922667</v>
      </c>
      <c r="X113" s="23" t="s">
        <v>27</v>
      </c>
      <c r="Y113" s="23" t="s">
        <v>27</v>
      </c>
      <c r="Z113" s="23" t="s">
        <v>27</v>
      </c>
      <c r="AA113" s="23" t="s">
        <v>27</v>
      </c>
      <c r="AB113" s="23" t="s">
        <v>27</v>
      </c>
      <c r="AC113" s="23" t="s">
        <v>27</v>
      </c>
      <c r="AD113" s="27">
        <f t="shared" si="7"/>
        <v>316.94100088253617</v>
      </c>
    </row>
    <row r="114" spans="1:30" ht="15" customHeight="1">
      <c r="A114" s="28">
        <v>109</v>
      </c>
      <c r="B114" s="30" t="s">
        <v>135</v>
      </c>
      <c r="C114" s="31" t="s">
        <v>150</v>
      </c>
      <c r="D114" s="27">
        <f t="shared" si="6"/>
        <v>605.55445229987163</v>
      </c>
      <c r="E114" s="23" t="s">
        <v>27</v>
      </c>
      <c r="F114" s="23">
        <v>112.53106686222553</v>
      </c>
      <c r="G114" s="23" t="s">
        <v>27</v>
      </c>
      <c r="H114" s="23">
        <v>139.69355251690746</v>
      </c>
      <c r="I114" s="23">
        <v>58.337581015020611</v>
      </c>
      <c r="J114" s="32">
        <v>79.461003696158201</v>
      </c>
      <c r="K114" s="23" t="s">
        <v>27</v>
      </c>
      <c r="L114" s="23" t="s">
        <v>27</v>
      </c>
      <c r="M114" s="23">
        <v>63.041688985854385</v>
      </c>
      <c r="N114" s="23">
        <v>83.549098283112045</v>
      </c>
      <c r="O114" s="23">
        <v>28.53675411193818</v>
      </c>
      <c r="P114" s="32">
        <v>40.403706828655253</v>
      </c>
      <c r="Q114" s="32"/>
      <c r="R114" s="23" t="s">
        <v>27</v>
      </c>
      <c r="S114" s="23">
        <v>14.859000086784363</v>
      </c>
      <c r="T114" s="23" t="s">
        <v>27</v>
      </c>
      <c r="U114" s="23">
        <v>51.225999861955643</v>
      </c>
      <c r="V114" s="23">
        <v>71.77899993956089</v>
      </c>
      <c r="W114" s="23">
        <v>361.21299970149994</v>
      </c>
      <c r="X114" s="23" t="s">
        <v>27</v>
      </c>
      <c r="Y114" s="23" t="s">
        <v>27</v>
      </c>
      <c r="Z114" s="23">
        <v>4.0949999913573265</v>
      </c>
      <c r="AA114" s="23">
        <v>11.088000014424324</v>
      </c>
      <c r="AB114" s="23">
        <v>8.7700000591576099</v>
      </c>
      <c r="AC114" s="23">
        <v>77.200000002980232</v>
      </c>
      <c r="AD114" s="27">
        <f t="shared" si="7"/>
        <v>600.22999965772033</v>
      </c>
    </row>
    <row r="115" spans="1:30" ht="15" customHeight="1">
      <c r="A115" s="28">
        <v>110</v>
      </c>
      <c r="B115" s="30" t="s">
        <v>136</v>
      </c>
      <c r="C115" s="31" t="s">
        <v>149</v>
      </c>
      <c r="D115" s="27">
        <f t="shared" si="6"/>
        <v>344.24398079635625</v>
      </c>
      <c r="E115" s="23" t="s">
        <v>27</v>
      </c>
      <c r="F115" s="23">
        <v>61.264655708312986</v>
      </c>
      <c r="G115" s="23">
        <v>60.498724166601896</v>
      </c>
      <c r="H115" s="23">
        <v>103.7324563402012</v>
      </c>
      <c r="I115" s="23">
        <v>46.842311327159408</v>
      </c>
      <c r="J115" s="32">
        <v>71.905833254080804</v>
      </c>
      <c r="K115" s="23" t="s">
        <v>27</v>
      </c>
      <c r="L115" s="23" t="s">
        <v>27</v>
      </c>
      <c r="M115" s="23" t="s">
        <v>27</v>
      </c>
      <c r="N115" s="23" t="s">
        <v>27</v>
      </c>
      <c r="O115" s="23" t="s">
        <v>27</v>
      </c>
      <c r="P115" s="32" t="s">
        <v>27</v>
      </c>
      <c r="Q115" s="32"/>
      <c r="R115" s="23" t="s">
        <v>27</v>
      </c>
      <c r="S115" s="23">
        <v>14.421999931335449</v>
      </c>
      <c r="T115" s="23">
        <v>23.064000114798546</v>
      </c>
      <c r="U115" s="23">
        <v>52.502001000568271</v>
      </c>
      <c r="V115" s="23">
        <v>82.503000646829605</v>
      </c>
      <c r="W115" s="23">
        <v>408.98400005698204</v>
      </c>
      <c r="X115" s="23" t="s">
        <v>27</v>
      </c>
      <c r="Y115" s="23" t="s">
        <v>27</v>
      </c>
      <c r="Z115" s="23" t="s">
        <v>27</v>
      </c>
      <c r="AA115" s="23" t="s">
        <v>27</v>
      </c>
      <c r="AB115" s="23" t="s">
        <v>27</v>
      </c>
      <c r="AC115" s="23" t="s">
        <v>27</v>
      </c>
      <c r="AD115" s="27">
        <f t="shared" si="7"/>
        <v>581.47500175051391</v>
      </c>
    </row>
    <row r="116" spans="1:30" ht="15" customHeight="1">
      <c r="A116" s="28">
        <v>111</v>
      </c>
      <c r="B116" s="30" t="s">
        <v>137</v>
      </c>
      <c r="C116" s="31" t="s">
        <v>149</v>
      </c>
      <c r="D116" s="27">
        <f t="shared" si="6"/>
        <v>521.81357444550451</v>
      </c>
      <c r="E116" s="23">
        <v>179.45100309848786</v>
      </c>
      <c r="F116" s="23">
        <v>134.41135045760871</v>
      </c>
      <c r="G116" s="23" t="s">
        <v>27</v>
      </c>
      <c r="H116" s="23">
        <v>51.96218357685953</v>
      </c>
      <c r="I116" s="23">
        <v>59.090948797464371</v>
      </c>
      <c r="J116" s="32">
        <v>96.898088515084112</v>
      </c>
      <c r="K116" s="23" t="s">
        <v>27</v>
      </c>
      <c r="L116" s="23" t="s">
        <v>27</v>
      </c>
      <c r="M116" s="23" t="s">
        <v>27</v>
      </c>
      <c r="N116" s="23" t="s">
        <v>27</v>
      </c>
      <c r="O116" s="23" t="s">
        <v>27</v>
      </c>
      <c r="P116" s="32" t="s">
        <v>27</v>
      </c>
      <c r="Q116" s="32"/>
      <c r="R116" s="23">
        <v>12.44100022315979</v>
      </c>
      <c r="S116" s="23">
        <v>28.114999458193779</v>
      </c>
      <c r="T116" s="23" t="s">
        <v>27</v>
      </c>
      <c r="U116" s="23">
        <v>46.993000011891127</v>
      </c>
      <c r="V116" s="23">
        <v>115.34699964523315</v>
      </c>
      <c r="W116" s="23">
        <v>587.70199969783425</v>
      </c>
      <c r="X116" s="23" t="s">
        <v>27</v>
      </c>
      <c r="Y116" s="23" t="s">
        <v>27</v>
      </c>
      <c r="Z116" s="23" t="s">
        <v>27</v>
      </c>
      <c r="AA116" s="23" t="s">
        <v>27</v>
      </c>
      <c r="AB116" s="23" t="s">
        <v>27</v>
      </c>
      <c r="AC116" s="23" t="s">
        <v>27</v>
      </c>
      <c r="AD116" s="27">
        <f t="shared" si="7"/>
        <v>790.5979990363121</v>
      </c>
    </row>
    <row r="117" spans="1:30" ht="15" customHeight="1">
      <c r="A117" s="28">
        <v>112</v>
      </c>
      <c r="B117" s="30" t="s">
        <v>138</v>
      </c>
      <c r="C117" s="31" t="s">
        <v>149</v>
      </c>
      <c r="D117" s="27">
        <f t="shared" si="6"/>
        <v>211.52079642319873</v>
      </c>
      <c r="E117" s="23">
        <v>19.49400007724762</v>
      </c>
      <c r="F117" s="23" t="s">
        <v>27</v>
      </c>
      <c r="G117" s="23">
        <v>84.119493224218488</v>
      </c>
      <c r="H117" s="23">
        <v>54.142333408236503</v>
      </c>
      <c r="I117" s="23">
        <v>24.770865095376969</v>
      </c>
      <c r="J117" s="32">
        <v>28.99410461811917</v>
      </c>
      <c r="K117" s="23" t="s">
        <v>27</v>
      </c>
      <c r="L117" s="23" t="s">
        <v>27</v>
      </c>
      <c r="M117" s="23" t="s">
        <v>27</v>
      </c>
      <c r="N117" s="23" t="s">
        <v>27</v>
      </c>
      <c r="O117" s="23" t="s">
        <v>27</v>
      </c>
      <c r="P117" s="32" t="s">
        <v>27</v>
      </c>
      <c r="Q117" s="32"/>
      <c r="R117" s="23">
        <v>0.72200000286102295</v>
      </c>
      <c r="S117" s="23" t="s">
        <v>27</v>
      </c>
      <c r="T117" s="23">
        <v>19.458000048995018</v>
      </c>
      <c r="U117" s="23">
        <v>17.693000257015228</v>
      </c>
      <c r="V117" s="23">
        <v>54.765000343322754</v>
      </c>
      <c r="W117" s="23">
        <v>190.08100010082126</v>
      </c>
      <c r="X117" s="23" t="s">
        <v>27</v>
      </c>
      <c r="Y117" s="23" t="s">
        <v>27</v>
      </c>
      <c r="Z117" s="23" t="s">
        <v>27</v>
      </c>
      <c r="AA117" s="23" t="s">
        <v>27</v>
      </c>
      <c r="AB117" s="23" t="s">
        <v>27</v>
      </c>
      <c r="AC117" s="23" t="s">
        <v>27</v>
      </c>
      <c r="AD117" s="27">
        <f t="shared" si="7"/>
        <v>282.71900075301528</v>
      </c>
    </row>
    <row r="118" spans="1:30" ht="15" customHeight="1">
      <c r="A118" s="28">
        <v>113</v>
      </c>
      <c r="B118" s="30" t="s">
        <v>139</v>
      </c>
      <c r="C118" s="31" t="s">
        <v>149</v>
      </c>
      <c r="D118" s="27">
        <f t="shared" si="6"/>
        <v>453.84674001875942</v>
      </c>
      <c r="E118" s="23" t="s">
        <v>27</v>
      </c>
      <c r="F118" s="23">
        <v>125.47648333435505</v>
      </c>
      <c r="G118" s="23">
        <v>116.50710155563057</v>
      </c>
      <c r="H118" s="23">
        <v>80.037342010278252</v>
      </c>
      <c r="I118" s="23">
        <v>53.265978442192079</v>
      </c>
      <c r="J118" s="32">
        <v>78.559834676303453</v>
      </c>
      <c r="K118" s="23" t="s">
        <v>27</v>
      </c>
      <c r="L118" s="23" t="s">
        <v>27</v>
      </c>
      <c r="M118" s="23" t="s">
        <v>27</v>
      </c>
      <c r="N118" s="23" t="s">
        <v>27</v>
      </c>
      <c r="O118" s="23" t="s">
        <v>27</v>
      </c>
      <c r="P118" s="32" t="s">
        <v>27</v>
      </c>
      <c r="Q118" s="32"/>
      <c r="R118" s="23" t="s">
        <v>27</v>
      </c>
      <c r="S118" s="23">
        <v>23.844000022858381</v>
      </c>
      <c r="T118" s="23">
        <v>21.121999870985746</v>
      </c>
      <c r="U118" s="23">
        <v>51.25100008957088</v>
      </c>
      <c r="V118" s="23">
        <v>91.010999917984009</v>
      </c>
      <c r="W118" s="23">
        <v>438.43300111591816</v>
      </c>
      <c r="X118" s="23" t="s">
        <v>27</v>
      </c>
      <c r="Y118" s="23" t="s">
        <v>27</v>
      </c>
      <c r="Z118" s="23" t="s">
        <v>27</v>
      </c>
      <c r="AA118" s="23" t="s">
        <v>27</v>
      </c>
      <c r="AB118" s="23" t="s">
        <v>27</v>
      </c>
      <c r="AC118" s="23" t="s">
        <v>27</v>
      </c>
      <c r="AD118" s="27">
        <f t="shared" si="7"/>
        <v>625.66100101731718</v>
      </c>
    </row>
    <row r="119" spans="1:30" ht="15" customHeight="1">
      <c r="A119" s="28">
        <v>114</v>
      </c>
      <c r="B119" s="30" t="s">
        <v>140</v>
      </c>
      <c r="C119" s="31" t="s">
        <v>150</v>
      </c>
      <c r="D119" s="27">
        <f t="shared" si="6"/>
        <v>3435.9057524534496</v>
      </c>
      <c r="E119" s="23">
        <v>890.10517673206334</v>
      </c>
      <c r="F119" s="23">
        <v>287.20610428455473</v>
      </c>
      <c r="G119" s="23">
        <v>35.947938944756984</v>
      </c>
      <c r="H119" s="23">
        <v>313.03610159429348</v>
      </c>
      <c r="I119" s="23">
        <v>168.43185776682199</v>
      </c>
      <c r="J119" s="32">
        <v>202.58963383488106</v>
      </c>
      <c r="K119" s="23">
        <v>309.96009882092477</v>
      </c>
      <c r="L119" s="23">
        <v>67.698590676307674</v>
      </c>
      <c r="M119" s="23">
        <v>359.37282880889296</v>
      </c>
      <c r="N119" s="23">
        <v>405.14524021108821</v>
      </c>
      <c r="O119" s="23">
        <v>208.76649339991809</v>
      </c>
      <c r="P119" s="32">
        <v>187.64568737894626</v>
      </c>
      <c r="Q119" s="32"/>
      <c r="R119" s="23">
        <v>21.746000051498413</v>
      </c>
      <c r="S119" s="23">
        <v>27.793000511825085</v>
      </c>
      <c r="T119" s="23">
        <v>7.2650001049041748</v>
      </c>
      <c r="U119" s="23">
        <v>69.632000126875937</v>
      </c>
      <c r="V119" s="23">
        <v>140.30199866741896</v>
      </c>
      <c r="W119" s="23">
        <v>721.73800051212311</v>
      </c>
      <c r="X119" s="23">
        <v>7.4329999685287476</v>
      </c>
      <c r="Y119" s="23">
        <v>5.8180000782012939</v>
      </c>
      <c r="Z119" s="23">
        <v>16.738000179175287</v>
      </c>
      <c r="AA119" s="23">
        <v>26.89800001680851</v>
      </c>
      <c r="AB119" s="23">
        <v>37.672999940812588</v>
      </c>
      <c r="AC119" s="23">
        <v>257.07800003886223</v>
      </c>
      <c r="AD119" s="27">
        <f t="shared" si="7"/>
        <v>1340.1140001970343</v>
      </c>
    </row>
    <row r="120" spans="1:30" ht="15" customHeight="1">
      <c r="A120" s="28">
        <v>115</v>
      </c>
      <c r="B120" s="30" t="s">
        <v>141</v>
      </c>
      <c r="C120" s="31" t="s">
        <v>149</v>
      </c>
      <c r="D120" s="27">
        <f t="shared" si="6"/>
        <v>376.61610641829191</v>
      </c>
      <c r="E120" s="23" t="s">
        <v>27</v>
      </c>
      <c r="F120" s="23">
        <v>148.21968129131199</v>
      </c>
      <c r="G120" s="23">
        <v>96.586462051719423</v>
      </c>
      <c r="H120" s="23">
        <v>40.711760393038389</v>
      </c>
      <c r="I120" s="23">
        <v>44.416109836190941</v>
      </c>
      <c r="J120" s="32">
        <v>46.682092846031175</v>
      </c>
      <c r="K120" s="23" t="s">
        <v>27</v>
      </c>
      <c r="L120" s="23" t="s">
        <v>27</v>
      </c>
      <c r="M120" s="23" t="s">
        <v>27</v>
      </c>
      <c r="N120" s="23" t="s">
        <v>27</v>
      </c>
      <c r="O120" s="23" t="s">
        <v>27</v>
      </c>
      <c r="P120" s="32" t="s">
        <v>27</v>
      </c>
      <c r="Q120" s="32"/>
      <c r="R120" s="23" t="s">
        <v>27</v>
      </c>
      <c r="S120" s="23">
        <v>24.828999981284142</v>
      </c>
      <c r="T120" s="23">
        <v>20.892000272870064</v>
      </c>
      <c r="U120" s="23">
        <v>38.6149997189641</v>
      </c>
      <c r="V120" s="23">
        <v>91.416999854147434</v>
      </c>
      <c r="W120" s="23">
        <v>292.6599999666214</v>
      </c>
      <c r="X120" s="23" t="s">
        <v>27</v>
      </c>
      <c r="Y120" s="23" t="s">
        <v>27</v>
      </c>
      <c r="Z120" s="23" t="s">
        <v>27</v>
      </c>
      <c r="AA120" s="23" t="s">
        <v>27</v>
      </c>
      <c r="AB120" s="23" t="s">
        <v>27</v>
      </c>
      <c r="AC120" s="23" t="s">
        <v>27</v>
      </c>
      <c r="AD120" s="27">
        <f t="shared" si="7"/>
        <v>468.41299979388714</v>
      </c>
    </row>
    <row r="121" spans="1:30" ht="15" customHeight="1">
      <c r="A121" s="28">
        <v>116</v>
      </c>
      <c r="B121" s="30" t="s">
        <v>142</v>
      </c>
      <c r="C121" s="31" t="s">
        <v>150</v>
      </c>
      <c r="D121" s="27">
        <f t="shared" si="6"/>
        <v>505.40334970544666</v>
      </c>
      <c r="E121" s="23" t="s">
        <v>27</v>
      </c>
      <c r="F121" s="23" t="s">
        <v>27</v>
      </c>
      <c r="G121" s="23">
        <v>159.75850869795681</v>
      </c>
      <c r="H121" s="23">
        <v>58.680088671803475</v>
      </c>
      <c r="I121" s="23">
        <v>59.730025072395804</v>
      </c>
      <c r="J121" s="32">
        <v>80.328980706231476</v>
      </c>
      <c r="K121" s="23" t="s">
        <v>27</v>
      </c>
      <c r="L121" s="23" t="s">
        <v>27</v>
      </c>
      <c r="M121" s="23">
        <v>55.266395737051965</v>
      </c>
      <c r="N121" s="23">
        <v>69.571022900149231</v>
      </c>
      <c r="O121" s="23">
        <v>8.9073000285029416</v>
      </c>
      <c r="P121" s="32">
        <v>13.1610278913549</v>
      </c>
      <c r="Q121" s="32"/>
      <c r="R121" s="23" t="s">
        <v>27</v>
      </c>
      <c r="S121" s="23" t="s">
        <v>27</v>
      </c>
      <c r="T121" s="23">
        <v>20.109999641776085</v>
      </c>
      <c r="U121" s="23">
        <v>53.964000284671783</v>
      </c>
      <c r="V121" s="23">
        <v>98.768000245094299</v>
      </c>
      <c r="W121" s="23">
        <v>439.22799968719482</v>
      </c>
      <c r="X121" s="23" t="s">
        <v>27</v>
      </c>
      <c r="Y121" s="23" t="s">
        <v>27</v>
      </c>
      <c r="Z121" s="23">
        <v>5.1249998807907104</v>
      </c>
      <c r="AA121" s="23">
        <v>6.2180000096559525</v>
      </c>
      <c r="AB121" s="23">
        <v>6.4600000381469727</v>
      </c>
      <c r="AC121" s="23">
        <v>43</v>
      </c>
      <c r="AD121" s="27">
        <f t="shared" si="7"/>
        <v>672.87299978733063</v>
      </c>
    </row>
    <row r="122" spans="1:30" ht="15" customHeight="1">
      <c r="A122" s="28">
        <v>117</v>
      </c>
      <c r="B122" s="30" t="s">
        <v>143</v>
      </c>
      <c r="C122" s="31" t="s">
        <v>149</v>
      </c>
      <c r="D122" s="27">
        <f t="shared" si="6"/>
        <v>523.36055961917577</v>
      </c>
      <c r="E122" s="23" t="s">
        <v>27</v>
      </c>
      <c r="F122" s="23">
        <v>131.56684258460999</v>
      </c>
      <c r="G122" s="23">
        <v>121.43901531442999</v>
      </c>
      <c r="H122" s="23">
        <v>134.13251296346263</v>
      </c>
      <c r="I122" s="23">
        <v>58.538384230256078</v>
      </c>
      <c r="J122" s="32">
        <v>77.683804526417049</v>
      </c>
      <c r="K122" s="23" t="s">
        <v>27</v>
      </c>
      <c r="L122" s="23" t="s">
        <v>27</v>
      </c>
      <c r="M122" s="23" t="s">
        <v>27</v>
      </c>
      <c r="N122" s="23" t="s">
        <v>27</v>
      </c>
      <c r="O122" s="23" t="s">
        <v>27</v>
      </c>
      <c r="P122" s="32" t="s">
        <v>27</v>
      </c>
      <c r="Q122" s="32"/>
      <c r="R122" s="23" t="s">
        <v>27</v>
      </c>
      <c r="S122" s="23">
        <v>10.302000045776367</v>
      </c>
      <c r="T122" s="23">
        <v>34.156999751925468</v>
      </c>
      <c r="U122" s="23">
        <v>60.65599930100143</v>
      </c>
      <c r="V122" s="23">
        <v>95.245000645518303</v>
      </c>
      <c r="W122" s="23">
        <v>420.49500045180321</v>
      </c>
      <c r="X122" s="23" t="s">
        <v>27</v>
      </c>
      <c r="Y122" s="23" t="s">
        <v>27</v>
      </c>
      <c r="Z122" s="23" t="s">
        <v>27</v>
      </c>
      <c r="AA122" s="23" t="s">
        <v>27</v>
      </c>
      <c r="AB122" s="23" t="s">
        <v>27</v>
      </c>
      <c r="AC122" s="23" t="s">
        <v>27</v>
      </c>
      <c r="AD122" s="27">
        <f t="shared" si="7"/>
        <v>620.85500019602478</v>
      </c>
    </row>
    <row r="123" spans="1:30" ht="15" customHeight="1">
      <c r="A123" s="28">
        <v>118</v>
      </c>
      <c r="B123" s="30" t="s">
        <v>144</v>
      </c>
      <c r="C123" s="31" t="s">
        <v>150</v>
      </c>
      <c r="D123" s="27">
        <f t="shared" si="6"/>
        <v>1624.1554750275398</v>
      </c>
      <c r="E123" s="23">
        <v>676.40581299591065</v>
      </c>
      <c r="F123" s="23">
        <v>12.141975905418397</v>
      </c>
      <c r="G123" s="23">
        <v>60.331074793457987</v>
      </c>
      <c r="H123" s="23">
        <v>216.5201661927253</v>
      </c>
      <c r="I123" s="23">
        <v>80.35442252570391</v>
      </c>
      <c r="J123" s="32">
        <v>138.87045284194801</v>
      </c>
      <c r="K123" s="23">
        <v>206.10469351613523</v>
      </c>
      <c r="L123" s="23" t="s">
        <v>27</v>
      </c>
      <c r="M123" s="23">
        <v>16.964334912508725</v>
      </c>
      <c r="N123" s="23">
        <v>139.39663106480614</v>
      </c>
      <c r="O123" s="23">
        <v>37.63345736128278</v>
      </c>
      <c r="P123" s="32">
        <v>39.432452917642522</v>
      </c>
      <c r="Q123" s="32"/>
      <c r="R123" s="23">
        <v>22.003999948501587</v>
      </c>
      <c r="S123" s="23">
        <v>1.7139999866485596</v>
      </c>
      <c r="T123" s="23">
        <v>15.425000071525574</v>
      </c>
      <c r="U123" s="23">
        <v>75.471999293193221</v>
      </c>
      <c r="V123" s="23">
        <v>84.827000319957733</v>
      </c>
      <c r="W123" s="23">
        <v>573.66000032424927</v>
      </c>
      <c r="X123" s="23">
        <v>5.9389999210834503</v>
      </c>
      <c r="Y123" s="23" t="s">
        <v>27</v>
      </c>
      <c r="Z123" s="23">
        <v>1.2209999933838844</v>
      </c>
      <c r="AA123" s="23">
        <v>16.221000112593174</v>
      </c>
      <c r="AB123" s="23">
        <v>16.168000107631087</v>
      </c>
      <c r="AC123" s="23">
        <v>92.88600005209446</v>
      </c>
      <c r="AD123" s="27">
        <f t="shared" si="7"/>
        <v>905.537000130862</v>
      </c>
    </row>
    <row r="124" spans="1:30" ht="15" customHeight="1">
      <c r="A124" s="28">
        <v>119</v>
      </c>
      <c r="B124" s="30" t="s">
        <v>145</v>
      </c>
      <c r="C124" s="31" t="s">
        <v>149</v>
      </c>
      <c r="D124" s="27">
        <f t="shared" si="6"/>
        <v>334.72300667611307</v>
      </c>
      <c r="E124" s="23" t="s">
        <v>27</v>
      </c>
      <c r="F124" s="23">
        <v>188.04161037448048</v>
      </c>
      <c r="G124" s="23">
        <v>46.150520384401084</v>
      </c>
      <c r="H124" s="23">
        <v>43.481161489084364</v>
      </c>
      <c r="I124" s="23">
        <v>17.419527067631485</v>
      </c>
      <c r="J124" s="32">
        <v>39.63018736051567</v>
      </c>
      <c r="K124" s="23" t="s">
        <v>27</v>
      </c>
      <c r="L124" s="23" t="s">
        <v>27</v>
      </c>
      <c r="M124" s="23" t="s">
        <v>27</v>
      </c>
      <c r="N124" s="23" t="s">
        <v>27</v>
      </c>
      <c r="O124" s="23" t="s">
        <v>27</v>
      </c>
      <c r="P124" s="32" t="s">
        <v>27</v>
      </c>
      <c r="Q124" s="32"/>
      <c r="R124" s="23" t="s">
        <v>27</v>
      </c>
      <c r="S124" s="23">
        <v>32.656999886035919</v>
      </c>
      <c r="T124" s="23">
        <v>21.583000093698502</v>
      </c>
      <c r="U124" s="23">
        <v>46.104999728500843</v>
      </c>
      <c r="V124" s="23">
        <v>49.227000132203102</v>
      </c>
      <c r="W124" s="23">
        <v>302.87399963848293</v>
      </c>
      <c r="X124" s="23" t="s">
        <v>27</v>
      </c>
      <c r="Y124" s="23" t="s">
        <v>27</v>
      </c>
      <c r="Z124" s="23" t="s">
        <v>27</v>
      </c>
      <c r="AA124" s="23" t="s">
        <v>27</v>
      </c>
      <c r="AB124" s="23" t="s">
        <v>27</v>
      </c>
      <c r="AC124" s="23" t="s">
        <v>27</v>
      </c>
      <c r="AD124" s="27">
        <f t="shared" si="7"/>
        <v>452.44599947892129</v>
      </c>
    </row>
    <row r="125" spans="1:30" ht="15" customHeight="1">
      <c r="A125" s="28">
        <v>120</v>
      </c>
      <c r="B125" s="30" t="s">
        <v>146</v>
      </c>
      <c r="C125" s="31" t="s">
        <v>150</v>
      </c>
      <c r="D125" s="27">
        <f t="shared" si="6"/>
        <v>1015.8413814414537</v>
      </c>
      <c r="E125" s="23">
        <v>221.60795550727843</v>
      </c>
      <c r="F125" s="23">
        <v>392.84585148572921</v>
      </c>
      <c r="G125" s="23" t="s">
        <v>27</v>
      </c>
      <c r="H125" s="23">
        <v>152.48683226373046</v>
      </c>
      <c r="I125" s="23">
        <v>43.059475282788277</v>
      </c>
      <c r="J125" s="32">
        <v>33.045972926963458</v>
      </c>
      <c r="K125" s="23" t="s">
        <v>27</v>
      </c>
      <c r="L125" s="23" t="s">
        <v>27</v>
      </c>
      <c r="M125" s="23">
        <v>62.619857447862628</v>
      </c>
      <c r="N125" s="23">
        <v>60.747764036316426</v>
      </c>
      <c r="O125" s="23">
        <v>21.854180981684475</v>
      </c>
      <c r="P125" s="32">
        <v>27.573491509100194</v>
      </c>
      <c r="Q125" s="32"/>
      <c r="R125" s="23">
        <v>7.6750001907348633</v>
      </c>
      <c r="S125" s="23">
        <v>19.506000161170959</v>
      </c>
      <c r="T125" s="23" t="s">
        <v>27</v>
      </c>
      <c r="U125" s="23">
        <v>47.958000425249338</v>
      </c>
      <c r="V125" s="23">
        <v>52.300999760627747</v>
      </c>
      <c r="W125" s="23">
        <v>149.01300029456615</v>
      </c>
      <c r="X125" s="23" t="s">
        <v>27</v>
      </c>
      <c r="Y125" s="23" t="s">
        <v>27</v>
      </c>
      <c r="Z125" s="23">
        <v>2.7199999839067459</v>
      </c>
      <c r="AA125" s="23">
        <v>7.2389999683946371</v>
      </c>
      <c r="AB125" s="23">
        <v>5.0339999757707119</v>
      </c>
      <c r="AC125" s="23">
        <v>44</v>
      </c>
      <c r="AD125" s="27">
        <f t="shared" si="7"/>
        <v>335.44600076042116</v>
      </c>
    </row>
    <row r="126" spans="1:30" ht="15.75">
      <c r="A126" s="28"/>
      <c r="B126" s="30"/>
      <c r="C126" s="33"/>
      <c r="D126" s="27"/>
      <c r="E126" s="34"/>
      <c r="F126" s="34"/>
      <c r="G126" s="34"/>
      <c r="H126" s="34"/>
      <c r="I126" s="34"/>
      <c r="J126" s="35"/>
      <c r="K126" s="32"/>
      <c r="L126" s="32"/>
      <c r="M126" s="32"/>
      <c r="N126" s="32"/>
      <c r="O126" s="32"/>
      <c r="P126" s="35"/>
      <c r="Q126" s="35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27"/>
    </row>
    <row r="127" spans="1:30" ht="15.75">
      <c r="A127" s="28"/>
      <c r="B127" s="28" t="s">
        <v>147</v>
      </c>
      <c r="C127" s="37"/>
      <c r="D127" s="27">
        <f t="shared" ref="D127:J127" si="8">SUM(D6:D125)</f>
        <v>127116.41888449807</v>
      </c>
      <c r="E127" s="32">
        <f t="shared" si="8"/>
        <v>16673.813972895565</v>
      </c>
      <c r="F127" s="32">
        <f t="shared" si="8"/>
        <v>17151.647733105005</v>
      </c>
      <c r="G127" s="32">
        <f t="shared" si="8"/>
        <v>7306.1078935955293</v>
      </c>
      <c r="H127" s="32">
        <f t="shared" si="8"/>
        <v>16035.301255394741</v>
      </c>
      <c r="I127" s="32">
        <f t="shared" si="8"/>
        <v>6976.8491332296653</v>
      </c>
      <c r="J127" s="32">
        <f t="shared" si="8"/>
        <v>9407.7013091647314</v>
      </c>
      <c r="K127" s="32">
        <f t="shared" ref="K127:P127" si="9">SUM(K6:K125)</f>
        <v>16069.387158001842</v>
      </c>
      <c r="L127" s="32">
        <f t="shared" si="9"/>
        <v>2250.5928429828282</v>
      </c>
      <c r="M127" s="32">
        <f t="shared" si="9"/>
        <v>12977.638382509895</v>
      </c>
      <c r="N127" s="32">
        <f t="shared" si="9"/>
        <v>11967.395676989972</v>
      </c>
      <c r="O127" s="32">
        <f t="shared" si="9"/>
        <v>4929.6361240635269</v>
      </c>
      <c r="P127" s="32">
        <f t="shared" si="9"/>
        <v>5370.3474025647838</v>
      </c>
      <c r="Q127" s="32"/>
      <c r="R127" s="32">
        <f t="shared" ref="R127:AD127" si="10">SUM(R6:R125)</f>
        <v>532.98800399899483</v>
      </c>
      <c r="S127" s="32">
        <f t="shared" si="10"/>
        <v>2049.0720024080947</v>
      </c>
      <c r="T127" s="32">
        <f t="shared" si="10"/>
        <v>1634.0339966779575</v>
      </c>
      <c r="U127" s="32">
        <f t="shared" si="10"/>
        <v>6968.0610090703703</v>
      </c>
      <c r="V127" s="32">
        <f t="shared" si="10"/>
        <v>9488.8540019453503</v>
      </c>
      <c r="W127" s="32">
        <f t="shared" si="10"/>
        <v>46453.473008291563</v>
      </c>
      <c r="X127" s="32">
        <f t="shared" si="10"/>
        <v>229.40000076591969</v>
      </c>
      <c r="Y127" s="32">
        <f t="shared" si="10"/>
        <v>89.610000405460596</v>
      </c>
      <c r="Z127" s="32">
        <f t="shared" si="10"/>
        <v>657.02399995015003</v>
      </c>
      <c r="AA127" s="32">
        <f t="shared" si="10"/>
        <v>1187.4429985820316</v>
      </c>
      <c r="AB127" s="32">
        <f t="shared" si="10"/>
        <v>1145.5900024068542</v>
      </c>
      <c r="AC127" s="32">
        <f t="shared" si="10"/>
        <v>8501.4540002644062</v>
      </c>
      <c r="AD127" s="27">
        <f t="shared" si="10"/>
        <v>78937.003024767153</v>
      </c>
    </row>
    <row r="128" spans="1:30" ht="15.75">
      <c r="A128" s="28"/>
      <c r="B128" s="28"/>
      <c r="C128" s="37"/>
      <c r="D128" s="27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27"/>
    </row>
    <row r="129" spans="1:30">
      <c r="A129" s="38"/>
      <c r="B129" s="38"/>
      <c r="C129" s="40"/>
      <c r="D129" s="41"/>
      <c r="E129" s="38"/>
      <c r="F129" s="38"/>
      <c r="G129" s="38"/>
      <c r="H129" s="38"/>
      <c r="I129" s="38"/>
      <c r="J129" s="35"/>
      <c r="K129" s="38"/>
      <c r="L129" s="38"/>
      <c r="M129" s="38"/>
      <c r="N129" s="38"/>
      <c r="O129" s="38"/>
      <c r="P129" s="35"/>
      <c r="Q129" s="35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9"/>
    </row>
  </sheetData>
  <mergeCells count="4">
    <mergeCell ref="E3:J3"/>
    <mergeCell ref="K3:P3"/>
    <mergeCell ref="R3:W3"/>
    <mergeCell ref="X3:AC3"/>
  </mergeCells>
  <pageMargins left="0.9" right="0.5" top="0.6" bottom="0.25" header="0.22" footer="0"/>
  <pageSetup paperSize="5" pageOrder="overThenDown" orientation="landscape" verticalDpi="300" copies="2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E45E97B-7C81-48E7-923D-27601263B4B5}"/>
</file>

<file path=customXml/itemProps2.xml><?xml version="1.0" encoding="utf-8"?>
<ds:datastoreItem xmlns:ds="http://schemas.openxmlformats.org/officeDocument/2006/customXml" ds:itemID="{00D567A2-C752-41F9-B189-FC4EE04DE31A}"/>
</file>

<file path=customXml/itemProps3.xml><?xml version="1.0" encoding="utf-8"?>
<ds:datastoreItem xmlns:ds="http://schemas.openxmlformats.org/officeDocument/2006/customXml" ds:itemID="{E8FD6346-389A-43B5-A5D8-D9FF2D26C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2001</vt:lpstr>
      <vt:lpstr>'2001'!Print_Titles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2002-09-06T16:20:33Z</cp:lastPrinted>
  <dcterms:created xsi:type="dcterms:W3CDTF">2000-09-06T17:52:56Z</dcterms:created>
  <dcterms:modified xsi:type="dcterms:W3CDTF">2013-08-20T20:13:01Z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