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65" yWindow="-120" windowWidth="23955" windowHeight="12075"/>
  </bookViews>
  <sheets>
    <sheet name="2013" sheetId="1" r:id="rId1"/>
  </sheets>
  <calcPr calcId="125725"/>
</workbook>
</file>

<file path=xl/calcChain.xml><?xml version="1.0" encoding="utf-8"?>
<calcChain xmlns="http://schemas.openxmlformats.org/spreadsheetml/2006/main">
  <c r="E129" i="1"/>
  <c r="F129"/>
  <c r="G129"/>
  <c r="H129"/>
  <c r="I129"/>
  <c r="J129"/>
  <c r="K129"/>
  <c r="L129"/>
  <c r="M129"/>
  <c r="N129"/>
  <c r="O129"/>
  <c r="P129"/>
  <c r="R129"/>
  <c r="S129"/>
  <c r="T129"/>
  <c r="U129"/>
  <c r="V129"/>
  <c r="W129"/>
  <c r="X129"/>
  <c r="Y129"/>
  <c r="Z129"/>
  <c r="AA129"/>
  <c r="AB129"/>
  <c r="AC129"/>
  <c r="AD127"/>
  <c r="D127"/>
  <c r="AD126"/>
  <c r="D126"/>
  <c r="AD125"/>
  <c r="D125"/>
  <c r="AD124"/>
  <c r="D124"/>
  <c r="AD123"/>
  <c r="D123"/>
  <c r="AD122"/>
  <c r="D122"/>
  <c r="AD121"/>
  <c r="D121"/>
  <c r="AD120"/>
  <c r="D120"/>
  <c r="AD119"/>
  <c r="D119"/>
  <c r="AD118"/>
  <c r="D118"/>
  <c r="AD117"/>
  <c r="D117"/>
  <c r="AD116"/>
  <c r="D116"/>
  <c r="AD115"/>
  <c r="D115"/>
  <c r="AD114"/>
  <c r="D114"/>
  <c r="AD113"/>
  <c r="D113"/>
  <c r="AD112"/>
  <c r="D112"/>
  <c r="AD111"/>
  <c r="D111"/>
  <c r="AD110"/>
  <c r="D110"/>
  <c r="AD109"/>
  <c r="D109"/>
  <c r="AD108"/>
  <c r="D108"/>
  <c r="AD107"/>
  <c r="D107"/>
  <c r="AD106"/>
  <c r="D106"/>
  <c r="AD105"/>
  <c r="D105"/>
  <c r="AD104"/>
  <c r="D104"/>
  <c r="AD103"/>
  <c r="D103"/>
  <c r="AD102"/>
  <c r="D102"/>
  <c r="AD101"/>
  <c r="D101"/>
  <c r="AD100"/>
  <c r="D100"/>
  <c r="AD99"/>
  <c r="D99"/>
  <c r="AD98"/>
  <c r="D98"/>
  <c r="AD97"/>
  <c r="D97"/>
  <c r="AD96"/>
  <c r="D96"/>
  <c r="AD95"/>
  <c r="D95"/>
  <c r="AD94"/>
  <c r="D94"/>
  <c r="AD93"/>
  <c r="D93"/>
  <c r="AD92"/>
  <c r="D92"/>
  <c r="AD91"/>
  <c r="D91"/>
  <c r="AD90"/>
  <c r="D90"/>
  <c r="AD89"/>
  <c r="D89"/>
  <c r="AD88"/>
  <c r="D88"/>
  <c r="AD87"/>
  <c r="D87"/>
  <c r="AD86"/>
  <c r="D86"/>
  <c r="AD85"/>
  <c r="D85"/>
  <c r="AD84"/>
  <c r="D84"/>
  <c r="AD83"/>
  <c r="D83"/>
  <c r="AD82"/>
  <c r="D82"/>
  <c r="AD81"/>
  <c r="D81"/>
  <c r="AD80"/>
  <c r="D80"/>
  <c r="AD79"/>
  <c r="D79"/>
  <c r="AD78"/>
  <c r="D78"/>
  <c r="AD77"/>
  <c r="D77"/>
  <c r="AD76"/>
  <c r="D76"/>
  <c r="AD75"/>
  <c r="D75"/>
  <c r="AD74"/>
  <c r="D74"/>
  <c r="AD73"/>
  <c r="D73"/>
  <c r="AD72"/>
  <c r="D72"/>
  <c r="AD71"/>
  <c r="D71"/>
  <c r="AD70"/>
  <c r="D70"/>
  <c r="AD69"/>
  <c r="D69"/>
  <c r="AD68"/>
  <c r="D68"/>
  <c r="AD67"/>
  <c r="D67"/>
  <c r="AD66"/>
  <c r="D66"/>
  <c r="AD65"/>
  <c r="D65"/>
  <c r="AD64"/>
  <c r="D64"/>
  <c r="AD63"/>
  <c r="D63"/>
  <c r="AD62"/>
  <c r="D62"/>
  <c r="AD61"/>
  <c r="D61"/>
  <c r="AD60"/>
  <c r="D60"/>
  <c r="AD59"/>
  <c r="D59"/>
  <c r="AD58"/>
  <c r="D58"/>
  <c r="AD57"/>
  <c r="D57"/>
  <c r="AD56"/>
  <c r="D56"/>
  <c r="AD55"/>
  <c r="D55"/>
  <c r="AD54"/>
  <c r="D54"/>
  <c r="AD53"/>
  <c r="D53"/>
  <c r="AD52"/>
  <c r="D52"/>
  <c r="AD51"/>
  <c r="D51"/>
  <c r="AD50"/>
  <c r="D50"/>
  <c r="AD49"/>
  <c r="D49"/>
  <c r="AD48"/>
  <c r="D48"/>
  <c r="AD47"/>
  <c r="D47"/>
  <c r="AD46"/>
  <c r="D46"/>
  <c r="AD45"/>
  <c r="D45"/>
  <c r="AD44"/>
  <c r="D44"/>
  <c r="AD43"/>
  <c r="D43"/>
  <c r="AD42"/>
  <c r="D42"/>
  <c r="AD41"/>
  <c r="D41"/>
  <c r="AD40"/>
  <c r="D40"/>
  <c r="AD39"/>
  <c r="D39"/>
  <c r="AD38"/>
  <c r="D38"/>
  <c r="AD37"/>
  <c r="D37"/>
  <c r="AD36"/>
  <c r="D36"/>
  <c r="AD35"/>
  <c r="D35"/>
  <c r="AD34"/>
  <c r="D34"/>
  <c r="AD33"/>
  <c r="D33"/>
  <c r="AD32"/>
  <c r="D32"/>
  <c r="AD31"/>
  <c r="D31"/>
  <c r="AD30"/>
  <c r="D30"/>
  <c r="AD29"/>
  <c r="D29"/>
  <c r="AD28"/>
  <c r="D28"/>
  <c r="AD27"/>
  <c r="D27"/>
  <c r="AD26"/>
  <c r="D26"/>
  <c r="AD25"/>
  <c r="D25"/>
  <c r="AD24"/>
  <c r="D24"/>
  <c r="AD23"/>
  <c r="D23"/>
  <c r="AD22"/>
  <c r="D22"/>
  <c r="AD21"/>
  <c r="D21"/>
  <c r="AD20"/>
  <c r="D20"/>
  <c r="AD19"/>
  <c r="D19"/>
  <c r="AD18"/>
  <c r="D18"/>
  <c r="AD17"/>
  <c r="D17"/>
  <c r="AD16"/>
  <c r="D16"/>
  <c r="AD15"/>
  <c r="D15"/>
  <c r="AD14"/>
  <c r="D14"/>
  <c r="AD13"/>
  <c r="D13"/>
  <c r="AD12"/>
  <c r="D12"/>
  <c r="AD11"/>
  <c r="D11"/>
  <c r="AD10"/>
  <c r="D10"/>
  <c r="AD9"/>
  <c r="D9"/>
  <c r="AD8"/>
  <c r="AD129" s="1"/>
  <c r="D8"/>
  <c r="D129" l="1"/>
  <c r="N130" s="1"/>
  <c r="Z130"/>
  <c r="T130"/>
  <c r="S130"/>
  <c r="R130"/>
  <c r="V130"/>
  <c r="AB130"/>
  <c r="AA130"/>
  <c r="U130"/>
  <c r="W130"/>
  <c r="X130"/>
  <c r="Y130"/>
  <c r="AC130"/>
  <c r="M130" l="1"/>
  <c r="K130"/>
  <c r="O130"/>
  <c r="F130"/>
  <c r="I130"/>
  <c r="G130"/>
  <c r="J130"/>
  <c r="E130"/>
  <c r="P130"/>
  <c r="L130"/>
  <c r="H130"/>
</calcChain>
</file>

<file path=xl/sharedStrings.xml><?xml version="1.0" encoding="utf-8"?>
<sst xmlns="http://schemas.openxmlformats.org/spreadsheetml/2006/main" count="423" uniqueCount="163">
  <si>
    <t>2013 DVMT (in thousands) and Mileage by County and Functional Class</t>
  </si>
  <si>
    <t>with Local DVMT's  adjusted using (Minor) Collector Avg. ADT:  Loc. DVMT = Loc. Miles * Loc. ADT where Local ADT  = 3.3439*(Coll ADT)^0.6248</t>
  </si>
  <si>
    <t>Rur/</t>
  </si>
  <si>
    <t>Rural DVMT (x1,000)</t>
  </si>
  <si>
    <t>Urban DVMT (x1,000)</t>
  </si>
  <si>
    <t>Rural Miles</t>
  </si>
  <si>
    <t>Urban Miles</t>
  </si>
  <si>
    <t>County</t>
  </si>
  <si>
    <t>Urb</t>
  </si>
  <si>
    <t>Total</t>
  </si>
  <si>
    <t>INTER.</t>
  </si>
  <si>
    <t>PR.ART</t>
  </si>
  <si>
    <t>MN.ART</t>
  </si>
  <si>
    <t>MJ.COL</t>
  </si>
  <si>
    <t>MN.COL</t>
  </si>
  <si>
    <t>LOC.Est.</t>
  </si>
  <si>
    <t>EXPR.</t>
  </si>
  <si>
    <t>COLL.</t>
  </si>
  <si>
    <t>LOCAL</t>
  </si>
  <si>
    <t>TOTAL</t>
  </si>
  <si>
    <t>DVMT</t>
  </si>
  <si>
    <t>01</t>
  </si>
  <si>
    <t>02</t>
  </si>
  <si>
    <t>06</t>
  </si>
  <si>
    <t>07</t>
  </si>
  <si>
    <t>08</t>
  </si>
  <si>
    <t>09</t>
  </si>
  <si>
    <t>11</t>
  </si>
  <si>
    <t>12</t>
  </si>
  <si>
    <t>14</t>
  </si>
  <si>
    <t>16</t>
  </si>
  <si>
    <t>17</t>
  </si>
  <si>
    <t>19</t>
  </si>
  <si>
    <t>Miles</t>
  </si>
  <si>
    <t>ADAIR</t>
  </si>
  <si>
    <t>R</t>
  </si>
  <si>
    <t>-</t>
  </si>
  <si>
    <t>ALLEN</t>
  </si>
  <si>
    <t>ANDERSON</t>
  </si>
  <si>
    <t>R/U</t>
  </si>
  <si>
    <t>BALLARD</t>
  </si>
  <si>
    <t>BARREN</t>
  </si>
  <si>
    <t>BATH</t>
  </si>
  <si>
    <t>BELL</t>
  </si>
  <si>
    <t>BOONE</t>
  </si>
  <si>
    <t>R/Uz</t>
  </si>
  <si>
    <t>BOURBON</t>
  </si>
  <si>
    <t>BOYD</t>
  </si>
  <si>
    <t>BOYLE</t>
  </si>
  <si>
    <t>BRACKEN</t>
  </si>
  <si>
    <t>BREATHITT</t>
  </si>
  <si>
    <t>BRECKINRIDGE</t>
  </si>
  <si>
    <t>BULLITT</t>
  </si>
  <si>
    <t>BUTLER</t>
  </si>
  <si>
    <t>CALDWELL</t>
  </si>
  <si>
    <t>CALLOWAY</t>
  </si>
  <si>
    <t>CAMPBELL</t>
  </si>
  <si>
    <t>CARLISLE</t>
  </si>
  <si>
    <t>CARROLL</t>
  </si>
  <si>
    <t>CARTER</t>
  </si>
  <si>
    <t>CASEY</t>
  </si>
  <si>
    <t>CHRISTIAN</t>
  </si>
  <si>
    <t>R/U/Uz</t>
  </si>
  <si>
    <t>CLARK</t>
  </si>
  <si>
    <t>CLAY</t>
  </si>
  <si>
    <t>CLINTON</t>
  </si>
  <si>
    <t>CRITTENDEN</t>
  </si>
  <si>
    <t>CUMBERLAND</t>
  </si>
  <si>
    <t>DAVIESS</t>
  </si>
  <si>
    <t>EDMONSON</t>
  </si>
  <si>
    <t>ELLIOTT</t>
  </si>
  <si>
    <t>ESTILL</t>
  </si>
  <si>
    <t>FAYETTE</t>
  </si>
  <si>
    <t>Uz</t>
  </si>
  <si>
    <t>FLEMING</t>
  </si>
  <si>
    <t>FLOYD</t>
  </si>
  <si>
    <t>FRANKLIN</t>
  </si>
  <si>
    <t>FULTON</t>
  </si>
  <si>
    <t>GALLATIN</t>
  </si>
  <si>
    <t>GARRARD</t>
  </si>
  <si>
    <t>GRANT</t>
  </si>
  <si>
    <t>GRAVES</t>
  </si>
  <si>
    <t>GRAYSON</t>
  </si>
  <si>
    <t>GREEN</t>
  </si>
  <si>
    <t>GREENUP</t>
  </si>
  <si>
    <t>HANCOCK</t>
  </si>
  <si>
    <t>HARDIN</t>
  </si>
  <si>
    <t>HARLAN</t>
  </si>
  <si>
    <t>HARRISON</t>
  </si>
  <si>
    <t>HART</t>
  </si>
  <si>
    <t>HENDERSON</t>
  </si>
  <si>
    <t>HENRY</t>
  </si>
  <si>
    <t>HICKMAN</t>
  </si>
  <si>
    <t>HOPKINS</t>
  </si>
  <si>
    <t>JACKSON</t>
  </si>
  <si>
    <t>JEFFERSON</t>
  </si>
  <si>
    <t>JESSAMINE</t>
  </si>
  <si>
    <t>JOHNSON</t>
  </si>
  <si>
    <t>KENTON</t>
  </si>
  <si>
    <t>KNOTT</t>
  </si>
  <si>
    <t>KNOX</t>
  </si>
  <si>
    <t>LARUE</t>
  </si>
  <si>
    <t>LAUREL</t>
  </si>
  <si>
    <t>LAWRENCE</t>
  </si>
  <si>
    <t>LEE</t>
  </si>
  <si>
    <t>LESLIE</t>
  </si>
  <si>
    <t>LETCHER</t>
  </si>
  <si>
    <t>LEWIS</t>
  </si>
  <si>
    <t>LINCOLN</t>
  </si>
  <si>
    <t>LIVINGSTON</t>
  </si>
  <si>
    <t>LOGAN</t>
  </si>
  <si>
    <t>LYON</t>
  </si>
  <si>
    <t>MCCRACKEN</t>
  </si>
  <si>
    <t>MCCREARY</t>
  </si>
  <si>
    <t>MCLEAN</t>
  </si>
  <si>
    <t>MADISON</t>
  </si>
  <si>
    <t>MAGOFFIN</t>
  </si>
  <si>
    <t>MARION</t>
  </si>
  <si>
    <t>MARSHALL</t>
  </si>
  <si>
    <t>MARTIN</t>
  </si>
  <si>
    <t>MASON</t>
  </si>
  <si>
    <t>MEADE</t>
  </si>
  <si>
    <t>MENIFEE</t>
  </si>
  <si>
    <t>MERCER</t>
  </si>
  <si>
    <t>METCALFE</t>
  </si>
  <si>
    <t>MONROE</t>
  </si>
  <si>
    <t>MONTGOMERY</t>
  </si>
  <si>
    <t>MORGAN</t>
  </si>
  <si>
    <t>MUHLENBERG</t>
  </si>
  <si>
    <t>NELSON</t>
  </si>
  <si>
    <t>NICHOLAS</t>
  </si>
  <si>
    <t>OHIO</t>
  </si>
  <si>
    <t>OLDHAM</t>
  </si>
  <si>
    <t>OWEN</t>
  </si>
  <si>
    <t>OWSLEY</t>
  </si>
  <si>
    <t>PENDLETON</t>
  </si>
  <si>
    <t>PERRY</t>
  </si>
  <si>
    <t>PIKE</t>
  </si>
  <si>
    <t>POWELL</t>
  </si>
  <si>
    <t>PULASKI</t>
  </si>
  <si>
    <t>ROBERTSON</t>
  </si>
  <si>
    <t>ROCKCASTLE</t>
  </si>
  <si>
    <t>ROWAN</t>
  </si>
  <si>
    <t>RUSSELL</t>
  </si>
  <si>
    <t>SCOTT</t>
  </si>
  <si>
    <t>SHELBY</t>
  </si>
  <si>
    <t>SIMPSON</t>
  </si>
  <si>
    <t>SPENCER</t>
  </si>
  <si>
    <t>TAYLOR</t>
  </si>
  <si>
    <t>TODD</t>
  </si>
  <si>
    <t>TRIGG</t>
  </si>
  <si>
    <t>TRIMBLE</t>
  </si>
  <si>
    <t>UNION</t>
  </si>
  <si>
    <t>WARREN</t>
  </si>
  <si>
    <t>WASHINGTON</t>
  </si>
  <si>
    <t>WAYNE</t>
  </si>
  <si>
    <t>WEBSTER</t>
  </si>
  <si>
    <t>WHITLEY</t>
  </si>
  <si>
    <t>WOLFE</t>
  </si>
  <si>
    <t>WOODFORD</t>
  </si>
  <si>
    <t xml:space="preserve"> </t>
  </si>
  <si>
    <t>Statewide Total</t>
  </si>
  <si>
    <t>Percent of Total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</si>
</sst>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0.0%"/>
  </numFmts>
  <fonts count="14">
    <font>
      <sz val="11"/>
      <color theme="1"/>
      <name val="Calibri"/>
      <family val="2"/>
      <scheme val="minor"/>
    </font>
    <font>
      <sz val="12"/>
      <color indexed="10"/>
      <name val="Arial"/>
      <family val="2"/>
    </font>
    <font>
      <b/>
      <sz val="12"/>
      <color indexed="10"/>
      <name val="Arial"/>
      <family val="2"/>
    </font>
    <font>
      <b/>
      <sz val="12"/>
      <color indexed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8"/>
      <name val="Arial"/>
      <family val="2"/>
    </font>
    <font>
      <sz val="8"/>
      <color indexed="12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sz val="10"/>
      <color indexed="8"/>
      <name val="MS Sans Serif"/>
      <family val="2"/>
    </font>
    <font>
      <b/>
      <sz val="10"/>
      <name val="Arial"/>
      <family val="2"/>
    </font>
    <font>
      <sz val="10"/>
      <color indexed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5" tint="0.59999389629810485"/>
        <bgColor indexed="0"/>
      </patternFill>
    </fill>
    <fill>
      <patternFill patternType="solid">
        <fgColor theme="1" tint="0.249977111117893"/>
        <bgColor indexed="0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9" fillId="0" borderId="0"/>
    <xf numFmtId="0" fontId="9" fillId="0" borderId="0"/>
    <xf numFmtId="0" fontId="11" fillId="0" borderId="0"/>
  </cellStyleXfs>
  <cellXfs count="58">
    <xf numFmtId="0" fontId="0" fillId="0" borderId="0" xfId="0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3" fontId="4" fillId="0" borderId="0" xfId="0" applyNumberFormat="1" applyFont="1"/>
    <xf numFmtId="3" fontId="5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4" fontId="5" fillId="0" borderId="0" xfId="0" applyNumberFormat="1" applyFont="1"/>
    <xf numFmtId="15" fontId="6" fillId="0" borderId="0" xfId="0" quotePrefix="1" applyNumberFormat="1" applyFont="1"/>
    <xf numFmtId="0" fontId="8" fillId="0" borderId="0" xfId="0" applyFont="1"/>
    <xf numFmtId="1" fontId="4" fillId="2" borderId="0" xfId="0" quotePrefix="1" applyNumberFormat="1" applyFont="1" applyFill="1" applyAlignment="1">
      <alignment horizontal="right"/>
    </xf>
    <xf numFmtId="3" fontId="5" fillId="3" borderId="0" xfId="0" applyNumberFormat="1" applyFont="1" applyFill="1" applyAlignment="1">
      <alignment horizontal="center"/>
    </xf>
    <xf numFmtId="0" fontId="5" fillId="0" borderId="0" xfId="0" applyFont="1" applyAlignment="1">
      <alignment horizontal="right"/>
    </xf>
    <xf numFmtId="49" fontId="5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/>
    </xf>
    <xf numFmtId="0" fontId="4" fillId="2" borderId="0" xfId="0" applyFont="1" applyFill="1" applyAlignment="1">
      <alignment horizontal="right"/>
    </xf>
    <xf numFmtId="3" fontId="5" fillId="0" borderId="1" xfId="0" applyNumberFormat="1" applyFont="1" applyBorder="1" applyAlignment="1">
      <alignment horizontal="right"/>
    </xf>
    <xf numFmtId="3" fontId="5" fillId="4" borderId="1" xfId="0" applyNumberFormat="1" applyFont="1" applyFill="1" applyBorder="1" applyAlignment="1">
      <alignment horizontal="right"/>
    </xf>
    <xf numFmtId="3" fontId="5" fillId="3" borderId="0" xfId="0" applyNumberFormat="1" applyFont="1" applyFill="1" applyAlignment="1">
      <alignment horizontal="right"/>
    </xf>
    <xf numFmtId="0" fontId="0" fillId="0" borderId="0" xfId="0" applyAlignment="1">
      <alignment horizontal="right"/>
    </xf>
    <xf numFmtId="49" fontId="5" fillId="0" borderId="0" xfId="0" applyNumberFormat="1" applyFont="1"/>
    <xf numFmtId="49" fontId="6" fillId="0" borderId="0" xfId="0" applyNumberFormat="1" applyFont="1"/>
    <xf numFmtId="3" fontId="4" fillId="2" borderId="0" xfId="0" applyNumberFormat="1" applyFont="1" applyFill="1" applyAlignment="1">
      <alignment horizontal="right"/>
    </xf>
    <xf numFmtId="0" fontId="10" fillId="5" borderId="2" xfId="1" quotePrefix="1" applyFont="1" applyFill="1" applyBorder="1" applyAlignment="1">
      <alignment horizontal="center"/>
    </xf>
    <xf numFmtId="0" fontId="10" fillId="6" borderId="2" xfId="1" quotePrefix="1" applyFont="1" applyFill="1" applyBorder="1" applyAlignment="1">
      <alignment horizontal="center"/>
    </xf>
    <xf numFmtId="0" fontId="10" fillId="5" borderId="2" xfId="1" applyFont="1" applyFill="1" applyBorder="1" applyAlignment="1">
      <alignment horizontal="center"/>
    </xf>
    <xf numFmtId="0" fontId="10" fillId="6" borderId="2" xfId="1" applyFont="1" applyFill="1" applyBorder="1" applyAlignment="1">
      <alignment horizontal="center"/>
    </xf>
    <xf numFmtId="0" fontId="10" fillId="7" borderId="3" xfId="1" applyFont="1" applyFill="1" applyBorder="1" applyAlignment="1">
      <alignment horizontal="center"/>
    </xf>
    <xf numFmtId="49" fontId="8" fillId="0" borderId="0" xfId="0" applyNumberFormat="1" applyFont="1"/>
    <xf numFmtId="3" fontId="4" fillId="2" borderId="0" xfId="0" applyNumberFormat="1" applyFont="1" applyFill="1"/>
    <xf numFmtId="1" fontId="10" fillId="3" borderId="0" xfId="1" applyNumberFormat="1" applyFont="1" applyFill="1"/>
    <xf numFmtId="0" fontId="5" fillId="0" borderId="0" xfId="0" applyFont="1" applyBorder="1"/>
    <xf numFmtId="49" fontId="5" fillId="0" borderId="0" xfId="0" applyNumberFormat="1" applyFont="1" applyBorder="1"/>
    <xf numFmtId="49" fontId="6" fillId="0" borderId="0" xfId="0" applyNumberFormat="1" applyFont="1" applyBorder="1"/>
    <xf numFmtId="3" fontId="4" fillId="2" borderId="0" xfId="0" applyNumberFormat="1" applyFont="1" applyFill="1" applyBorder="1"/>
    <xf numFmtId="1" fontId="9" fillId="0" borderId="0" xfId="2" applyNumberFormat="1" applyFont="1" applyFill="1" applyBorder="1" applyAlignment="1">
      <alignment horizontal="right" wrapText="1"/>
    </xf>
    <xf numFmtId="1" fontId="10" fillId="0" borderId="4" xfId="1" applyNumberFormat="1" applyFont="1" applyFill="1" applyBorder="1" applyAlignment="1">
      <alignment horizontal="right" wrapText="1"/>
    </xf>
    <xf numFmtId="1" fontId="5" fillId="0" borderId="0" xfId="0" applyNumberFormat="1" applyFont="1" applyBorder="1"/>
    <xf numFmtId="1" fontId="9" fillId="0" borderId="0" xfId="1" applyNumberFormat="1"/>
    <xf numFmtId="1" fontId="9" fillId="3" borderId="0" xfId="1" applyNumberFormat="1" applyFill="1"/>
    <xf numFmtId="3" fontId="10" fillId="0" borderId="0" xfId="3" applyNumberFormat="1" applyFont="1" applyFill="1" applyBorder="1" applyAlignment="1">
      <alignment horizontal="right" wrapText="1"/>
    </xf>
    <xf numFmtId="3" fontId="9" fillId="0" borderId="0" xfId="3" applyNumberFormat="1" applyFont="1" applyFill="1" applyBorder="1" applyAlignment="1">
      <alignment horizontal="right" wrapText="1"/>
    </xf>
    <xf numFmtId="0" fontId="0" fillId="0" borderId="0" xfId="0" applyBorder="1"/>
    <xf numFmtId="0" fontId="4" fillId="2" borderId="0" xfId="0" applyFont="1" applyFill="1"/>
    <xf numFmtId="0" fontId="6" fillId="2" borderId="0" xfId="0" applyFont="1" applyFill="1"/>
    <xf numFmtId="1" fontId="4" fillId="2" borderId="0" xfId="0" applyNumberFormat="1" applyFont="1" applyFill="1"/>
    <xf numFmtId="1" fontId="4" fillId="3" borderId="0" xfId="0" applyNumberFormat="1" applyFont="1" applyFill="1"/>
    <xf numFmtId="0" fontId="7" fillId="2" borderId="0" xfId="0" applyFont="1" applyFill="1" applyAlignment="1">
      <alignment horizontal="right"/>
    </xf>
    <xf numFmtId="165" fontId="7" fillId="2" borderId="0" xfId="0" applyNumberFormat="1" applyFont="1" applyFill="1"/>
    <xf numFmtId="165" fontId="7" fillId="3" borderId="0" xfId="0" applyNumberFormat="1" applyFont="1" applyFill="1"/>
    <xf numFmtId="0" fontId="12" fillId="0" borderId="0" xfId="0" applyFont="1"/>
    <xf numFmtId="0" fontId="13" fillId="0" borderId="0" xfId="0" applyFont="1"/>
    <xf numFmtId="3" fontId="12" fillId="0" borderId="0" xfId="0" applyNumberFormat="1" applyFont="1"/>
    <xf numFmtId="3" fontId="0" fillId="0" borderId="0" xfId="0" applyNumberFormat="1"/>
    <xf numFmtId="3" fontId="5" fillId="0" borderId="1" xfId="0" applyNumberFormat="1" applyFont="1" applyBorder="1" applyAlignment="1">
      <alignment horizontal="center"/>
    </xf>
  </cellXfs>
  <cellStyles count="4">
    <cellStyle name="Normal" xfId="0" builtinId="0"/>
    <cellStyle name="Normal_2000_1" xfId="2"/>
    <cellStyle name="Normal_Curr" xfId="1"/>
    <cellStyle name="Normal_VMT1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30"/>
  <sheetViews>
    <sheetView tabSelected="1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B1" sqref="B1"/>
    </sheetView>
  </sheetViews>
  <sheetFormatPr defaultRowHeight="15.75"/>
  <cols>
    <col min="1" max="1" width="5.140625" customWidth="1"/>
    <col min="2" max="2" width="22.5703125" bestFit="1" customWidth="1"/>
    <col min="3" max="3" width="5.7109375" style="54" customWidth="1"/>
    <col min="4" max="4" width="11.5703125" style="55" customWidth="1"/>
    <col min="5" max="5" width="10.28515625" style="56" customWidth="1"/>
    <col min="6" max="16" width="9.7109375" style="56" customWidth="1"/>
    <col min="17" max="17" width="2.5703125" style="56" customWidth="1"/>
    <col min="18" max="22" width="9.7109375" style="5" customWidth="1"/>
    <col min="23" max="23" width="11.42578125" style="5" bestFit="1" customWidth="1"/>
    <col min="24" max="28" width="9.7109375" style="5" customWidth="1"/>
    <col min="29" max="29" width="11.42578125" style="5" bestFit="1" customWidth="1"/>
    <col min="30" max="30" width="13.7109375" style="53" customWidth="1"/>
  </cols>
  <sheetData>
    <row r="1" spans="1:30">
      <c r="A1" s="1"/>
      <c r="B1" s="2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AD1" s="6"/>
    </row>
    <row r="2" spans="1:30">
      <c r="A2" s="6" t="s">
        <v>0</v>
      </c>
      <c r="B2" s="7"/>
      <c r="C2" s="8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AD2" s="6"/>
    </row>
    <row r="3" spans="1:30">
      <c r="A3" s="9" t="s">
        <v>1</v>
      </c>
      <c r="B3" s="7"/>
      <c r="C3" s="8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AD3" s="6"/>
    </row>
    <row r="4" spans="1:30" ht="16.5" thickBot="1">
      <c r="A4" s="7"/>
      <c r="B4" s="10">
        <v>41786</v>
      </c>
      <c r="C4" s="11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AD4" s="6"/>
    </row>
    <row r="5" spans="1:30" ht="16.5" thickBot="1">
      <c r="A5" s="7"/>
      <c r="B5" s="7"/>
      <c r="C5" s="12" t="s">
        <v>2</v>
      </c>
      <c r="D5" s="13"/>
      <c r="E5" s="57" t="s">
        <v>3</v>
      </c>
      <c r="F5" s="57"/>
      <c r="G5" s="57"/>
      <c r="H5" s="57"/>
      <c r="I5" s="57"/>
      <c r="J5" s="57"/>
      <c r="K5" s="57" t="s">
        <v>4</v>
      </c>
      <c r="L5" s="57"/>
      <c r="M5" s="57"/>
      <c r="N5" s="57"/>
      <c r="O5" s="57"/>
      <c r="P5" s="57"/>
      <c r="Q5" s="14"/>
      <c r="R5" s="57" t="s">
        <v>5</v>
      </c>
      <c r="S5" s="57"/>
      <c r="T5" s="57"/>
      <c r="U5" s="57"/>
      <c r="V5" s="57"/>
      <c r="W5" s="57"/>
      <c r="X5" s="57" t="s">
        <v>6</v>
      </c>
      <c r="Y5" s="57"/>
      <c r="Z5" s="57"/>
      <c r="AA5" s="57"/>
      <c r="AB5" s="57"/>
      <c r="AC5" s="57"/>
      <c r="AD5" s="6"/>
    </row>
    <row r="6" spans="1:30" s="22" customFormat="1" ht="16.5" thickBot="1">
      <c r="A6" s="15"/>
      <c r="B6" s="16" t="s">
        <v>7</v>
      </c>
      <c r="C6" s="17" t="s">
        <v>8</v>
      </c>
      <c r="D6" s="18" t="s">
        <v>9</v>
      </c>
      <c r="E6" s="19" t="s">
        <v>10</v>
      </c>
      <c r="F6" s="19" t="s">
        <v>11</v>
      </c>
      <c r="G6" s="19" t="s">
        <v>12</v>
      </c>
      <c r="H6" s="19" t="s">
        <v>13</v>
      </c>
      <c r="I6" s="19" t="s">
        <v>14</v>
      </c>
      <c r="J6" s="20" t="s">
        <v>15</v>
      </c>
      <c r="K6" s="19" t="s">
        <v>10</v>
      </c>
      <c r="L6" s="19" t="s">
        <v>16</v>
      </c>
      <c r="M6" s="19" t="s">
        <v>11</v>
      </c>
      <c r="N6" s="19" t="s">
        <v>12</v>
      </c>
      <c r="O6" s="19" t="s">
        <v>17</v>
      </c>
      <c r="P6" s="20" t="s">
        <v>15</v>
      </c>
      <c r="Q6" s="21"/>
      <c r="R6" s="19" t="s">
        <v>10</v>
      </c>
      <c r="S6" s="19" t="s">
        <v>11</v>
      </c>
      <c r="T6" s="19" t="s">
        <v>12</v>
      </c>
      <c r="U6" s="19" t="s">
        <v>13</v>
      </c>
      <c r="V6" s="19" t="s">
        <v>14</v>
      </c>
      <c r="W6" s="19" t="s">
        <v>18</v>
      </c>
      <c r="X6" s="19" t="s">
        <v>10</v>
      </c>
      <c r="Y6" s="19" t="s">
        <v>16</v>
      </c>
      <c r="Z6" s="19" t="s">
        <v>11</v>
      </c>
      <c r="AA6" s="19" t="s">
        <v>12</v>
      </c>
      <c r="AB6" s="19" t="s">
        <v>17</v>
      </c>
      <c r="AC6" s="19" t="s">
        <v>18</v>
      </c>
      <c r="AD6" s="18" t="s">
        <v>19</v>
      </c>
    </row>
    <row r="7" spans="1:30" ht="15" customHeight="1">
      <c r="A7" s="7"/>
      <c r="B7" s="23"/>
      <c r="C7" s="24"/>
      <c r="D7" s="25" t="s">
        <v>20</v>
      </c>
      <c r="E7" s="26" t="s">
        <v>21</v>
      </c>
      <c r="F7" s="26" t="s">
        <v>22</v>
      </c>
      <c r="G7" s="26" t="s">
        <v>23</v>
      </c>
      <c r="H7" s="26" t="s">
        <v>24</v>
      </c>
      <c r="I7" s="26" t="s">
        <v>25</v>
      </c>
      <c r="J7" s="27" t="s">
        <v>26</v>
      </c>
      <c r="K7" s="28" t="s">
        <v>27</v>
      </c>
      <c r="L7" s="28" t="s">
        <v>28</v>
      </c>
      <c r="M7" s="28" t="s">
        <v>29</v>
      </c>
      <c r="N7" s="28" t="s">
        <v>30</v>
      </c>
      <c r="O7" s="28" t="s">
        <v>31</v>
      </c>
      <c r="P7" s="29">
        <v>19</v>
      </c>
      <c r="Q7" s="30"/>
      <c r="R7" s="26" t="s">
        <v>21</v>
      </c>
      <c r="S7" s="26" t="s">
        <v>22</v>
      </c>
      <c r="T7" s="26" t="s">
        <v>23</v>
      </c>
      <c r="U7" s="26" t="s">
        <v>24</v>
      </c>
      <c r="V7" s="26" t="s">
        <v>25</v>
      </c>
      <c r="W7" s="26" t="s">
        <v>26</v>
      </c>
      <c r="X7" s="28" t="s">
        <v>27</v>
      </c>
      <c r="Y7" s="28" t="s">
        <v>28</v>
      </c>
      <c r="Z7" s="28" t="s">
        <v>29</v>
      </c>
      <c r="AA7" s="28" t="s">
        <v>30</v>
      </c>
      <c r="AB7" s="28" t="s">
        <v>31</v>
      </c>
      <c r="AC7" s="28" t="s">
        <v>32</v>
      </c>
      <c r="AD7" s="18" t="s">
        <v>33</v>
      </c>
    </row>
    <row r="8" spans="1:30" ht="15" customHeight="1">
      <c r="A8" s="7">
        <v>1</v>
      </c>
      <c r="B8" s="23" t="s">
        <v>34</v>
      </c>
      <c r="C8" s="31" t="s">
        <v>35</v>
      </c>
      <c r="D8" s="32">
        <f>SUM(E8:P8)</f>
        <v>564</v>
      </c>
      <c r="E8"/>
      <c r="F8">
        <v>184</v>
      </c>
      <c r="G8">
        <v>83</v>
      </c>
      <c r="H8">
        <v>110</v>
      </c>
      <c r="I8">
        <v>68</v>
      </c>
      <c r="J8">
        <v>119</v>
      </c>
      <c r="K8"/>
      <c r="L8"/>
      <c r="M8"/>
      <c r="N8"/>
      <c r="O8"/>
      <c r="P8"/>
      <c r="Q8" s="33" t="s">
        <v>36</v>
      </c>
      <c r="R8"/>
      <c r="S8">
        <v>33.662999999999997</v>
      </c>
      <c r="T8">
        <v>23.721</v>
      </c>
      <c r="U8">
        <v>57.975999999999999</v>
      </c>
      <c r="V8">
        <v>115.342</v>
      </c>
      <c r="W8">
        <v>662.25800000000004</v>
      </c>
      <c r="X8"/>
      <c r="Y8"/>
      <c r="Z8"/>
      <c r="AA8"/>
      <c r="AB8"/>
      <c r="AC8"/>
      <c r="AD8" s="32">
        <f t="shared" ref="AD8:AD71" si="0">SUM(R8:AC8)</f>
        <v>892.96</v>
      </c>
    </row>
    <row r="9" spans="1:30" ht="15" customHeight="1">
      <c r="A9" s="7">
        <v>2</v>
      </c>
      <c r="B9" s="23" t="s">
        <v>37</v>
      </c>
      <c r="C9" s="31" t="s">
        <v>35</v>
      </c>
      <c r="D9" s="32">
        <f t="shared" ref="D9:D72" si="1">SUM(E9:P9)</f>
        <v>456</v>
      </c>
      <c r="E9"/>
      <c r="F9">
        <v>110</v>
      </c>
      <c r="G9">
        <v>52</v>
      </c>
      <c r="H9">
        <v>134</v>
      </c>
      <c r="I9">
        <v>58</v>
      </c>
      <c r="J9">
        <v>102</v>
      </c>
      <c r="K9"/>
      <c r="L9"/>
      <c r="M9"/>
      <c r="N9"/>
      <c r="O9"/>
      <c r="P9"/>
      <c r="Q9" s="33" t="s">
        <v>36</v>
      </c>
      <c r="R9"/>
      <c r="S9">
        <v>17.175999999999998</v>
      </c>
      <c r="T9">
        <v>10.582000000000001</v>
      </c>
      <c r="U9">
        <v>58.326999999999998</v>
      </c>
      <c r="V9">
        <v>85.628</v>
      </c>
      <c r="W9">
        <v>517.66800000000001</v>
      </c>
      <c r="X9"/>
      <c r="Y9"/>
      <c r="Z9"/>
      <c r="AA9"/>
      <c r="AB9"/>
      <c r="AC9"/>
      <c r="AD9" s="32">
        <f t="shared" si="0"/>
        <v>689.38099999999997</v>
      </c>
    </row>
    <row r="10" spans="1:30" ht="15" customHeight="1">
      <c r="A10" s="7">
        <v>3</v>
      </c>
      <c r="B10" s="23" t="s">
        <v>38</v>
      </c>
      <c r="C10" s="31" t="s">
        <v>39</v>
      </c>
      <c r="D10" s="32">
        <f t="shared" si="1"/>
        <v>627</v>
      </c>
      <c r="E10"/>
      <c r="F10">
        <v>298</v>
      </c>
      <c r="G10">
        <v>26</v>
      </c>
      <c r="H10">
        <v>54</v>
      </c>
      <c r="I10">
        <v>27</v>
      </c>
      <c r="J10">
        <v>47</v>
      </c>
      <c r="K10"/>
      <c r="L10"/>
      <c r="M10">
        <v>66</v>
      </c>
      <c r="N10"/>
      <c r="O10">
        <v>68</v>
      </c>
      <c r="P10">
        <v>41</v>
      </c>
      <c r="Q10" s="33" t="s">
        <v>36</v>
      </c>
      <c r="R10"/>
      <c r="S10">
        <v>20.952999999999999</v>
      </c>
      <c r="T10">
        <v>4.5869999999999997</v>
      </c>
      <c r="U10">
        <v>37.411000000000001</v>
      </c>
      <c r="V10">
        <v>39.713000000000001</v>
      </c>
      <c r="W10">
        <v>237.59800000000001</v>
      </c>
      <c r="X10"/>
      <c r="Y10"/>
      <c r="Z10">
        <v>3.629</v>
      </c>
      <c r="AA10"/>
      <c r="AB10">
        <v>11.683</v>
      </c>
      <c r="AC10">
        <v>53.975999999999999</v>
      </c>
      <c r="AD10" s="32">
        <f t="shared" si="0"/>
        <v>409.55</v>
      </c>
    </row>
    <row r="11" spans="1:30" ht="15" customHeight="1">
      <c r="A11" s="7">
        <v>4</v>
      </c>
      <c r="B11" s="23" t="s">
        <v>40</v>
      </c>
      <c r="C11" s="31" t="s">
        <v>35</v>
      </c>
      <c r="D11" s="32">
        <f t="shared" si="1"/>
        <v>250</v>
      </c>
      <c r="E11"/>
      <c r="F11">
        <v>115</v>
      </c>
      <c r="G11">
        <v>59</v>
      </c>
      <c r="H11"/>
      <c r="I11">
        <v>33</v>
      </c>
      <c r="J11">
        <v>43</v>
      </c>
      <c r="K11"/>
      <c r="L11"/>
      <c r="M11"/>
      <c r="N11"/>
      <c r="O11"/>
      <c r="P11"/>
      <c r="Q11" s="33" t="s">
        <v>36</v>
      </c>
      <c r="R11"/>
      <c r="S11">
        <v>21.59</v>
      </c>
      <c r="T11">
        <v>28.43</v>
      </c>
      <c r="U11"/>
      <c r="V11">
        <v>87.906999999999996</v>
      </c>
      <c r="W11">
        <v>316.26499999999999</v>
      </c>
      <c r="X11"/>
      <c r="Y11"/>
      <c r="Z11"/>
      <c r="AA11"/>
      <c r="AB11"/>
      <c r="AC11"/>
      <c r="AD11" s="32">
        <f t="shared" si="0"/>
        <v>454.19200000000001</v>
      </c>
    </row>
    <row r="12" spans="1:30" ht="15" customHeight="1">
      <c r="A12" s="7">
        <v>5</v>
      </c>
      <c r="B12" s="23" t="s">
        <v>41</v>
      </c>
      <c r="C12" s="31" t="s">
        <v>39</v>
      </c>
      <c r="D12" s="32">
        <f t="shared" si="1"/>
        <v>1563</v>
      </c>
      <c r="E12">
        <v>317</v>
      </c>
      <c r="F12">
        <v>179</v>
      </c>
      <c r="G12">
        <v>258</v>
      </c>
      <c r="H12">
        <v>168</v>
      </c>
      <c r="I12">
        <v>127</v>
      </c>
      <c r="J12">
        <v>148</v>
      </c>
      <c r="K12"/>
      <c r="L12">
        <v>27</v>
      </c>
      <c r="M12"/>
      <c r="N12">
        <v>208</v>
      </c>
      <c r="O12">
        <v>76</v>
      </c>
      <c r="P12">
        <v>55</v>
      </c>
      <c r="Q12" s="33" t="s">
        <v>36</v>
      </c>
      <c r="R12">
        <v>8.4380000000000006</v>
      </c>
      <c r="S12">
        <v>19.797000000000001</v>
      </c>
      <c r="T12">
        <v>41.357999999999997</v>
      </c>
      <c r="U12">
        <v>71.751000000000005</v>
      </c>
      <c r="V12">
        <v>152.511</v>
      </c>
      <c r="W12">
        <v>662.99400000000003</v>
      </c>
      <c r="X12"/>
      <c r="Y12">
        <v>2.56</v>
      </c>
      <c r="Z12"/>
      <c r="AA12">
        <v>18.428999999999998</v>
      </c>
      <c r="AB12">
        <v>19.068999999999999</v>
      </c>
      <c r="AC12">
        <v>93.244</v>
      </c>
      <c r="AD12" s="32">
        <f t="shared" si="0"/>
        <v>1090.1509999999998</v>
      </c>
    </row>
    <row r="13" spans="1:30" ht="15" customHeight="1">
      <c r="A13" s="7">
        <v>6</v>
      </c>
      <c r="B13" s="23" t="s">
        <v>42</v>
      </c>
      <c r="C13" s="31" t="s">
        <v>35</v>
      </c>
      <c r="D13" s="32">
        <f t="shared" si="1"/>
        <v>468</v>
      </c>
      <c r="E13">
        <v>241</v>
      </c>
      <c r="F13"/>
      <c r="G13">
        <v>36</v>
      </c>
      <c r="H13">
        <v>118</v>
      </c>
      <c r="I13">
        <v>24</v>
      </c>
      <c r="J13">
        <v>49</v>
      </c>
      <c r="K13"/>
      <c r="L13"/>
      <c r="M13"/>
      <c r="N13"/>
      <c r="O13"/>
      <c r="P13"/>
      <c r="Q13" s="33" t="s">
        <v>36</v>
      </c>
      <c r="R13">
        <v>13.308</v>
      </c>
      <c r="S13"/>
      <c r="T13">
        <v>12.288</v>
      </c>
      <c r="U13">
        <v>59.164000000000001</v>
      </c>
      <c r="V13">
        <v>53.869</v>
      </c>
      <c r="W13">
        <v>325.27699999999999</v>
      </c>
      <c r="X13"/>
      <c r="Y13"/>
      <c r="Z13"/>
      <c r="AA13"/>
      <c r="AB13"/>
      <c r="AC13"/>
      <c r="AD13" s="32">
        <f t="shared" si="0"/>
        <v>463.90600000000001</v>
      </c>
    </row>
    <row r="14" spans="1:30" ht="15" customHeight="1">
      <c r="A14" s="7">
        <v>7</v>
      </c>
      <c r="B14" s="23" t="s">
        <v>43</v>
      </c>
      <c r="C14" s="31" t="s">
        <v>39</v>
      </c>
      <c r="D14" s="32">
        <f t="shared" si="1"/>
        <v>745</v>
      </c>
      <c r="E14"/>
      <c r="F14">
        <v>388</v>
      </c>
      <c r="G14"/>
      <c r="H14">
        <v>105</v>
      </c>
      <c r="I14">
        <v>31</v>
      </c>
      <c r="J14">
        <v>56</v>
      </c>
      <c r="K14"/>
      <c r="L14"/>
      <c r="M14">
        <v>38</v>
      </c>
      <c r="N14">
        <v>56</v>
      </c>
      <c r="O14">
        <v>36</v>
      </c>
      <c r="P14">
        <v>35</v>
      </c>
      <c r="Q14" s="33" t="s">
        <v>36</v>
      </c>
      <c r="R14"/>
      <c r="S14">
        <v>32.56</v>
      </c>
      <c r="T14"/>
      <c r="U14">
        <v>86.554000000000002</v>
      </c>
      <c r="V14">
        <v>55.524999999999999</v>
      </c>
      <c r="W14">
        <v>318.08300000000003</v>
      </c>
      <c r="X14"/>
      <c r="Y14"/>
      <c r="Z14">
        <v>1.9710000000000001</v>
      </c>
      <c r="AA14">
        <v>6.9550000000000001</v>
      </c>
      <c r="AB14">
        <v>12.161</v>
      </c>
      <c r="AC14">
        <v>71.031999999999996</v>
      </c>
      <c r="AD14" s="32">
        <f t="shared" si="0"/>
        <v>584.84100000000001</v>
      </c>
    </row>
    <row r="15" spans="1:30" ht="15" customHeight="1">
      <c r="A15" s="7">
        <v>8</v>
      </c>
      <c r="B15" s="23" t="s">
        <v>44</v>
      </c>
      <c r="C15" s="31" t="s">
        <v>45</v>
      </c>
      <c r="D15" s="32">
        <f t="shared" si="1"/>
        <v>4074</v>
      </c>
      <c r="E15">
        <v>620</v>
      </c>
      <c r="F15"/>
      <c r="G15">
        <v>35</v>
      </c>
      <c r="H15">
        <v>131</v>
      </c>
      <c r="I15">
        <v>66</v>
      </c>
      <c r="J15">
        <v>60</v>
      </c>
      <c r="K15">
        <v>1716</v>
      </c>
      <c r="L15"/>
      <c r="M15">
        <v>316</v>
      </c>
      <c r="N15">
        <v>696</v>
      </c>
      <c r="O15">
        <v>215</v>
      </c>
      <c r="P15">
        <v>219</v>
      </c>
      <c r="Q15" s="33" t="s">
        <v>36</v>
      </c>
      <c r="R15">
        <v>14.326000000000001</v>
      </c>
      <c r="S15"/>
      <c r="T15">
        <v>4.2069999999999999</v>
      </c>
      <c r="U15">
        <v>58.957000000000001</v>
      </c>
      <c r="V15">
        <v>50.710999999999999</v>
      </c>
      <c r="W15">
        <v>204.494</v>
      </c>
      <c r="X15">
        <v>19.657</v>
      </c>
      <c r="Y15"/>
      <c r="Z15">
        <v>13.696</v>
      </c>
      <c r="AA15">
        <v>50.029000000000003</v>
      </c>
      <c r="AB15">
        <v>40.725000000000001</v>
      </c>
      <c r="AC15">
        <v>308.32499999999999</v>
      </c>
      <c r="AD15" s="32">
        <f t="shared" si="0"/>
        <v>765.12700000000007</v>
      </c>
    </row>
    <row r="16" spans="1:30" ht="15" customHeight="1">
      <c r="A16" s="7">
        <v>9</v>
      </c>
      <c r="B16" s="23" t="s">
        <v>46</v>
      </c>
      <c r="C16" s="31" t="s">
        <v>39</v>
      </c>
      <c r="D16" s="32">
        <f t="shared" si="1"/>
        <v>538</v>
      </c>
      <c r="E16"/>
      <c r="F16">
        <v>140</v>
      </c>
      <c r="G16">
        <v>101</v>
      </c>
      <c r="H16">
        <v>42</v>
      </c>
      <c r="I16">
        <v>43</v>
      </c>
      <c r="J16">
        <v>36</v>
      </c>
      <c r="K16"/>
      <c r="L16"/>
      <c r="M16">
        <v>86</v>
      </c>
      <c r="N16">
        <v>41</v>
      </c>
      <c r="O16">
        <v>27</v>
      </c>
      <c r="P16">
        <v>22</v>
      </c>
      <c r="Q16" s="33" t="s">
        <v>36</v>
      </c>
      <c r="R16"/>
      <c r="S16">
        <v>13.648999999999999</v>
      </c>
      <c r="T16">
        <v>35.902000000000001</v>
      </c>
      <c r="U16">
        <v>33.454999999999998</v>
      </c>
      <c r="V16">
        <v>59.753999999999998</v>
      </c>
      <c r="W16">
        <v>175.13900000000001</v>
      </c>
      <c r="X16"/>
      <c r="Y16"/>
      <c r="Z16">
        <v>5.8959999999999999</v>
      </c>
      <c r="AA16">
        <v>5.7389999999999999</v>
      </c>
      <c r="AB16">
        <v>9.4949999999999992</v>
      </c>
      <c r="AC16">
        <v>46.984000000000002</v>
      </c>
      <c r="AD16" s="32">
        <f t="shared" si="0"/>
        <v>386.01299999999998</v>
      </c>
    </row>
    <row r="17" spans="1:30" ht="15" customHeight="1">
      <c r="A17" s="7">
        <v>10</v>
      </c>
      <c r="B17" s="23" t="s">
        <v>47</v>
      </c>
      <c r="C17" s="31" t="s">
        <v>45</v>
      </c>
      <c r="D17" s="32">
        <f t="shared" si="1"/>
        <v>1256</v>
      </c>
      <c r="E17">
        <v>196</v>
      </c>
      <c r="F17">
        <v>126</v>
      </c>
      <c r="G17">
        <v>5</v>
      </c>
      <c r="H17">
        <v>94</v>
      </c>
      <c r="I17">
        <v>30</v>
      </c>
      <c r="J17">
        <v>43</v>
      </c>
      <c r="K17"/>
      <c r="L17"/>
      <c r="M17">
        <v>408</v>
      </c>
      <c r="N17">
        <v>85</v>
      </c>
      <c r="O17">
        <v>133</v>
      </c>
      <c r="P17">
        <v>136</v>
      </c>
      <c r="Q17" s="33" t="s">
        <v>36</v>
      </c>
      <c r="R17">
        <v>10.695</v>
      </c>
      <c r="S17">
        <v>11.332000000000001</v>
      </c>
      <c r="T17">
        <v>0.84499999999999997</v>
      </c>
      <c r="U17">
        <v>28.100999999999999</v>
      </c>
      <c r="V17">
        <v>37.429000000000002</v>
      </c>
      <c r="W17">
        <v>197.11</v>
      </c>
      <c r="X17"/>
      <c r="Y17"/>
      <c r="Z17">
        <v>21.648</v>
      </c>
      <c r="AA17">
        <v>13.864000000000001</v>
      </c>
      <c r="AB17">
        <v>35.42</v>
      </c>
      <c r="AC17">
        <v>237.874</v>
      </c>
      <c r="AD17" s="32">
        <f t="shared" si="0"/>
        <v>594.31799999999998</v>
      </c>
    </row>
    <row r="18" spans="1:30" ht="15" customHeight="1">
      <c r="A18" s="7">
        <v>11</v>
      </c>
      <c r="B18" s="23" t="s">
        <v>48</v>
      </c>
      <c r="C18" s="31" t="s">
        <v>39</v>
      </c>
      <c r="D18" s="32">
        <f t="shared" si="1"/>
        <v>749</v>
      </c>
      <c r="E18"/>
      <c r="F18">
        <v>118</v>
      </c>
      <c r="G18">
        <v>131</v>
      </c>
      <c r="H18">
        <v>30</v>
      </c>
      <c r="I18">
        <v>37</v>
      </c>
      <c r="J18">
        <v>47</v>
      </c>
      <c r="K18"/>
      <c r="L18"/>
      <c r="M18">
        <v>122</v>
      </c>
      <c r="N18">
        <v>172</v>
      </c>
      <c r="O18">
        <v>39</v>
      </c>
      <c r="P18">
        <v>53</v>
      </c>
      <c r="Q18" s="33" t="s">
        <v>36</v>
      </c>
      <c r="R18"/>
      <c r="S18">
        <v>8.0939999999999994</v>
      </c>
      <c r="T18">
        <v>30.898</v>
      </c>
      <c r="U18">
        <v>13.715</v>
      </c>
      <c r="V18">
        <v>40.174999999999997</v>
      </c>
      <c r="W18">
        <v>198.80600000000001</v>
      </c>
      <c r="X18"/>
      <c r="Y18"/>
      <c r="Z18">
        <v>7.19</v>
      </c>
      <c r="AA18">
        <v>18.16</v>
      </c>
      <c r="AB18">
        <v>9.7240000000000002</v>
      </c>
      <c r="AC18">
        <v>87.561000000000007</v>
      </c>
      <c r="AD18" s="32">
        <f t="shared" si="0"/>
        <v>414.32299999999998</v>
      </c>
    </row>
    <row r="19" spans="1:30" ht="15" customHeight="1">
      <c r="A19" s="7">
        <v>12</v>
      </c>
      <c r="B19" s="23" t="s">
        <v>49</v>
      </c>
      <c r="C19" s="31" t="s">
        <v>35</v>
      </c>
      <c r="D19" s="32">
        <f t="shared" si="1"/>
        <v>257</v>
      </c>
      <c r="E19"/>
      <c r="F19">
        <v>123</v>
      </c>
      <c r="G19">
        <v>14</v>
      </c>
      <c r="H19">
        <v>63</v>
      </c>
      <c r="I19">
        <v>25</v>
      </c>
      <c r="J19">
        <v>32</v>
      </c>
      <c r="K19"/>
      <c r="L19"/>
      <c r="M19"/>
      <c r="N19"/>
      <c r="O19"/>
      <c r="P19"/>
      <c r="Q19" s="33" t="s">
        <v>36</v>
      </c>
      <c r="R19"/>
      <c r="S19">
        <v>19.856999999999999</v>
      </c>
      <c r="T19">
        <v>8.4649999999999999</v>
      </c>
      <c r="U19">
        <v>45.014000000000003</v>
      </c>
      <c r="V19">
        <v>61.279000000000003</v>
      </c>
      <c r="W19">
        <v>223.756</v>
      </c>
      <c r="X19"/>
      <c r="Y19"/>
      <c r="Z19"/>
      <c r="AA19"/>
      <c r="AB19"/>
      <c r="AC19"/>
      <c r="AD19" s="32">
        <f t="shared" si="0"/>
        <v>358.37099999999998</v>
      </c>
    </row>
    <row r="20" spans="1:30" ht="15" customHeight="1">
      <c r="A20" s="7">
        <v>13</v>
      </c>
      <c r="B20" s="23" t="s">
        <v>50</v>
      </c>
      <c r="C20" s="31" t="s">
        <v>35</v>
      </c>
      <c r="D20" s="32">
        <f t="shared" si="1"/>
        <v>401</v>
      </c>
      <c r="E20"/>
      <c r="F20">
        <v>182</v>
      </c>
      <c r="G20">
        <v>11</v>
      </c>
      <c r="H20">
        <v>107</v>
      </c>
      <c r="I20">
        <v>53</v>
      </c>
      <c r="J20">
        <v>48</v>
      </c>
      <c r="K20"/>
      <c r="L20"/>
      <c r="M20"/>
      <c r="N20"/>
      <c r="O20"/>
      <c r="P20"/>
      <c r="Q20" s="33" t="s">
        <v>36</v>
      </c>
      <c r="R20"/>
      <c r="S20">
        <v>26.446000000000002</v>
      </c>
      <c r="T20">
        <v>6.3289999999999997</v>
      </c>
      <c r="U20">
        <v>85.453999999999994</v>
      </c>
      <c r="V20">
        <v>129.24700000000001</v>
      </c>
      <c r="W20">
        <v>334.52699999999999</v>
      </c>
      <c r="X20"/>
      <c r="Y20"/>
      <c r="Z20"/>
      <c r="AA20"/>
      <c r="AB20"/>
      <c r="AC20"/>
      <c r="AD20" s="32">
        <f t="shared" si="0"/>
        <v>582.00299999999993</v>
      </c>
    </row>
    <row r="21" spans="1:30" ht="15" customHeight="1">
      <c r="A21" s="7">
        <v>14</v>
      </c>
      <c r="B21" s="23" t="s">
        <v>51</v>
      </c>
      <c r="C21" s="31" t="s">
        <v>35</v>
      </c>
      <c r="D21" s="32">
        <f t="shared" si="1"/>
        <v>451</v>
      </c>
      <c r="E21"/>
      <c r="F21"/>
      <c r="G21">
        <v>229</v>
      </c>
      <c r="H21">
        <v>55</v>
      </c>
      <c r="I21">
        <v>72</v>
      </c>
      <c r="J21">
        <v>95</v>
      </c>
      <c r="K21"/>
      <c r="L21"/>
      <c r="M21"/>
      <c r="N21"/>
      <c r="O21"/>
      <c r="P21"/>
      <c r="Q21" s="33" t="s">
        <v>36</v>
      </c>
      <c r="R21"/>
      <c r="S21"/>
      <c r="T21">
        <v>61.51</v>
      </c>
      <c r="U21">
        <v>44.106999999999999</v>
      </c>
      <c r="V21">
        <v>165.56299999999999</v>
      </c>
      <c r="W21">
        <v>643.25199999999995</v>
      </c>
      <c r="X21"/>
      <c r="Y21"/>
      <c r="Z21"/>
      <c r="AA21"/>
      <c r="AB21"/>
      <c r="AC21"/>
      <c r="AD21" s="32">
        <f t="shared" si="0"/>
        <v>914.4319999999999</v>
      </c>
    </row>
    <row r="22" spans="1:30" ht="15" customHeight="1">
      <c r="A22" s="7">
        <v>15</v>
      </c>
      <c r="B22" s="23" t="s">
        <v>52</v>
      </c>
      <c r="C22" s="31" t="s">
        <v>45</v>
      </c>
      <c r="D22" s="32">
        <f t="shared" si="1"/>
        <v>2517</v>
      </c>
      <c r="E22">
        <v>736</v>
      </c>
      <c r="F22"/>
      <c r="G22">
        <v>182</v>
      </c>
      <c r="H22">
        <v>60</v>
      </c>
      <c r="I22">
        <v>63</v>
      </c>
      <c r="J22">
        <v>75</v>
      </c>
      <c r="K22">
        <v>698</v>
      </c>
      <c r="L22"/>
      <c r="M22"/>
      <c r="N22">
        <v>466</v>
      </c>
      <c r="O22">
        <v>68</v>
      </c>
      <c r="P22">
        <v>169</v>
      </c>
      <c r="Q22" s="33" t="s">
        <v>36</v>
      </c>
      <c r="R22">
        <v>12.266</v>
      </c>
      <c r="S22"/>
      <c r="T22">
        <v>24.408999999999999</v>
      </c>
      <c r="U22">
        <v>13.262</v>
      </c>
      <c r="V22">
        <v>56.74</v>
      </c>
      <c r="W22">
        <v>282.089</v>
      </c>
      <c r="X22">
        <v>7.6059999999999999</v>
      </c>
      <c r="Y22"/>
      <c r="Z22"/>
      <c r="AA22">
        <v>43.112000000000002</v>
      </c>
      <c r="AB22">
        <v>13.965</v>
      </c>
      <c r="AC22">
        <v>250.46</v>
      </c>
      <c r="AD22" s="32">
        <f t="shared" si="0"/>
        <v>703.90899999999999</v>
      </c>
    </row>
    <row r="23" spans="1:30" ht="15" customHeight="1">
      <c r="A23" s="7">
        <v>16</v>
      </c>
      <c r="B23" s="23" t="s">
        <v>53</v>
      </c>
      <c r="C23" s="31" t="s">
        <v>35</v>
      </c>
      <c r="D23" s="32">
        <f t="shared" si="1"/>
        <v>463</v>
      </c>
      <c r="E23"/>
      <c r="F23">
        <v>173</v>
      </c>
      <c r="G23">
        <v>20</v>
      </c>
      <c r="H23">
        <v>165</v>
      </c>
      <c r="I23">
        <v>38</v>
      </c>
      <c r="J23">
        <v>67</v>
      </c>
      <c r="K23"/>
      <c r="L23"/>
      <c r="M23"/>
      <c r="N23"/>
      <c r="O23"/>
      <c r="P23"/>
      <c r="Q23" s="33" t="s">
        <v>36</v>
      </c>
      <c r="R23"/>
      <c r="S23">
        <v>17.786000000000001</v>
      </c>
      <c r="T23">
        <v>13.257999999999999</v>
      </c>
      <c r="U23">
        <v>77.602999999999994</v>
      </c>
      <c r="V23">
        <v>94.355999999999995</v>
      </c>
      <c r="W23">
        <v>467.05200000000002</v>
      </c>
      <c r="X23"/>
      <c r="Y23"/>
      <c r="Z23"/>
      <c r="AA23"/>
      <c r="AB23"/>
      <c r="AC23"/>
      <c r="AD23" s="32">
        <f t="shared" si="0"/>
        <v>670.05500000000006</v>
      </c>
    </row>
    <row r="24" spans="1:30" ht="15" customHeight="1">
      <c r="A24" s="7">
        <v>17</v>
      </c>
      <c r="B24" s="23" t="s">
        <v>54</v>
      </c>
      <c r="C24" s="31" t="s">
        <v>39</v>
      </c>
      <c r="D24" s="32">
        <f t="shared" si="1"/>
        <v>474</v>
      </c>
      <c r="E24">
        <v>182</v>
      </c>
      <c r="F24"/>
      <c r="G24">
        <v>14</v>
      </c>
      <c r="H24">
        <v>112</v>
      </c>
      <c r="I24">
        <v>23</v>
      </c>
      <c r="J24">
        <v>47</v>
      </c>
      <c r="K24"/>
      <c r="L24"/>
      <c r="M24"/>
      <c r="N24">
        <v>72</v>
      </c>
      <c r="O24">
        <v>4</v>
      </c>
      <c r="P24">
        <v>20</v>
      </c>
      <c r="Q24" s="33" t="s">
        <v>36</v>
      </c>
      <c r="R24">
        <v>18.701000000000001</v>
      </c>
      <c r="S24"/>
      <c r="T24">
        <v>4.6289999999999996</v>
      </c>
      <c r="U24">
        <v>75.474999999999994</v>
      </c>
      <c r="V24">
        <v>69.542000000000002</v>
      </c>
      <c r="W24">
        <v>375.61099999999999</v>
      </c>
      <c r="X24"/>
      <c r="Y24"/>
      <c r="Z24"/>
      <c r="AA24">
        <v>14.592000000000001</v>
      </c>
      <c r="AB24">
        <v>1.9770000000000001</v>
      </c>
      <c r="AC24">
        <v>52.802</v>
      </c>
      <c r="AD24" s="32">
        <f t="shared" si="0"/>
        <v>613.32899999999995</v>
      </c>
    </row>
    <row r="25" spans="1:30" ht="15" customHeight="1">
      <c r="A25" s="7">
        <v>18</v>
      </c>
      <c r="B25" s="23" t="s">
        <v>55</v>
      </c>
      <c r="C25" s="31" t="s">
        <v>39</v>
      </c>
      <c r="D25" s="32">
        <f t="shared" si="1"/>
        <v>862</v>
      </c>
      <c r="E25"/>
      <c r="F25">
        <v>181</v>
      </c>
      <c r="G25">
        <v>17</v>
      </c>
      <c r="H25">
        <v>121</v>
      </c>
      <c r="I25">
        <v>74</v>
      </c>
      <c r="J25">
        <v>144</v>
      </c>
      <c r="K25"/>
      <c r="L25"/>
      <c r="M25">
        <v>99</v>
      </c>
      <c r="N25">
        <v>94</v>
      </c>
      <c r="O25">
        <v>67</v>
      </c>
      <c r="P25">
        <v>65</v>
      </c>
      <c r="Q25" s="33" t="s">
        <v>36</v>
      </c>
      <c r="R25"/>
      <c r="S25">
        <v>33.344000000000001</v>
      </c>
      <c r="T25">
        <v>3.496</v>
      </c>
      <c r="U25">
        <v>40.210999999999999</v>
      </c>
      <c r="V25">
        <v>111.001</v>
      </c>
      <c r="W25">
        <v>739.49900000000002</v>
      </c>
      <c r="X25"/>
      <c r="Y25"/>
      <c r="Z25">
        <v>6.7830000000000004</v>
      </c>
      <c r="AA25">
        <v>11.151</v>
      </c>
      <c r="AB25">
        <v>14.823</v>
      </c>
      <c r="AC25">
        <v>102.18899999999999</v>
      </c>
      <c r="AD25" s="32">
        <f t="shared" si="0"/>
        <v>1062.4970000000001</v>
      </c>
    </row>
    <row r="26" spans="1:30" ht="15" customHeight="1">
      <c r="A26" s="7">
        <v>19</v>
      </c>
      <c r="B26" s="23" t="s">
        <v>56</v>
      </c>
      <c r="C26" s="31" t="s">
        <v>45</v>
      </c>
      <c r="D26" s="32">
        <f t="shared" si="1"/>
        <v>2076</v>
      </c>
      <c r="E26"/>
      <c r="F26">
        <v>99</v>
      </c>
      <c r="G26">
        <v>61</v>
      </c>
      <c r="H26">
        <v>31</v>
      </c>
      <c r="I26">
        <v>28</v>
      </c>
      <c r="J26">
        <v>40</v>
      </c>
      <c r="K26">
        <v>836</v>
      </c>
      <c r="L26">
        <v>25</v>
      </c>
      <c r="M26">
        <v>330</v>
      </c>
      <c r="N26">
        <v>382</v>
      </c>
      <c r="O26">
        <v>123</v>
      </c>
      <c r="P26">
        <v>121</v>
      </c>
      <c r="Q26" s="33" t="s">
        <v>36</v>
      </c>
      <c r="R26"/>
      <c r="S26">
        <v>10.201000000000001</v>
      </c>
      <c r="T26">
        <v>10.016</v>
      </c>
      <c r="U26">
        <v>24.882999999999999</v>
      </c>
      <c r="V26">
        <v>33.369999999999997</v>
      </c>
      <c r="W26">
        <v>180.24100000000001</v>
      </c>
      <c r="X26">
        <v>9.5340000000000007</v>
      </c>
      <c r="Y26">
        <v>0.69799999999999995</v>
      </c>
      <c r="Z26">
        <v>18.052</v>
      </c>
      <c r="AA26">
        <v>34.776000000000003</v>
      </c>
      <c r="AB26">
        <v>41.706000000000003</v>
      </c>
      <c r="AC26">
        <v>245.19200000000001</v>
      </c>
      <c r="AD26" s="32">
        <f t="shared" si="0"/>
        <v>608.6690000000001</v>
      </c>
    </row>
    <row r="27" spans="1:30" ht="15" customHeight="1">
      <c r="A27" s="7">
        <v>20</v>
      </c>
      <c r="B27" s="23" t="s">
        <v>57</v>
      </c>
      <c r="C27" s="31" t="s">
        <v>35</v>
      </c>
      <c r="D27" s="32">
        <f t="shared" si="1"/>
        <v>150</v>
      </c>
      <c r="E27"/>
      <c r="F27"/>
      <c r="G27">
        <v>83</v>
      </c>
      <c r="H27">
        <v>26</v>
      </c>
      <c r="I27">
        <v>18</v>
      </c>
      <c r="J27">
        <v>23</v>
      </c>
      <c r="K27"/>
      <c r="L27"/>
      <c r="M27"/>
      <c r="N27"/>
      <c r="O27"/>
      <c r="P27"/>
      <c r="Q27" s="33" t="s">
        <v>36</v>
      </c>
      <c r="R27"/>
      <c r="S27"/>
      <c r="T27">
        <v>43.052999999999997</v>
      </c>
      <c r="U27">
        <v>24.263000000000002</v>
      </c>
      <c r="V27">
        <v>66.784999999999997</v>
      </c>
      <c r="W27">
        <v>214.96899999999999</v>
      </c>
      <c r="X27"/>
      <c r="Y27"/>
      <c r="Z27"/>
      <c r="AA27"/>
      <c r="AB27"/>
      <c r="AC27"/>
      <c r="AD27" s="32">
        <f t="shared" si="0"/>
        <v>349.07</v>
      </c>
    </row>
    <row r="28" spans="1:30" ht="15" customHeight="1">
      <c r="A28" s="7">
        <v>21</v>
      </c>
      <c r="B28" s="23" t="s">
        <v>58</v>
      </c>
      <c r="C28" s="31" t="s">
        <v>35</v>
      </c>
      <c r="D28" s="32">
        <f t="shared" si="1"/>
        <v>693</v>
      </c>
      <c r="E28">
        <v>434</v>
      </c>
      <c r="F28"/>
      <c r="G28">
        <v>68</v>
      </c>
      <c r="H28">
        <v>141</v>
      </c>
      <c r="I28">
        <v>26</v>
      </c>
      <c r="J28">
        <v>24</v>
      </c>
      <c r="K28"/>
      <c r="L28"/>
      <c r="M28"/>
      <c r="N28"/>
      <c r="O28"/>
      <c r="P28"/>
      <c r="Q28" s="33" t="s">
        <v>36</v>
      </c>
      <c r="R28">
        <v>14.625</v>
      </c>
      <c r="S28"/>
      <c r="T28">
        <v>7.6820000000000004</v>
      </c>
      <c r="U28">
        <v>40.133000000000003</v>
      </c>
      <c r="V28">
        <v>50.372999999999998</v>
      </c>
      <c r="W28">
        <v>146.143</v>
      </c>
      <c r="X28"/>
      <c r="Y28"/>
      <c r="Z28"/>
      <c r="AA28"/>
      <c r="AB28"/>
      <c r="AC28"/>
      <c r="AD28" s="32">
        <f t="shared" si="0"/>
        <v>258.95600000000002</v>
      </c>
    </row>
    <row r="29" spans="1:30" ht="15" customHeight="1">
      <c r="A29" s="7">
        <v>22</v>
      </c>
      <c r="B29" s="23" t="s">
        <v>59</v>
      </c>
      <c r="C29" s="31" t="s">
        <v>35</v>
      </c>
      <c r="D29" s="32">
        <f t="shared" si="1"/>
        <v>1076</v>
      </c>
      <c r="E29">
        <v>507</v>
      </c>
      <c r="F29">
        <v>65</v>
      </c>
      <c r="G29">
        <v>60</v>
      </c>
      <c r="H29">
        <v>208</v>
      </c>
      <c r="I29">
        <v>74</v>
      </c>
      <c r="J29">
        <v>162</v>
      </c>
      <c r="K29"/>
      <c r="L29"/>
      <c r="M29"/>
      <c r="N29"/>
      <c r="O29"/>
      <c r="P29"/>
      <c r="Q29" s="33" t="s">
        <v>36</v>
      </c>
      <c r="R29">
        <v>32.146999999999998</v>
      </c>
      <c r="S29">
        <v>18.768999999999998</v>
      </c>
      <c r="T29">
        <v>12.055999999999999</v>
      </c>
      <c r="U29">
        <v>69.427999999999997</v>
      </c>
      <c r="V29">
        <v>90.253</v>
      </c>
      <c r="W29">
        <v>735.54</v>
      </c>
      <c r="X29"/>
      <c r="Y29"/>
      <c r="Z29"/>
      <c r="AA29"/>
      <c r="AB29"/>
      <c r="AC29"/>
      <c r="AD29" s="32">
        <f t="shared" si="0"/>
        <v>958.19299999999998</v>
      </c>
    </row>
    <row r="30" spans="1:30" ht="15" customHeight="1">
      <c r="A30" s="7">
        <v>23</v>
      </c>
      <c r="B30" s="23" t="s">
        <v>60</v>
      </c>
      <c r="C30" s="31" t="s">
        <v>35</v>
      </c>
      <c r="D30" s="32">
        <f t="shared" si="1"/>
        <v>383</v>
      </c>
      <c r="E30"/>
      <c r="F30">
        <v>115</v>
      </c>
      <c r="G30"/>
      <c r="H30">
        <v>103</v>
      </c>
      <c r="I30">
        <v>57</v>
      </c>
      <c r="J30">
        <v>108</v>
      </c>
      <c r="K30"/>
      <c r="L30"/>
      <c r="M30"/>
      <c r="N30"/>
      <c r="O30"/>
      <c r="P30"/>
      <c r="Q30" s="33" t="s">
        <v>36</v>
      </c>
      <c r="R30"/>
      <c r="S30">
        <v>23.715</v>
      </c>
      <c r="T30"/>
      <c r="U30">
        <v>70.748000000000005</v>
      </c>
      <c r="V30">
        <v>90.105000000000004</v>
      </c>
      <c r="W30">
        <v>575.596</v>
      </c>
      <c r="X30"/>
      <c r="Y30"/>
      <c r="Z30"/>
      <c r="AA30"/>
      <c r="AB30"/>
      <c r="AC30"/>
      <c r="AD30" s="32">
        <f t="shared" si="0"/>
        <v>760.16399999999999</v>
      </c>
    </row>
    <row r="31" spans="1:30" ht="15" customHeight="1">
      <c r="A31" s="7">
        <v>24</v>
      </c>
      <c r="B31" s="23" t="s">
        <v>61</v>
      </c>
      <c r="C31" s="31" t="s">
        <v>62</v>
      </c>
      <c r="D31" s="32">
        <f t="shared" si="1"/>
        <v>2329</v>
      </c>
      <c r="E31">
        <v>587</v>
      </c>
      <c r="F31">
        <v>333</v>
      </c>
      <c r="G31">
        <v>18</v>
      </c>
      <c r="H31">
        <v>169</v>
      </c>
      <c r="I31">
        <v>80</v>
      </c>
      <c r="J31">
        <v>108</v>
      </c>
      <c r="K31"/>
      <c r="L31">
        <v>86</v>
      </c>
      <c r="M31">
        <v>469</v>
      </c>
      <c r="N31">
        <v>222</v>
      </c>
      <c r="O31">
        <v>81</v>
      </c>
      <c r="P31">
        <v>176</v>
      </c>
      <c r="Q31" s="33" t="s">
        <v>36</v>
      </c>
      <c r="R31">
        <v>23.542999999999999</v>
      </c>
      <c r="S31">
        <v>39.088000000000001</v>
      </c>
      <c r="T31">
        <v>6.0209999999999999</v>
      </c>
      <c r="U31">
        <v>100.86199999999999</v>
      </c>
      <c r="V31">
        <v>141.85400000000001</v>
      </c>
      <c r="W31">
        <v>614.27300000000002</v>
      </c>
      <c r="X31"/>
      <c r="Y31">
        <v>6.5220000000000002</v>
      </c>
      <c r="Z31">
        <v>30.651</v>
      </c>
      <c r="AA31">
        <v>34.445999999999998</v>
      </c>
      <c r="AB31">
        <v>19.027999999999999</v>
      </c>
      <c r="AC31">
        <v>283.59899999999999</v>
      </c>
      <c r="AD31" s="32">
        <f t="shared" si="0"/>
        <v>1299.8870000000002</v>
      </c>
    </row>
    <row r="32" spans="1:30" ht="15" customHeight="1">
      <c r="A32" s="7">
        <v>25</v>
      </c>
      <c r="B32" s="23" t="s">
        <v>63</v>
      </c>
      <c r="C32" s="31" t="s">
        <v>39</v>
      </c>
      <c r="D32" s="32">
        <f t="shared" si="1"/>
        <v>1156</v>
      </c>
      <c r="E32">
        <v>384</v>
      </c>
      <c r="F32">
        <v>192</v>
      </c>
      <c r="G32">
        <v>48</v>
      </c>
      <c r="H32">
        <v>112</v>
      </c>
      <c r="I32">
        <v>30</v>
      </c>
      <c r="J32">
        <v>35</v>
      </c>
      <c r="K32">
        <v>84</v>
      </c>
      <c r="L32"/>
      <c r="M32">
        <v>68</v>
      </c>
      <c r="N32">
        <v>123</v>
      </c>
      <c r="O32">
        <v>29</v>
      </c>
      <c r="P32">
        <v>51</v>
      </c>
      <c r="Q32" s="33" t="s">
        <v>36</v>
      </c>
      <c r="R32">
        <v>12.768000000000001</v>
      </c>
      <c r="S32">
        <v>17.803000000000001</v>
      </c>
      <c r="T32">
        <v>8.9890000000000008</v>
      </c>
      <c r="U32">
        <v>52.673999999999999</v>
      </c>
      <c r="V32">
        <v>50.69</v>
      </c>
      <c r="W32">
        <v>192.03100000000001</v>
      </c>
      <c r="X32">
        <v>2.012</v>
      </c>
      <c r="Y32"/>
      <c r="Z32">
        <v>3.2730000000000001</v>
      </c>
      <c r="AA32">
        <v>14.984999999999999</v>
      </c>
      <c r="AB32">
        <v>9.5419999999999998</v>
      </c>
      <c r="AC32">
        <v>100.845</v>
      </c>
      <c r="AD32" s="32">
        <f t="shared" si="0"/>
        <v>465.61200000000008</v>
      </c>
    </row>
    <row r="33" spans="1:30" ht="15" customHeight="1">
      <c r="A33" s="7">
        <v>26</v>
      </c>
      <c r="B33" s="23" t="s">
        <v>64</v>
      </c>
      <c r="C33" s="31" t="s">
        <v>35</v>
      </c>
      <c r="D33" s="32">
        <f t="shared" si="1"/>
        <v>575</v>
      </c>
      <c r="E33"/>
      <c r="F33">
        <v>160</v>
      </c>
      <c r="G33">
        <v>99</v>
      </c>
      <c r="H33">
        <v>161</v>
      </c>
      <c r="I33">
        <v>52</v>
      </c>
      <c r="J33">
        <v>103</v>
      </c>
      <c r="K33"/>
      <c r="L33"/>
      <c r="M33"/>
      <c r="N33"/>
      <c r="O33"/>
      <c r="P33"/>
      <c r="Q33" s="33" t="s">
        <v>36</v>
      </c>
      <c r="R33"/>
      <c r="S33">
        <v>25.335999999999999</v>
      </c>
      <c r="T33">
        <v>16.096</v>
      </c>
      <c r="U33">
        <v>102.354</v>
      </c>
      <c r="V33">
        <v>79.064999999999998</v>
      </c>
      <c r="W33">
        <v>533.15</v>
      </c>
      <c r="X33"/>
      <c r="Y33"/>
      <c r="Z33"/>
      <c r="AA33"/>
      <c r="AB33"/>
      <c r="AC33"/>
      <c r="AD33" s="32">
        <f t="shared" si="0"/>
        <v>756.00099999999998</v>
      </c>
    </row>
    <row r="34" spans="1:30" ht="15" customHeight="1">
      <c r="A34" s="7">
        <v>27</v>
      </c>
      <c r="B34" s="23" t="s">
        <v>65</v>
      </c>
      <c r="C34" s="31" t="s">
        <v>35</v>
      </c>
      <c r="D34" s="32">
        <f t="shared" si="1"/>
        <v>285</v>
      </c>
      <c r="E34"/>
      <c r="F34">
        <v>60</v>
      </c>
      <c r="G34">
        <v>51</v>
      </c>
      <c r="H34">
        <v>68</v>
      </c>
      <c r="I34">
        <v>54</v>
      </c>
      <c r="J34">
        <v>52</v>
      </c>
      <c r="K34"/>
      <c r="L34"/>
      <c r="M34"/>
      <c r="N34"/>
      <c r="O34"/>
      <c r="P34"/>
      <c r="Q34" s="33" t="s">
        <v>36</v>
      </c>
      <c r="R34"/>
      <c r="S34">
        <v>21.585999999999999</v>
      </c>
      <c r="T34">
        <v>12.816000000000001</v>
      </c>
      <c r="U34">
        <v>12.64</v>
      </c>
      <c r="V34">
        <v>80.825999999999993</v>
      </c>
      <c r="W34">
        <v>267.86599999999999</v>
      </c>
      <c r="X34"/>
      <c r="Y34"/>
      <c r="Z34"/>
      <c r="AA34"/>
      <c r="AB34"/>
      <c r="AC34"/>
      <c r="AD34" s="32">
        <f t="shared" si="0"/>
        <v>395.73399999999998</v>
      </c>
    </row>
    <row r="35" spans="1:30" ht="15" customHeight="1">
      <c r="A35" s="7">
        <v>28</v>
      </c>
      <c r="B35" s="23" t="s">
        <v>66</v>
      </c>
      <c r="C35" s="31" t="s">
        <v>35</v>
      </c>
      <c r="D35" s="32">
        <f t="shared" si="1"/>
        <v>221</v>
      </c>
      <c r="E35"/>
      <c r="F35"/>
      <c r="G35">
        <v>111</v>
      </c>
      <c r="H35">
        <v>19</v>
      </c>
      <c r="I35">
        <v>35</v>
      </c>
      <c r="J35">
        <v>56</v>
      </c>
      <c r="K35"/>
      <c r="L35"/>
      <c r="M35"/>
      <c r="N35"/>
      <c r="O35"/>
      <c r="P35"/>
      <c r="Q35" s="33" t="s">
        <v>36</v>
      </c>
      <c r="R35"/>
      <c r="S35"/>
      <c r="T35">
        <v>30.512</v>
      </c>
      <c r="U35">
        <v>28.303000000000001</v>
      </c>
      <c r="V35">
        <v>90.950999999999993</v>
      </c>
      <c r="W35">
        <v>412.17200000000003</v>
      </c>
      <c r="X35"/>
      <c r="Y35"/>
      <c r="Z35"/>
      <c r="AA35"/>
      <c r="AB35"/>
      <c r="AC35"/>
      <c r="AD35" s="32">
        <f t="shared" si="0"/>
        <v>561.93799999999999</v>
      </c>
    </row>
    <row r="36" spans="1:30" ht="15" customHeight="1">
      <c r="A36" s="7">
        <v>29</v>
      </c>
      <c r="B36" s="23" t="s">
        <v>67</v>
      </c>
      <c r="C36" s="31" t="s">
        <v>35</v>
      </c>
      <c r="D36" s="32">
        <f t="shared" si="1"/>
        <v>207</v>
      </c>
      <c r="E36"/>
      <c r="F36"/>
      <c r="G36">
        <v>140</v>
      </c>
      <c r="H36"/>
      <c r="I36">
        <v>26</v>
      </c>
      <c r="J36">
        <v>41</v>
      </c>
      <c r="K36"/>
      <c r="L36"/>
      <c r="M36"/>
      <c r="N36"/>
      <c r="O36"/>
      <c r="P36"/>
      <c r="Q36" s="33" t="s">
        <v>36</v>
      </c>
      <c r="R36"/>
      <c r="S36"/>
      <c r="T36">
        <v>48.322000000000003</v>
      </c>
      <c r="U36"/>
      <c r="V36">
        <v>84.076999999999998</v>
      </c>
      <c r="W36">
        <v>343.86900000000003</v>
      </c>
      <c r="X36"/>
      <c r="Y36"/>
      <c r="Z36"/>
      <c r="AA36"/>
      <c r="AB36"/>
      <c r="AC36"/>
      <c r="AD36" s="32">
        <f t="shared" si="0"/>
        <v>476.26800000000003</v>
      </c>
    </row>
    <row r="37" spans="1:30" ht="15" customHeight="1">
      <c r="A37" s="7">
        <v>30</v>
      </c>
      <c r="B37" s="23" t="s">
        <v>68</v>
      </c>
      <c r="C37" s="31" t="s">
        <v>45</v>
      </c>
      <c r="D37" s="32">
        <f t="shared" si="1"/>
        <v>2159</v>
      </c>
      <c r="E37"/>
      <c r="F37">
        <v>206</v>
      </c>
      <c r="G37">
        <v>161</v>
      </c>
      <c r="H37">
        <v>222</v>
      </c>
      <c r="I37">
        <v>68</v>
      </c>
      <c r="J37">
        <v>126</v>
      </c>
      <c r="K37"/>
      <c r="L37">
        <v>255</v>
      </c>
      <c r="M37">
        <v>318</v>
      </c>
      <c r="N37">
        <v>429</v>
      </c>
      <c r="O37">
        <v>188</v>
      </c>
      <c r="P37">
        <v>186</v>
      </c>
      <c r="Q37" s="33" t="s">
        <v>36</v>
      </c>
      <c r="R37"/>
      <c r="S37">
        <v>24.079000000000001</v>
      </c>
      <c r="T37">
        <v>25.085999999999999</v>
      </c>
      <c r="U37">
        <v>53.798000000000002</v>
      </c>
      <c r="V37">
        <v>78.896000000000001</v>
      </c>
      <c r="W37">
        <v>552.46400000000006</v>
      </c>
      <c r="X37"/>
      <c r="Y37">
        <v>10.212</v>
      </c>
      <c r="Z37">
        <v>18.658999999999999</v>
      </c>
      <c r="AA37">
        <v>45.174999999999997</v>
      </c>
      <c r="AB37">
        <v>44.875999999999998</v>
      </c>
      <c r="AC37">
        <v>303.46499999999997</v>
      </c>
      <c r="AD37" s="32">
        <f t="shared" si="0"/>
        <v>1156.71</v>
      </c>
    </row>
    <row r="38" spans="1:30" ht="15" customHeight="1">
      <c r="A38" s="7">
        <v>31</v>
      </c>
      <c r="B38" s="23" t="s">
        <v>69</v>
      </c>
      <c r="C38" s="31" t="s">
        <v>35</v>
      </c>
      <c r="D38" s="32">
        <f t="shared" si="1"/>
        <v>360</v>
      </c>
      <c r="E38">
        <v>101</v>
      </c>
      <c r="F38"/>
      <c r="G38">
        <v>99</v>
      </c>
      <c r="H38">
        <v>73</v>
      </c>
      <c r="I38">
        <v>31</v>
      </c>
      <c r="J38">
        <v>56</v>
      </c>
      <c r="K38"/>
      <c r="L38"/>
      <c r="M38"/>
      <c r="N38"/>
      <c r="O38"/>
      <c r="P38"/>
      <c r="Q38" s="33" t="s">
        <v>36</v>
      </c>
      <c r="R38">
        <v>2.6280000000000001</v>
      </c>
      <c r="S38"/>
      <c r="T38">
        <v>19.925000000000001</v>
      </c>
      <c r="U38">
        <v>58.59</v>
      </c>
      <c r="V38">
        <v>55.53</v>
      </c>
      <c r="W38">
        <v>323.88299999999998</v>
      </c>
      <c r="X38"/>
      <c r="Y38"/>
      <c r="Z38"/>
      <c r="AA38"/>
      <c r="AB38"/>
      <c r="AC38"/>
      <c r="AD38" s="32">
        <f t="shared" si="0"/>
        <v>460.55599999999998</v>
      </c>
    </row>
    <row r="39" spans="1:30" ht="15" customHeight="1">
      <c r="A39" s="7">
        <v>32</v>
      </c>
      <c r="B39" s="23" t="s">
        <v>70</v>
      </c>
      <c r="C39" s="31" t="s">
        <v>35</v>
      </c>
      <c r="D39" s="32">
        <f t="shared" si="1"/>
        <v>128</v>
      </c>
      <c r="E39"/>
      <c r="F39"/>
      <c r="G39">
        <v>45</v>
      </c>
      <c r="H39">
        <v>16</v>
      </c>
      <c r="I39">
        <v>22</v>
      </c>
      <c r="J39">
        <v>45</v>
      </c>
      <c r="K39"/>
      <c r="L39"/>
      <c r="M39"/>
      <c r="N39"/>
      <c r="O39"/>
      <c r="P39"/>
      <c r="Q39" s="33" t="s">
        <v>36</v>
      </c>
      <c r="R39"/>
      <c r="S39"/>
      <c r="T39">
        <v>18.48</v>
      </c>
      <c r="U39">
        <v>24.812000000000001</v>
      </c>
      <c r="V39">
        <v>65.756</v>
      </c>
      <c r="W39">
        <v>356.82299999999998</v>
      </c>
      <c r="X39"/>
      <c r="Y39"/>
      <c r="Z39"/>
      <c r="AA39"/>
      <c r="AB39"/>
      <c r="AC39"/>
      <c r="AD39" s="32">
        <f t="shared" si="0"/>
        <v>465.87099999999998</v>
      </c>
    </row>
    <row r="40" spans="1:30" ht="15" customHeight="1">
      <c r="A40" s="7">
        <v>33</v>
      </c>
      <c r="B40" s="23" t="s">
        <v>71</v>
      </c>
      <c r="C40" s="31" t="s">
        <v>35</v>
      </c>
      <c r="D40" s="32">
        <f t="shared" si="1"/>
        <v>320</v>
      </c>
      <c r="E40"/>
      <c r="F40"/>
      <c r="G40">
        <v>97</v>
      </c>
      <c r="H40">
        <v>104</v>
      </c>
      <c r="I40">
        <v>55</v>
      </c>
      <c r="J40">
        <v>64</v>
      </c>
      <c r="K40"/>
      <c r="L40"/>
      <c r="M40"/>
      <c r="N40"/>
      <c r="O40"/>
      <c r="P40"/>
      <c r="Q40" s="33" t="s">
        <v>36</v>
      </c>
      <c r="R40"/>
      <c r="S40"/>
      <c r="T40">
        <v>9.48</v>
      </c>
      <c r="U40">
        <v>52.154000000000003</v>
      </c>
      <c r="V40">
        <v>70.155000000000001</v>
      </c>
      <c r="W40">
        <v>298.745</v>
      </c>
      <c r="X40"/>
      <c r="Y40"/>
      <c r="Z40"/>
      <c r="AA40"/>
      <c r="AB40"/>
      <c r="AC40"/>
      <c r="AD40" s="32">
        <f t="shared" si="0"/>
        <v>430.53399999999999</v>
      </c>
    </row>
    <row r="41" spans="1:30" ht="15" customHeight="1">
      <c r="A41" s="7">
        <v>34</v>
      </c>
      <c r="B41" s="23" t="s">
        <v>72</v>
      </c>
      <c r="C41" s="31" t="s">
        <v>73</v>
      </c>
      <c r="D41" s="32">
        <f t="shared" si="1"/>
        <v>7490</v>
      </c>
      <c r="E41">
        <v>1369</v>
      </c>
      <c r="F41">
        <v>217</v>
      </c>
      <c r="G41">
        <v>175</v>
      </c>
      <c r="H41">
        <v>164</v>
      </c>
      <c r="I41">
        <v>78</v>
      </c>
      <c r="J41">
        <v>58</v>
      </c>
      <c r="K41">
        <v>554</v>
      </c>
      <c r="L41">
        <v>881</v>
      </c>
      <c r="M41">
        <v>2109</v>
      </c>
      <c r="N41">
        <v>796</v>
      </c>
      <c r="O41">
        <v>516</v>
      </c>
      <c r="P41">
        <v>573</v>
      </c>
      <c r="Q41" s="33" t="s">
        <v>36</v>
      </c>
      <c r="R41">
        <v>28.245000000000001</v>
      </c>
      <c r="S41">
        <v>10.398999999999999</v>
      </c>
      <c r="T41">
        <v>14.817</v>
      </c>
      <c r="U41">
        <v>55.23</v>
      </c>
      <c r="V41">
        <v>50.828000000000003</v>
      </c>
      <c r="W41">
        <v>177.23699999999999</v>
      </c>
      <c r="X41">
        <v>7.016</v>
      </c>
      <c r="Y41">
        <v>13.763999999999999</v>
      </c>
      <c r="Z41">
        <v>68.506</v>
      </c>
      <c r="AA41">
        <v>62.37</v>
      </c>
      <c r="AB41">
        <v>86.454999999999998</v>
      </c>
      <c r="AC41">
        <v>749.01499999999999</v>
      </c>
      <c r="AD41" s="32">
        <f t="shared" si="0"/>
        <v>1323.8820000000001</v>
      </c>
    </row>
    <row r="42" spans="1:30" ht="15" customHeight="1">
      <c r="A42" s="7">
        <v>35</v>
      </c>
      <c r="B42" s="23" t="s">
        <v>74</v>
      </c>
      <c r="C42" s="31" t="s">
        <v>35</v>
      </c>
      <c r="D42" s="32">
        <f t="shared" si="1"/>
        <v>365</v>
      </c>
      <c r="E42"/>
      <c r="F42">
        <v>16</v>
      </c>
      <c r="G42">
        <v>141</v>
      </c>
      <c r="H42">
        <v>90</v>
      </c>
      <c r="I42">
        <v>48</v>
      </c>
      <c r="J42">
        <v>70</v>
      </c>
      <c r="K42"/>
      <c r="L42"/>
      <c r="M42"/>
      <c r="N42"/>
      <c r="O42"/>
      <c r="P42"/>
      <c r="Q42" s="33" t="s">
        <v>36</v>
      </c>
      <c r="R42"/>
      <c r="S42">
        <v>5.423</v>
      </c>
      <c r="T42">
        <v>34.582000000000001</v>
      </c>
      <c r="U42">
        <v>45.72</v>
      </c>
      <c r="V42">
        <v>80.545000000000002</v>
      </c>
      <c r="W42">
        <v>388.84199999999998</v>
      </c>
      <c r="X42"/>
      <c r="Y42"/>
      <c r="Z42"/>
      <c r="AA42"/>
      <c r="AB42"/>
      <c r="AC42"/>
      <c r="AD42" s="32">
        <f t="shared" si="0"/>
        <v>555.11199999999997</v>
      </c>
    </row>
    <row r="43" spans="1:30" ht="15" customHeight="1">
      <c r="A43" s="7">
        <v>36</v>
      </c>
      <c r="B43" s="23" t="s">
        <v>75</v>
      </c>
      <c r="C43" s="31" t="s">
        <v>35</v>
      </c>
      <c r="D43" s="32">
        <f t="shared" si="1"/>
        <v>1255</v>
      </c>
      <c r="E43"/>
      <c r="F43">
        <v>648</v>
      </c>
      <c r="G43">
        <v>85</v>
      </c>
      <c r="H43">
        <v>294</v>
      </c>
      <c r="I43">
        <v>106</v>
      </c>
      <c r="J43">
        <v>122</v>
      </c>
      <c r="K43"/>
      <c r="L43"/>
      <c r="M43"/>
      <c r="N43"/>
      <c r="O43"/>
      <c r="P43"/>
      <c r="Q43" s="33" t="s">
        <v>36</v>
      </c>
      <c r="R43"/>
      <c r="S43">
        <v>47.793999999999997</v>
      </c>
      <c r="T43">
        <v>11.391999999999999</v>
      </c>
      <c r="U43">
        <v>107.556</v>
      </c>
      <c r="V43">
        <v>115.514</v>
      </c>
      <c r="W43">
        <v>516.05600000000004</v>
      </c>
      <c r="X43"/>
      <c r="Y43"/>
      <c r="Z43"/>
      <c r="AA43"/>
      <c r="AB43"/>
      <c r="AC43"/>
      <c r="AD43" s="32">
        <f t="shared" si="0"/>
        <v>798.31200000000001</v>
      </c>
    </row>
    <row r="44" spans="1:30" ht="15" customHeight="1">
      <c r="A44" s="7">
        <v>37</v>
      </c>
      <c r="B44" s="23" t="s">
        <v>76</v>
      </c>
      <c r="C44" s="31" t="s">
        <v>39</v>
      </c>
      <c r="D44" s="32">
        <f t="shared" si="1"/>
        <v>1513</v>
      </c>
      <c r="E44">
        <v>551</v>
      </c>
      <c r="F44">
        <v>103</v>
      </c>
      <c r="G44">
        <v>132</v>
      </c>
      <c r="H44"/>
      <c r="I44">
        <v>58</v>
      </c>
      <c r="J44">
        <v>38</v>
      </c>
      <c r="K44"/>
      <c r="L44"/>
      <c r="M44">
        <v>327</v>
      </c>
      <c r="N44">
        <v>160</v>
      </c>
      <c r="O44">
        <v>61</v>
      </c>
      <c r="P44">
        <v>83</v>
      </c>
      <c r="Q44" s="33" t="s">
        <v>36</v>
      </c>
      <c r="R44">
        <v>13.128</v>
      </c>
      <c r="S44">
        <v>5.1550000000000002</v>
      </c>
      <c r="T44">
        <v>35.811</v>
      </c>
      <c r="U44">
        <v>0.184</v>
      </c>
      <c r="V44">
        <v>80.397999999999996</v>
      </c>
      <c r="W44">
        <v>188.28299999999999</v>
      </c>
      <c r="X44"/>
      <c r="Y44"/>
      <c r="Z44">
        <v>15.837999999999999</v>
      </c>
      <c r="AA44">
        <v>16.719000000000001</v>
      </c>
      <c r="AB44">
        <v>17.591999999999999</v>
      </c>
      <c r="AC44">
        <v>151.506</v>
      </c>
      <c r="AD44" s="32">
        <f t="shared" si="0"/>
        <v>524.61399999999992</v>
      </c>
    </row>
    <row r="45" spans="1:30" ht="15" customHeight="1">
      <c r="A45" s="7">
        <v>38</v>
      </c>
      <c r="B45" s="23" t="s">
        <v>77</v>
      </c>
      <c r="C45" s="31" t="s">
        <v>35</v>
      </c>
      <c r="D45" s="32">
        <f t="shared" si="1"/>
        <v>193</v>
      </c>
      <c r="E45"/>
      <c r="F45">
        <v>23</v>
      </c>
      <c r="G45">
        <v>41</v>
      </c>
      <c r="H45">
        <v>68</v>
      </c>
      <c r="I45">
        <v>25</v>
      </c>
      <c r="J45">
        <v>36</v>
      </c>
      <c r="K45"/>
      <c r="L45"/>
      <c r="M45"/>
      <c r="N45"/>
      <c r="O45"/>
      <c r="P45"/>
      <c r="Q45" s="33" t="s">
        <v>36</v>
      </c>
      <c r="R45"/>
      <c r="S45">
        <v>4.024</v>
      </c>
      <c r="T45">
        <v>29.201000000000001</v>
      </c>
      <c r="U45">
        <v>41.118000000000002</v>
      </c>
      <c r="V45">
        <v>55.758000000000003</v>
      </c>
      <c r="W45">
        <v>231.935</v>
      </c>
      <c r="X45"/>
      <c r="Y45"/>
      <c r="Z45"/>
      <c r="AA45"/>
      <c r="AB45"/>
      <c r="AC45"/>
      <c r="AD45" s="32">
        <f t="shared" si="0"/>
        <v>362.036</v>
      </c>
    </row>
    <row r="46" spans="1:30" ht="15" customHeight="1">
      <c r="A46" s="7">
        <v>39</v>
      </c>
      <c r="B46" s="23" t="s">
        <v>78</v>
      </c>
      <c r="C46" s="31" t="s">
        <v>35</v>
      </c>
      <c r="D46" s="32">
        <f t="shared" si="1"/>
        <v>738</v>
      </c>
      <c r="E46">
        <v>540</v>
      </c>
      <c r="F46"/>
      <c r="G46">
        <v>30</v>
      </c>
      <c r="H46">
        <v>120</v>
      </c>
      <c r="I46">
        <v>31</v>
      </c>
      <c r="J46">
        <v>17</v>
      </c>
      <c r="K46"/>
      <c r="L46"/>
      <c r="M46"/>
      <c r="N46"/>
      <c r="O46"/>
      <c r="P46"/>
      <c r="Q46" s="33" t="s">
        <v>36</v>
      </c>
      <c r="R46">
        <v>16.457000000000001</v>
      </c>
      <c r="S46"/>
      <c r="T46">
        <v>11.342000000000001</v>
      </c>
      <c r="U46">
        <v>27.478999999999999</v>
      </c>
      <c r="V46">
        <v>49.082000000000001</v>
      </c>
      <c r="W46">
        <v>90.117999999999995</v>
      </c>
      <c r="X46"/>
      <c r="Y46"/>
      <c r="Z46"/>
      <c r="AA46"/>
      <c r="AB46"/>
      <c r="AC46"/>
      <c r="AD46" s="32">
        <f t="shared" si="0"/>
        <v>194.47800000000001</v>
      </c>
    </row>
    <row r="47" spans="1:30" ht="15" customHeight="1">
      <c r="A47" s="7">
        <v>40</v>
      </c>
      <c r="B47" s="23" t="s">
        <v>79</v>
      </c>
      <c r="C47" s="31" t="s">
        <v>35</v>
      </c>
      <c r="D47" s="32">
        <f t="shared" si="1"/>
        <v>413</v>
      </c>
      <c r="E47"/>
      <c r="F47">
        <v>203</v>
      </c>
      <c r="G47">
        <v>97</v>
      </c>
      <c r="H47">
        <v>26</v>
      </c>
      <c r="I47">
        <v>37</v>
      </c>
      <c r="J47">
        <v>50</v>
      </c>
      <c r="K47"/>
      <c r="L47"/>
      <c r="M47"/>
      <c r="N47"/>
      <c r="O47"/>
      <c r="P47"/>
      <c r="Q47" s="33" t="s">
        <v>36</v>
      </c>
      <c r="R47"/>
      <c r="S47">
        <v>16.690999999999999</v>
      </c>
      <c r="T47">
        <v>29.425999999999998</v>
      </c>
      <c r="U47">
        <v>14.528</v>
      </c>
      <c r="V47">
        <v>60.838000000000001</v>
      </c>
      <c r="W47">
        <v>272.99599999999998</v>
      </c>
      <c r="X47"/>
      <c r="Y47"/>
      <c r="Z47"/>
      <c r="AA47"/>
      <c r="AB47"/>
      <c r="AC47"/>
      <c r="AD47" s="32">
        <f t="shared" si="0"/>
        <v>394.47899999999998</v>
      </c>
    </row>
    <row r="48" spans="1:30" ht="15" customHeight="1">
      <c r="A48" s="7">
        <v>41</v>
      </c>
      <c r="B48" s="23" t="s">
        <v>80</v>
      </c>
      <c r="C48" s="31" t="s">
        <v>35</v>
      </c>
      <c r="D48" s="32">
        <f t="shared" si="1"/>
        <v>1267</v>
      </c>
      <c r="E48">
        <v>930</v>
      </c>
      <c r="F48"/>
      <c r="G48">
        <v>101</v>
      </c>
      <c r="H48">
        <v>96</v>
      </c>
      <c r="I48">
        <v>66</v>
      </c>
      <c r="J48">
        <v>74</v>
      </c>
      <c r="K48"/>
      <c r="L48"/>
      <c r="M48"/>
      <c r="N48"/>
      <c r="O48"/>
      <c r="P48"/>
      <c r="Q48" s="33" t="s">
        <v>36</v>
      </c>
      <c r="R48">
        <v>23.024000000000001</v>
      </c>
      <c r="S48"/>
      <c r="T48">
        <v>32.198</v>
      </c>
      <c r="U48">
        <v>34.420999999999999</v>
      </c>
      <c r="V48">
        <v>71.173000000000002</v>
      </c>
      <c r="W48">
        <v>307.01</v>
      </c>
      <c r="X48"/>
      <c r="Y48"/>
      <c r="Z48"/>
      <c r="AA48"/>
      <c r="AB48"/>
      <c r="AC48"/>
      <c r="AD48" s="32">
        <f t="shared" si="0"/>
        <v>467.82600000000002</v>
      </c>
    </row>
    <row r="49" spans="1:30" ht="15" customHeight="1">
      <c r="A49" s="7">
        <v>42</v>
      </c>
      <c r="B49" s="23" t="s">
        <v>81</v>
      </c>
      <c r="C49" s="31" t="s">
        <v>39</v>
      </c>
      <c r="D49" s="32">
        <f t="shared" si="1"/>
        <v>1122</v>
      </c>
      <c r="E49"/>
      <c r="F49">
        <v>362</v>
      </c>
      <c r="G49">
        <v>26</v>
      </c>
      <c r="H49">
        <v>223</v>
      </c>
      <c r="I49">
        <v>105</v>
      </c>
      <c r="J49">
        <v>131</v>
      </c>
      <c r="K49"/>
      <c r="L49">
        <v>48</v>
      </c>
      <c r="M49">
        <v>66</v>
      </c>
      <c r="N49">
        <v>84</v>
      </c>
      <c r="O49">
        <v>32</v>
      </c>
      <c r="P49">
        <v>45</v>
      </c>
      <c r="Q49" s="33" t="s">
        <v>36</v>
      </c>
      <c r="R49"/>
      <c r="S49">
        <v>42.856000000000002</v>
      </c>
      <c r="T49">
        <v>10.009</v>
      </c>
      <c r="U49">
        <v>129.01900000000001</v>
      </c>
      <c r="V49">
        <v>179.18100000000001</v>
      </c>
      <c r="W49">
        <v>732.58500000000004</v>
      </c>
      <c r="X49"/>
      <c r="Y49">
        <v>3.4420000000000002</v>
      </c>
      <c r="Z49">
        <v>6.6929999999999996</v>
      </c>
      <c r="AA49">
        <v>14.275</v>
      </c>
      <c r="AB49">
        <v>9.0660000000000007</v>
      </c>
      <c r="AC49">
        <v>81.289000000000001</v>
      </c>
      <c r="AD49" s="32">
        <f t="shared" si="0"/>
        <v>1208.4150000000002</v>
      </c>
    </row>
    <row r="50" spans="1:30" ht="15" customHeight="1">
      <c r="A50" s="7">
        <v>43</v>
      </c>
      <c r="B50" s="23" t="s">
        <v>82</v>
      </c>
      <c r="C50" s="31" t="s">
        <v>35</v>
      </c>
      <c r="D50" s="32">
        <f t="shared" si="1"/>
        <v>876</v>
      </c>
      <c r="E50"/>
      <c r="F50">
        <v>312</v>
      </c>
      <c r="G50">
        <v>48</v>
      </c>
      <c r="H50">
        <v>194</v>
      </c>
      <c r="I50">
        <v>57</v>
      </c>
      <c r="J50">
        <v>117</v>
      </c>
      <c r="K50"/>
      <c r="L50"/>
      <c r="M50"/>
      <c r="N50">
        <v>80</v>
      </c>
      <c r="O50">
        <v>39</v>
      </c>
      <c r="P50">
        <v>29</v>
      </c>
      <c r="Q50" s="33" t="s">
        <v>36</v>
      </c>
      <c r="R50"/>
      <c r="S50">
        <v>31.216000000000001</v>
      </c>
      <c r="T50">
        <v>17.667000000000002</v>
      </c>
      <c r="U50">
        <v>113.095</v>
      </c>
      <c r="V50">
        <v>93.808999999999997</v>
      </c>
      <c r="W50">
        <v>639.68299999999999</v>
      </c>
      <c r="X50"/>
      <c r="Y50"/>
      <c r="Z50"/>
      <c r="AA50">
        <v>10.759</v>
      </c>
      <c r="AB50">
        <v>8.7840000000000007</v>
      </c>
      <c r="AC50">
        <v>46.195999999999998</v>
      </c>
      <c r="AD50" s="32">
        <f t="shared" si="0"/>
        <v>961.20900000000006</v>
      </c>
    </row>
    <row r="51" spans="1:30" ht="15" customHeight="1">
      <c r="A51" s="7">
        <v>44</v>
      </c>
      <c r="B51" s="23" t="s">
        <v>83</v>
      </c>
      <c r="C51" s="31" t="s">
        <v>35</v>
      </c>
      <c r="D51" s="32">
        <f t="shared" si="1"/>
        <v>246</v>
      </c>
      <c r="E51"/>
      <c r="F51"/>
      <c r="G51">
        <v>109</v>
      </c>
      <c r="H51">
        <v>52</v>
      </c>
      <c r="I51">
        <v>27</v>
      </c>
      <c r="J51">
        <v>58</v>
      </c>
      <c r="K51"/>
      <c r="L51"/>
      <c r="M51"/>
      <c r="N51"/>
      <c r="O51"/>
      <c r="P51"/>
      <c r="Q51" s="33" t="s">
        <v>36</v>
      </c>
      <c r="R51"/>
      <c r="S51"/>
      <c r="T51">
        <v>31.550999999999998</v>
      </c>
      <c r="U51">
        <v>32.709000000000003</v>
      </c>
      <c r="V51">
        <v>69.540999999999997</v>
      </c>
      <c r="W51">
        <v>423.74299999999999</v>
      </c>
      <c r="X51"/>
      <c r="Y51"/>
      <c r="Z51"/>
      <c r="AA51"/>
      <c r="AB51"/>
      <c r="AC51"/>
      <c r="AD51" s="32">
        <f t="shared" si="0"/>
        <v>557.54399999999998</v>
      </c>
    </row>
    <row r="52" spans="1:30" ht="15" customHeight="1">
      <c r="A52" s="7">
        <v>45</v>
      </c>
      <c r="B52" s="23" t="s">
        <v>84</v>
      </c>
      <c r="C52" s="31" t="s">
        <v>45</v>
      </c>
      <c r="D52" s="32">
        <f t="shared" si="1"/>
        <v>857</v>
      </c>
      <c r="E52"/>
      <c r="F52">
        <v>191</v>
      </c>
      <c r="G52">
        <v>77</v>
      </c>
      <c r="H52">
        <v>89</v>
      </c>
      <c r="I52">
        <v>36</v>
      </c>
      <c r="J52">
        <v>86</v>
      </c>
      <c r="K52"/>
      <c r="L52"/>
      <c r="M52">
        <v>200</v>
      </c>
      <c r="N52">
        <v>80</v>
      </c>
      <c r="O52">
        <v>31</v>
      </c>
      <c r="P52">
        <v>67</v>
      </c>
      <c r="Q52" s="33" t="s">
        <v>36</v>
      </c>
      <c r="R52"/>
      <c r="S52">
        <v>31.503</v>
      </c>
      <c r="T52">
        <v>15.039</v>
      </c>
      <c r="U52">
        <v>59.634999999999998</v>
      </c>
      <c r="V52">
        <v>70.272999999999996</v>
      </c>
      <c r="W52">
        <v>519.73400000000004</v>
      </c>
      <c r="X52"/>
      <c r="Y52"/>
      <c r="Z52">
        <v>11.734</v>
      </c>
      <c r="AA52">
        <v>8.3719999999999999</v>
      </c>
      <c r="AB52">
        <v>11.497999999999999</v>
      </c>
      <c r="AC52">
        <v>144.92500000000001</v>
      </c>
      <c r="AD52" s="32">
        <f t="shared" si="0"/>
        <v>872.71299999999997</v>
      </c>
    </row>
    <row r="53" spans="1:30" ht="15" customHeight="1">
      <c r="A53" s="7">
        <v>46</v>
      </c>
      <c r="B53" s="23" t="s">
        <v>85</v>
      </c>
      <c r="C53" s="31" t="s">
        <v>35</v>
      </c>
      <c r="D53" s="32">
        <f t="shared" si="1"/>
        <v>250</v>
      </c>
      <c r="E53"/>
      <c r="F53"/>
      <c r="G53">
        <v>147</v>
      </c>
      <c r="H53">
        <v>29</v>
      </c>
      <c r="I53">
        <v>31</v>
      </c>
      <c r="J53">
        <v>43</v>
      </c>
      <c r="K53"/>
      <c r="L53"/>
      <c r="M53"/>
      <c r="N53"/>
      <c r="O53"/>
      <c r="P53"/>
      <c r="Q53" s="33" t="s">
        <v>36</v>
      </c>
      <c r="R53"/>
      <c r="S53"/>
      <c r="T53">
        <v>18.753</v>
      </c>
      <c r="U53">
        <v>17.431999999999999</v>
      </c>
      <c r="V53">
        <v>57.506</v>
      </c>
      <c r="W53">
        <v>253.36199999999999</v>
      </c>
      <c r="X53"/>
      <c r="Y53"/>
      <c r="Z53"/>
      <c r="AA53"/>
      <c r="AB53"/>
      <c r="AC53"/>
      <c r="AD53" s="32">
        <f t="shared" si="0"/>
        <v>347.053</v>
      </c>
    </row>
    <row r="54" spans="1:30" ht="15" customHeight="1">
      <c r="A54" s="7">
        <v>47</v>
      </c>
      <c r="B54" s="23" t="s">
        <v>86</v>
      </c>
      <c r="C54" s="31" t="s">
        <v>45</v>
      </c>
      <c r="D54" s="32">
        <f t="shared" si="1"/>
        <v>3680</v>
      </c>
      <c r="E54">
        <v>926</v>
      </c>
      <c r="F54">
        <v>354</v>
      </c>
      <c r="G54">
        <v>188</v>
      </c>
      <c r="H54">
        <v>183</v>
      </c>
      <c r="I54">
        <v>131</v>
      </c>
      <c r="J54">
        <v>178</v>
      </c>
      <c r="K54">
        <v>172</v>
      </c>
      <c r="L54">
        <v>22</v>
      </c>
      <c r="M54">
        <v>522</v>
      </c>
      <c r="N54">
        <v>600</v>
      </c>
      <c r="O54">
        <v>145</v>
      </c>
      <c r="P54">
        <v>259</v>
      </c>
      <c r="Q54" s="33" t="s">
        <v>36</v>
      </c>
      <c r="R54">
        <v>21.579000000000001</v>
      </c>
      <c r="S54">
        <v>33.756999999999998</v>
      </c>
      <c r="T54">
        <v>34.709000000000003</v>
      </c>
      <c r="U54">
        <v>68.986999999999995</v>
      </c>
      <c r="V54">
        <v>115.31699999999999</v>
      </c>
      <c r="W54">
        <v>656.04600000000005</v>
      </c>
      <c r="X54">
        <v>3.0680000000000001</v>
      </c>
      <c r="Y54">
        <v>1.1020000000000001</v>
      </c>
      <c r="Z54">
        <v>22.768000000000001</v>
      </c>
      <c r="AA54">
        <v>53.341999999999999</v>
      </c>
      <c r="AB54">
        <v>33.029000000000003</v>
      </c>
      <c r="AC54">
        <v>409.49200000000002</v>
      </c>
      <c r="AD54" s="32">
        <f t="shared" si="0"/>
        <v>1453.1959999999999</v>
      </c>
    </row>
    <row r="55" spans="1:30" ht="15" customHeight="1">
      <c r="A55" s="7">
        <v>48</v>
      </c>
      <c r="B55" s="23" t="s">
        <v>87</v>
      </c>
      <c r="C55" s="31" t="s">
        <v>35</v>
      </c>
      <c r="D55" s="32">
        <f t="shared" si="1"/>
        <v>733</v>
      </c>
      <c r="E55"/>
      <c r="F55">
        <v>245</v>
      </c>
      <c r="G55">
        <v>159</v>
      </c>
      <c r="H55">
        <v>123</v>
      </c>
      <c r="I55">
        <v>93</v>
      </c>
      <c r="J55">
        <v>113</v>
      </c>
      <c r="K55"/>
      <c r="L55"/>
      <c r="M55"/>
      <c r="N55"/>
      <c r="O55"/>
      <c r="P55"/>
      <c r="Q55" s="33" t="s">
        <v>36</v>
      </c>
      <c r="R55"/>
      <c r="S55">
        <v>39.182000000000002</v>
      </c>
      <c r="T55">
        <v>37.896999999999998</v>
      </c>
      <c r="U55">
        <v>54.609000000000002</v>
      </c>
      <c r="V55">
        <v>76.078999999999994</v>
      </c>
      <c r="W55">
        <v>398.30099999999999</v>
      </c>
      <c r="X55"/>
      <c r="Y55"/>
      <c r="Z55"/>
      <c r="AA55"/>
      <c r="AB55"/>
      <c r="AC55"/>
      <c r="AD55" s="32">
        <f t="shared" si="0"/>
        <v>606.06799999999998</v>
      </c>
    </row>
    <row r="56" spans="1:30" ht="15" customHeight="1">
      <c r="A56" s="7">
        <v>49</v>
      </c>
      <c r="B56" s="23" t="s">
        <v>88</v>
      </c>
      <c r="C56" s="31" t="s">
        <v>39</v>
      </c>
      <c r="D56" s="32">
        <f t="shared" si="1"/>
        <v>395</v>
      </c>
      <c r="E56"/>
      <c r="F56"/>
      <c r="G56">
        <v>159</v>
      </c>
      <c r="H56">
        <v>50</v>
      </c>
      <c r="I56">
        <v>39</v>
      </c>
      <c r="J56">
        <v>59</v>
      </c>
      <c r="K56"/>
      <c r="L56"/>
      <c r="M56"/>
      <c r="N56">
        <v>50</v>
      </c>
      <c r="O56">
        <v>23</v>
      </c>
      <c r="P56">
        <v>15</v>
      </c>
      <c r="Q56" s="33" t="s">
        <v>36</v>
      </c>
      <c r="R56"/>
      <c r="S56"/>
      <c r="T56">
        <v>45.024999999999999</v>
      </c>
      <c r="U56">
        <v>33.421999999999997</v>
      </c>
      <c r="V56">
        <v>64.649000000000001</v>
      </c>
      <c r="W56">
        <v>321.36399999999998</v>
      </c>
      <c r="X56"/>
      <c r="Y56"/>
      <c r="Z56"/>
      <c r="AA56">
        <v>5.6310000000000002</v>
      </c>
      <c r="AB56">
        <v>7.2839999999999998</v>
      </c>
      <c r="AC56">
        <v>29.007999999999999</v>
      </c>
      <c r="AD56" s="32">
        <f t="shared" si="0"/>
        <v>506.38299999999998</v>
      </c>
    </row>
    <row r="57" spans="1:30" ht="15" customHeight="1">
      <c r="A57" s="7">
        <v>50</v>
      </c>
      <c r="B57" s="23" t="s">
        <v>89</v>
      </c>
      <c r="C57" s="31" t="s">
        <v>35</v>
      </c>
      <c r="D57" s="32">
        <f t="shared" si="1"/>
        <v>1137</v>
      </c>
      <c r="E57">
        <v>767</v>
      </c>
      <c r="F57"/>
      <c r="G57">
        <v>48</v>
      </c>
      <c r="H57">
        <v>196</v>
      </c>
      <c r="I57">
        <v>49</v>
      </c>
      <c r="J57">
        <v>77</v>
      </c>
      <c r="K57"/>
      <c r="L57"/>
      <c r="M57"/>
      <c r="N57"/>
      <c r="O57"/>
      <c r="P57"/>
      <c r="Q57" s="33" t="s">
        <v>36</v>
      </c>
      <c r="R57">
        <v>20.666</v>
      </c>
      <c r="S57"/>
      <c r="T57">
        <v>21.574999999999999</v>
      </c>
      <c r="U57">
        <v>92.159000000000006</v>
      </c>
      <c r="V57">
        <v>107.93600000000001</v>
      </c>
      <c r="W57">
        <v>504.67700000000002</v>
      </c>
      <c r="X57"/>
      <c r="Y57"/>
      <c r="Z57"/>
      <c r="AA57"/>
      <c r="AB57"/>
      <c r="AC57"/>
      <c r="AD57" s="32">
        <f t="shared" si="0"/>
        <v>747.01300000000003</v>
      </c>
    </row>
    <row r="58" spans="1:30" ht="15" customHeight="1">
      <c r="A58" s="7">
        <v>51</v>
      </c>
      <c r="B58" s="23" t="s">
        <v>90</v>
      </c>
      <c r="C58" s="31" t="s">
        <v>45</v>
      </c>
      <c r="D58" s="32">
        <f t="shared" si="1"/>
        <v>1366</v>
      </c>
      <c r="E58"/>
      <c r="F58">
        <v>269</v>
      </c>
      <c r="G58">
        <v>152</v>
      </c>
      <c r="H58">
        <v>74</v>
      </c>
      <c r="I58">
        <v>57</v>
      </c>
      <c r="J58">
        <v>97</v>
      </c>
      <c r="K58"/>
      <c r="L58">
        <v>105</v>
      </c>
      <c r="M58">
        <v>370</v>
      </c>
      <c r="N58">
        <v>139</v>
      </c>
      <c r="O58">
        <v>45</v>
      </c>
      <c r="P58">
        <v>58</v>
      </c>
      <c r="Q58" s="33" t="s">
        <v>36</v>
      </c>
      <c r="R58"/>
      <c r="S58">
        <v>26.832000000000001</v>
      </c>
      <c r="T58">
        <v>31.289000000000001</v>
      </c>
      <c r="U58">
        <v>31.372</v>
      </c>
      <c r="V58">
        <v>82.941999999999993</v>
      </c>
      <c r="W58">
        <v>485.58</v>
      </c>
      <c r="X58"/>
      <c r="Y58">
        <v>4.4580000000000002</v>
      </c>
      <c r="Z58">
        <v>17.795999999999999</v>
      </c>
      <c r="AA58">
        <v>22.798999999999999</v>
      </c>
      <c r="AB58">
        <v>16.844999999999999</v>
      </c>
      <c r="AC58">
        <v>126.075</v>
      </c>
      <c r="AD58" s="32">
        <f t="shared" si="0"/>
        <v>845.98800000000006</v>
      </c>
    </row>
    <row r="59" spans="1:30" ht="15" customHeight="1">
      <c r="A59" s="7">
        <v>52</v>
      </c>
      <c r="B59" s="23" t="s">
        <v>91</v>
      </c>
      <c r="C59" s="31" t="s">
        <v>35</v>
      </c>
      <c r="D59" s="32">
        <f t="shared" si="1"/>
        <v>734</v>
      </c>
      <c r="E59">
        <v>441</v>
      </c>
      <c r="F59"/>
      <c r="G59">
        <v>94</v>
      </c>
      <c r="H59">
        <v>93</v>
      </c>
      <c r="I59">
        <v>63</v>
      </c>
      <c r="J59">
        <v>43</v>
      </c>
      <c r="K59"/>
      <c r="L59"/>
      <c r="M59"/>
      <c r="N59"/>
      <c r="O59"/>
      <c r="P59"/>
      <c r="Q59" s="33" t="s">
        <v>36</v>
      </c>
      <c r="R59">
        <v>13.359</v>
      </c>
      <c r="S59"/>
      <c r="T59">
        <v>30.687000000000001</v>
      </c>
      <c r="U59">
        <v>41.447000000000003</v>
      </c>
      <c r="V59">
        <v>118.535</v>
      </c>
      <c r="W59">
        <v>255.18700000000001</v>
      </c>
      <c r="X59"/>
      <c r="Y59"/>
      <c r="Z59"/>
      <c r="AA59"/>
      <c r="AB59"/>
      <c r="AC59"/>
      <c r="AD59" s="32">
        <f t="shared" si="0"/>
        <v>459.21500000000003</v>
      </c>
    </row>
    <row r="60" spans="1:30" ht="15" customHeight="1">
      <c r="A60" s="7">
        <v>53</v>
      </c>
      <c r="B60" s="23" t="s">
        <v>92</v>
      </c>
      <c r="C60" s="31" t="s">
        <v>35</v>
      </c>
      <c r="D60" s="32">
        <f t="shared" si="1"/>
        <v>161</v>
      </c>
      <c r="E60"/>
      <c r="F60">
        <v>30</v>
      </c>
      <c r="G60">
        <v>42</v>
      </c>
      <c r="H60">
        <v>44</v>
      </c>
      <c r="I60">
        <v>14</v>
      </c>
      <c r="J60">
        <v>31</v>
      </c>
      <c r="K60"/>
      <c r="L60"/>
      <c r="M60"/>
      <c r="N60"/>
      <c r="O60"/>
      <c r="P60"/>
      <c r="Q60" s="33" t="s">
        <v>36</v>
      </c>
      <c r="R60"/>
      <c r="S60">
        <v>4.9180000000000001</v>
      </c>
      <c r="T60">
        <v>33.472000000000001</v>
      </c>
      <c r="U60">
        <v>45.56</v>
      </c>
      <c r="V60">
        <v>49.895000000000003</v>
      </c>
      <c r="W60">
        <v>281.709</v>
      </c>
      <c r="X60"/>
      <c r="Y60"/>
      <c r="Z60"/>
      <c r="AA60"/>
      <c r="AB60"/>
      <c r="AC60"/>
      <c r="AD60" s="32">
        <f t="shared" si="0"/>
        <v>415.55399999999997</v>
      </c>
    </row>
    <row r="61" spans="1:30" ht="15" customHeight="1">
      <c r="A61" s="7">
        <v>54</v>
      </c>
      <c r="B61" s="23" t="s">
        <v>93</v>
      </c>
      <c r="C61" s="31" t="s">
        <v>39</v>
      </c>
      <c r="D61" s="32">
        <f t="shared" si="1"/>
        <v>1513</v>
      </c>
      <c r="E61">
        <v>154</v>
      </c>
      <c r="F61">
        <v>431</v>
      </c>
      <c r="G61">
        <v>56</v>
      </c>
      <c r="H61">
        <v>227</v>
      </c>
      <c r="I61">
        <v>102</v>
      </c>
      <c r="J61">
        <v>158</v>
      </c>
      <c r="K61"/>
      <c r="L61">
        <v>51</v>
      </c>
      <c r="M61"/>
      <c r="N61">
        <v>206</v>
      </c>
      <c r="O61">
        <v>64</v>
      </c>
      <c r="P61">
        <v>64</v>
      </c>
      <c r="Q61" s="33" t="s">
        <v>36</v>
      </c>
      <c r="R61">
        <v>16.562000000000001</v>
      </c>
      <c r="S61">
        <v>30.087</v>
      </c>
      <c r="T61">
        <v>9.7029999999999994</v>
      </c>
      <c r="U61">
        <v>95.31</v>
      </c>
      <c r="V61">
        <v>98.789000000000001</v>
      </c>
      <c r="W61">
        <v>618.29</v>
      </c>
      <c r="X61"/>
      <c r="Y61">
        <v>1.919</v>
      </c>
      <c r="Z61"/>
      <c r="AA61">
        <v>16.684999999999999</v>
      </c>
      <c r="AB61">
        <v>20.422999999999998</v>
      </c>
      <c r="AC61">
        <v>123.887</v>
      </c>
      <c r="AD61" s="32">
        <f t="shared" si="0"/>
        <v>1031.655</v>
      </c>
    </row>
    <row r="62" spans="1:30" ht="15" customHeight="1">
      <c r="A62" s="7">
        <v>55</v>
      </c>
      <c r="B62" s="23" t="s">
        <v>94</v>
      </c>
      <c r="C62" s="31" t="s">
        <v>35</v>
      </c>
      <c r="D62" s="32">
        <f t="shared" si="1"/>
        <v>290</v>
      </c>
      <c r="E62"/>
      <c r="F62"/>
      <c r="G62">
        <v>136</v>
      </c>
      <c r="H62">
        <v>38</v>
      </c>
      <c r="I62">
        <v>43</v>
      </c>
      <c r="J62">
        <v>73</v>
      </c>
      <c r="K62"/>
      <c r="L62"/>
      <c r="M62"/>
      <c r="N62"/>
      <c r="O62"/>
      <c r="P62"/>
      <c r="Q62" s="33" t="s">
        <v>36</v>
      </c>
      <c r="R62"/>
      <c r="S62"/>
      <c r="T62">
        <v>47.883000000000003</v>
      </c>
      <c r="U62">
        <v>29.273</v>
      </c>
      <c r="V62">
        <v>104.206</v>
      </c>
      <c r="W62">
        <v>502.41500000000002</v>
      </c>
      <c r="X62"/>
      <c r="Y62"/>
      <c r="Z62"/>
      <c r="AA62"/>
      <c r="AB62"/>
      <c r="AC62"/>
      <c r="AD62" s="32">
        <f t="shared" si="0"/>
        <v>683.77700000000004</v>
      </c>
    </row>
    <row r="63" spans="1:30" ht="15" customHeight="1">
      <c r="A63" s="7">
        <v>56</v>
      </c>
      <c r="B63" s="23" t="s">
        <v>95</v>
      </c>
      <c r="C63" s="31" t="s">
        <v>45</v>
      </c>
      <c r="D63" s="32">
        <f t="shared" si="1"/>
        <v>19139</v>
      </c>
      <c r="E63">
        <v>289</v>
      </c>
      <c r="F63">
        <v>115</v>
      </c>
      <c r="G63">
        <v>126</v>
      </c>
      <c r="H63">
        <v>1</v>
      </c>
      <c r="I63">
        <v>38</v>
      </c>
      <c r="J63">
        <v>47</v>
      </c>
      <c r="K63">
        <v>8253</v>
      </c>
      <c r="L63">
        <v>525</v>
      </c>
      <c r="M63">
        <v>2656</v>
      </c>
      <c r="N63">
        <v>4358</v>
      </c>
      <c r="O63">
        <v>1052</v>
      </c>
      <c r="P63">
        <v>1679</v>
      </c>
      <c r="Q63" s="33" t="s">
        <v>36</v>
      </c>
      <c r="R63">
        <v>5.0860000000000003</v>
      </c>
      <c r="S63">
        <v>4.2089999999999996</v>
      </c>
      <c r="T63">
        <v>8.75</v>
      </c>
      <c r="U63">
        <v>0.55800000000000005</v>
      </c>
      <c r="V63">
        <v>22.321999999999999</v>
      </c>
      <c r="W63">
        <v>136.452</v>
      </c>
      <c r="X63">
        <v>91.745000000000005</v>
      </c>
      <c r="Y63">
        <v>13.545999999999999</v>
      </c>
      <c r="Z63">
        <v>107.53700000000001</v>
      </c>
      <c r="AA63">
        <v>323.428</v>
      </c>
      <c r="AB63">
        <v>217.24799999999999</v>
      </c>
      <c r="AC63">
        <v>2502.9789999999998</v>
      </c>
      <c r="AD63" s="32">
        <f t="shared" si="0"/>
        <v>3433.8599999999997</v>
      </c>
    </row>
    <row r="64" spans="1:30" ht="15" customHeight="1">
      <c r="A64" s="7">
        <v>57</v>
      </c>
      <c r="B64" s="23" t="s">
        <v>96</v>
      </c>
      <c r="C64" s="31" t="s">
        <v>62</v>
      </c>
      <c r="D64" s="32">
        <f t="shared" si="1"/>
        <v>1041</v>
      </c>
      <c r="E64"/>
      <c r="F64">
        <v>208</v>
      </c>
      <c r="G64">
        <v>134</v>
      </c>
      <c r="H64">
        <v>78</v>
      </c>
      <c r="I64">
        <v>69</v>
      </c>
      <c r="J64">
        <v>55</v>
      </c>
      <c r="K64"/>
      <c r="L64"/>
      <c r="M64">
        <v>230</v>
      </c>
      <c r="N64">
        <v>143</v>
      </c>
      <c r="O64">
        <v>45</v>
      </c>
      <c r="P64">
        <v>79</v>
      </c>
      <c r="Q64" s="33" t="s">
        <v>36</v>
      </c>
      <c r="R64"/>
      <c r="S64">
        <v>8.5429999999999993</v>
      </c>
      <c r="T64">
        <v>15.384</v>
      </c>
      <c r="U64">
        <v>24.283999999999999</v>
      </c>
      <c r="V64">
        <v>55.551000000000002</v>
      </c>
      <c r="W64">
        <v>190.47800000000001</v>
      </c>
      <c r="X64"/>
      <c r="Y64"/>
      <c r="Z64">
        <v>6.7350000000000003</v>
      </c>
      <c r="AA64">
        <v>12.816000000000001</v>
      </c>
      <c r="AB64">
        <v>11.396000000000001</v>
      </c>
      <c r="AC64">
        <v>133.143</v>
      </c>
      <c r="AD64" s="32">
        <f t="shared" si="0"/>
        <v>458.33000000000004</v>
      </c>
    </row>
    <row r="65" spans="1:30" ht="15" customHeight="1">
      <c r="A65" s="7">
        <v>58</v>
      </c>
      <c r="B65" s="23" t="s">
        <v>97</v>
      </c>
      <c r="C65" s="31" t="s">
        <v>35</v>
      </c>
      <c r="D65" s="32">
        <f t="shared" si="1"/>
        <v>587</v>
      </c>
      <c r="E65"/>
      <c r="F65">
        <v>228</v>
      </c>
      <c r="G65">
        <v>95</v>
      </c>
      <c r="H65">
        <v>144</v>
      </c>
      <c r="I65">
        <v>55</v>
      </c>
      <c r="J65">
        <v>65</v>
      </c>
      <c r="K65"/>
      <c r="L65"/>
      <c r="M65"/>
      <c r="N65"/>
      <c r="O65"/>
      <c r="P65"/>
      <c r="Q65" s="33" t="s">
        <v>36</v>
      </c>
      <c r="R65"/>
      <c r="S65">
        <v>24.672999999999998</v>
      </c>
      <c r="T65">
        <v>14.204000000000001</v>
      </c>
      <c r="U65">
        <v>49.249000000000002</v>
      </c>
      <c r="V65">
        <v>82.879000000000005</v>
      </c>
      <c r="W65">
        <v>336.57900000000001</v>
      </c>
      <c r="X65"/>
      <c r="Y65"/>
      <c r="Z65"/>
      <c r="AA65"/>
      <c r="AB65"/>
      <c r="AC65"/>
      <c r="AD65" s="32">
        <f t="shared" si="0"/>
        <v>507.584</v>
      </c>
    </row>
    <row r="66" spans="1:30" ht="15" customHeight="1">
      <c r="A66" s="7">
        <v>59</v>
      </c>
      <c r="B66" s="23" t="s">
        <v>98</v>
      </c>
      <c r="C66" s="31" t="s">
        <v>45</v>
      </c>
      <c r="D66" s="32">
        <f t="shared" si="1"/>
        <v>4132</v>
      </c>
      <c r="E66">
        <v>165</v>
      </c>
      <c r="F66"/>
      <c r="G66"/>
      <c r="H66">
        <v>96</v>
      </c>
      <c r="I66">
        <v>10</v>
      </c>
      <c r="J66">
        <v>17</v>
      </c>
      <c r="K66">
        <v>2125</v>
      </c>
      <c r="L66"/>
      <c r="M66">
        <v>178</v>
      </c>
      <c r="N66">
        <v>755</v>
      </c>
      <c r="O66">
        <v>448</v>
      </c>
      <c r="P66">
        <v>338</v>
      </c>
      <c r="Q66" s="33" t="s">
        <v>36</v>
      </c>
      <c r="R66">
        <v>3.1760000000000002</v>
      </c>
      <c r="S66"/>
      <c r="T66"/>
      <c r="U66">
        <v>37.253</v>
      </c>
      <c r="V66">
        <v>16.47</v>
      </c>
      <c r="W66">
        <v>94.978999999999999</v>
      </c>
      <c r="X66">
        <v>16.248000000000001</v>
      </c>
      <c r="Y66"/>
      <c r="Z66">
        <v>14.237</v>
      </c>
      <c r="AA66">
        <v>55.993000000000002</v>
      </c>
      <c r="AB66">
        <v>92.138000000000005</v>
      </c>
      <c r="AC66">
        <v>503.01600000000002</v>
      </c>
      <c r="AD66" s="32">
        <f t="shared" si="0"/>
        <v>833.51</v>
      </c>
    </row>
    <row r="67" spans="1:30" ht="15" customHeight="1">
      <c r="A67" s="7">
        <v>60</v>
      </c>
      <c r="B67" s="23" t="s">
        <v>99</v>
      </c>
      <c r="C67" s="31" t="s">
        <v>35</v>
      </c>
      <c r="D67" s="32">
        <f t="shared" si="1"/>
        <v>497</v>
      </c>
      <c r="E67"/>
      <c r="F67">
        <v>211</v>
      </c>
      <c r="G67">
        <v>62</v>
      </c>
      <c r="H67">
        <v>114</v>
      </c>
      <c r="I67">
        <v>61</v>
      </c>
      <c r="J67">
        <v>49</v>
      </c>
      <c r="K67"/>
      <c r="L67"/>
      <c r="M67"/>
      <c r="N67"/>
      <c r="O67"/>
      <c r="P67"/>
      <c r="Q67" s="33" t="s">
        <v>36</v>
      </c>
      <c r="R67"/>
      <c r="S67">
        <v>29.422000000000001</v>
      </c>
      <c r="T67">
        <v>12.468</v>
      </c>
      <c r="U67">
        <v>69.540999999999997</v>
      </c>
      <c r="V67">
        <v>94.608000000000004</v>
      </c>
      <c r="W67">
        <v>255.22399999999999</v>
      </c>
      <c r="X67"/>
      <c r="Y67"/>
      <c r="Z67"/>
      <c r="AA67"/>
      <c r="AB67"/>
      <c r="AC67"/>
      <c r="AD67" s="32">
        <f t="shared" si="0"/>
        <v>461.26299999999998</v>
      </c>
    </row>
    <row r="68" spans="1:30" ht="15" customHeight="1">
      <c r="A68" s="7">
        <v>61</v>
      </c>
      <c r="B68" s="23" t="s">
        <v>100</v>
      </c>
      <c r="C68" s="31" t="s">
        <v>39</v>
      </c>
      <c r="D68" s="32">
        <f t="shared" si="1"/>
        <v>851</v>
      </c>
      <c r="E68"/>
      <c r="F68">
        <v>438</v>
      </c>
      <c r="G68"/>
      <c r="H68">
        <v>104</v>
      </c>
      <c r="I68">
        <v>116</v>
      </c>
      <c r="J68">
        <v>148</v>
      </c>
      <c r="K68"/>
      <c r="L68"/>
      <c r="M68">
        <v>22</v>
      </c>
      <c r="N68">
        <v>15</v>
      </c>
      <c r="O68">
        <v>4</v>
      </c>
      <c r="P68">
        <v>4</v>
      </c>
      <c r="Q68" s="33" t="s">
        <v>36</v>
      </c>
      <c r="R68"/>
      <c r="S68">
        <v>29.091000000000001</v>
      </c>
      <c r="T68"/>
      <c r="U68">
        <v>54.813000000000002</v>
      </c>
      <c r="V68">
        <v>101.066</v>
      </c>
      <c r="W68">
        <v>541.00099999999998</v>
      </c>
      <c r="X68"/>
      <c r="Y68"/>
      <c r="Z68">
        <v>1.016</v>
      </c>
      <c r="AA68">
        <v>1.3129999999999999</v>
      </c>
      <c r="AB68">
        <v>2.4289999999999998</v>
      </c>
      <c r="AC68">
        <v>11.618</v>
      </c>
      <c r="AD68" s="32">
        <f t="shared" si="0"/>
        <v>742.34699999999998</v>
      </c>
    </row>
    <row r="69" spans="1:30" ht="15" customHeight="1">
      <c r="A69" s="7">
        <v>62</v>
      </c>
      <c r="B69" s="23" t="s">
        <v>101</v>
      </c>
      <c r="C69" s="31" t="s">
        <v>35</v>
      </c>
      <c r="D69" s="32">
        <f t="shared" si="1"/>
        <v>547</v>
      </c>
      <c r="E69">
        <v>164</v>
      </c>
      <c r="F69"/>
      <c r="G69">
        <v>213</v>
      </c>
      <c r="H69">
        <v>32</v>
      </c>
      <c r="I69">
        <v>53</v>
      </c>
      <c r="J69">
        <v>85</v>
      </c>
      <c r="K69"/>
      <c r="L69"/>
      <c r="M69"/>
      <c r="N69"/>
      <c r="O69"/>
      <c r="P69"/>
      <c r="Q69" s="33" t="s">
        <v>36</v>
      </c>
      <c r="R69">
        <v>4.0389999999999997</v>
      </c>
      <c r="S69"/>
      <c r="T69">
        <v>44.936</v>
      </c>
      <c r="U69">
        <v>21.995000000000001</v>
      </c>
      <c r="V69">
        <v>51.247999999999998</v>
      </c>
      <c r="W69">
        <v>333.899</v>
      </c>
      <c r="X69"/>
      <c r="Y69"/>
      <c r="Z69"/>
      <c r="AA69"/>
      <c r="AB69"/>
      <c r="AC69"/>
      <c r="AD69" s="32">
        <f t="shared" si="0"/>
        <v>456.11699999999996</v>
      </c>
    </row>
    <row r="70" spans="1:30" ht="15" customHeight="1">
      <c r="A70" s="7">
        <v>63</v>
      </c>
      <c r="B70" s="23" t="s">
        <v>102</v>
      </c>
      <c r="C70" s="31" t="s">
        <v>39</v>
      </c>
      <c r="D70" s="32">
        <f t="shared" si="1"/>
        <v>2317</v>
      </c>
      <c r="E70">
        <v>721</v>
      </c>
      <c r="F70">
        <v>156</v>
      </c>
      <c r="G70">
        <v>184</v>
      </c>
      <c r="H70">
        <v>293</v>
      </c>
      <c r="I70">
        <v>113</v>
      </c>
      <c r="J70">
        <v>235</v>
      </c>
      <c r="K70">
        <v>146</v>
      </c>
      <c r="L70"/>
      <c r="M70">
        <v>204</v>
      </c>
      <c r="N70">
        <v>148</v>
      </c>
      <c r="O70">
        <v>68</v>
      </c>
      <c r="P70">
        <v>49</v>
      </c>
      <c r="Q70" s="33" t="s">
        <v>36</v>
      </c>
      <c r="R70">
        <v>19.378</v>
      </c>
      <c r="S70">
        <v>16.538</v>
      </c>
      <c r="T70">
        <v>19.623999999999999</v>
      </c>
      <c r="U70">
        <v>80.602999999999994</v>
      </c>
      <c r="V70">
        <v>92.123000000000005</v>
      </c>
      <c r="W70">
        <v>824.81200000000001</v>
      </c>
      <c r="X70">
        <v>3.4460000000000002</v>
      </c>
      <c r="Y70"/>
      <c r="Z70">
        <v>11.103</v>
      </c>
      <c r="AA70">
        <v>14.114000000000001</v>
      </c>
      <c r="AB70">
        <v>15.143000000000001</v>
      </c>
      <c r="AC70">
        <v>76.016000000000005</v>
      </c>
      <c r="AD70" s="32">
        <f t="shared" si="0"/>
        <v>1172.9000000000001</v>
      </c>
    </row>
    <row r="71" spans="1:30" ht="15" customHeight="1">
      <c r="A71" s="7">
        <v>64</v>
      </c>
      <c r="B71" s="23" t="s">
        <v>103</v>
      </c>
      <c r="C71" s="31" t="s">
        <v>35</v>
      </c>
      <c r="D71" s="32">
        <f t="shared" si="1"/>
        <v>512</v>
      </c>
      <c r="E71"/>
      <c r="F71">
        <v>262</v>
      </c>
      <c r="G71">
        <v>40</v>
      </c>
      <c r="H71">
        <v>116</v>
      </c>
      <c r="I71">
        <v>29</v>
      </c>
      <c r="J71">
        <v>65</v>
      </c>
      <c r="K71"/>
      <c r="L71"/>
      <c r="M71"/>
      <c r="N71"/>
      <c r="O71"/>
      <c r="P71"/>
      <c r="Q71" s="33" t="s">
        <v>36</v>
      </c>
      <c r="R71"/>
      <c r="S71">
        <v>29.068999999999999</v>
      </c>
      <c r="T71">
        <v>7.4539999999999997</v>
      </c>
      <c r="U71">
        <v>99.566999999999993</v>
      </c>
      <c r="V71">
        <v>67.394999999999996</v>
      </c>
      <c r="W71">
        <v>436.3</v>
      </c>
      <c r="X71"/>
      <c r="Y71"/>
      <c r="Z71"/>
      <c r="AA71"/>
      <c r="AB71"/>
      <c r="AC71"/>
      <c r="AD71" s="32">
        <f t="shared" si="0"/>
        <v>639.78499999999997</v>
      </c>
    </row>
    <row r="72" spans="1:30" ht="15" customHeight="1">
      <c r="A72" s="7">
        <v>65</v>
      </c>
      <c r="B72" s="23" t="s">
        <v>104</v>
      </c>
      <c r="C72" s="31" t="s">
        <v>35</v>
      </c>
      <c r="D72" s="32">
        <f t="shared" si="1"/>
        <v>179</v>
      </c>
      <c r="E72"/>
      <c r="F72"/>
      <c r="G72">
        <v>57</v>
      </c>
      <c r="H72">
        <v>54</v>
      </c>
      <c r="I72">
        <v>20</v>
      </c>
      <c r="J72">
        <v>48</v>
      </c>
      <c r="K72"/>
      <c r="L72"/>
      <c r="M72"/>
      <c r="N72"/>
      <c r="O72"/>
      <c r="P72"/>
      <c r="Q72" s="33" t="s">
        <v>36</v>
      </c>
      <c r="R72"/>
      <c r="S72"/>
      <c r="T72">
        <v>14.845000000000001</v>
      </c>
      <c r="U72">
        <v>41.567999999999998</v>
      </c>
      <c r="V72">
        <v>51.055999999999997</v>
      </c>
      <c r="W72">
        <v>341.98099999999999</v>
      </c>
      <c r="X72"/>
      <c r="Y72"/>
      <c r="Z72"/>
      <c r="AA72"/>
      <c r="AB72"/>
      <c r="AC72"/>
      <c r="AD72" s="32">
        <f t="shared" ref="AD72:AD127" si="2">SUM(R72:AC72)</f>
        <v>449.45</v>
      </c>
    </row>
    <row r="73" spans="1:30" ht="15" customHeight="1">
      <c r="A73" s="7">
        <v>66</v>
      </c>
      <c r="B73" s="23" t="s">
        <v>105</v>
      </c>
      <c r="C73" s="31" t="s">
        <v>35</v>
      </c>
      <c r="D73" s="32">
        <f t="shared" ref="D73:D127" si="3">SUM(E73:P73)</f>
        <v>340</v>
      </c>
      <c r="E73"/>
      <c r="F73">
        <v>77</v>
      </c>
      <c r="G73">
        <v>85</v>
      </c>
      <c r="H73">
        <v>80</v>
      </c>
      <c r="I73">
        <v>33</v>
      </c>
      <c r="J73">
        <v>65</v>
      </c>
      <c r="K73"/>
      <c r="L73"/>
      <c r="M73"/>
      <c r="N73"/>
      <c r="O73"/>
      <c r="P73"/>
      <c r="Q73" s="33" t="s">
        <v>36</v>
      </c>
      <c r="R73"/>
      <c r="S73">
        <v>15.097</v>
      </c>
      <c r="T73">
        <v>26.036999999999999</v>
      </c>
      <c r="U73">
        <v>54.73</v>
      </c>
      <c r="V73">
        <v>62.625999999999998</v>
      </c>
      <c r="W73">
        <v>381.14100000000002</v>
      </c>
      <c r="X73"/>
      <c r="Y73"/>
      <c r="Z73"/>
      <c r="AA73"/>
      <c r="AB73"/>
      <c r="AC73"/>
      <c r="AD73" s="32">
        <f t="shared" si="2"/>
        <v>539.63100000000009</v>
      </c>
    </row>
    <row r="74" spans="1:30" ht="15" customHeight="1">
      <c r="A74" s="7">
        <v>67</v>
      </c>
      <c r="B74" s="23" t="s">
        <v>106</v>
      </c>
      <c r="C74" s="31" t="s">
        <v>35</v>
      </c>
      <c r="D74" s="32">
        <f t="shared" si="3"/>
        <v>617</v>
      </c>
      <c r="E74"/>
      <c r="F74">
        <v>292</v>
      </c>
      <c r="G74"/>
      <c r="H74">
        <v>180</v>
      </c>
      <c r="I74">
        <v>49</v>
      </c>
      <c r="J74">
        <v>96</v>
      </c>
      <c r="K74"/>
      <c r="L74"/>
      <c r="M74"/>
      <c r="N74"/>
      <c r="O74"/>
      <c r="P74"/>
      <c r="Q74" s="33" t="s">
        <v>36</v>
      </c>
      <c r="R74"/>
      <c r="S74">
        <v>46.576000000000001</v>
      </c>
      <c r="T74"/>
      <c r="U74">
        <v>98.504000000000005</v>
      </c>
      <c r="V74">
        <v>68.073999999999998</v>
      </c>
      <c r="W74">
        <v>472.01799999999997</v>
      </c>
      <c r="X74"/>
      <c r="Y74"/>
      <c r="Z74"/>
      <c r="AA74"/>
      <c r="AB74"/>
      <c r="AC74"/>
      <c r="AD74" s="32">
        <f t="shared" si="2"/>
        <v>685.17200000000003</v>
      </c>
    </row>
    <row r="75" spans="1:30" ht="15" customHeight="1">
      <c r="A75" s="7">
        <v>68</v>
      </c>
      <c r="B75" s="23" t="s">
        <v>107</v>
      </c>
      <c r="C75" s="31" t="s">
        <v>35</v>
      </c>
      <c r="D75" s="32">
        <f t="shared" si="3"/>
        <v>371</v>
      </c>
      <c r="E75"/>
      <c r="F75">
        <v>172</v>
      </c>
      <c r="G75">
        <v>23</v>
      </c>
      <c r="H75">
        <v>62</v>
      </c>
      <c r="I75">
        <v>44</v>
      </c>
      <c r="J75">
        <v>70</v>
      </c>
      <c r="K75"/>
      <c r="L75"/>
      <c r="M75"/>
      <c r="N75"/>
      <c r="O75"/>
      <c r="P75"/>
      <c r="Q75" s="33" t="s">
        <v>36</v>
      </c>
      <c r="R75"/>
      <c r="S75">
        <v>44.264000000000003</v>
      </c>
      <c r="T75">
        <v>8.4710000000000001</v>
      </c>
      <c r="U75">
        <v>39.938000000000002</v>
      </c>
      <c r="V75">
        <v>77.772999999999996</v>
      </c>
      <c r="W75">
        <v>401.36399999999998</v>
      </c>
      <c r="X75"/>
      <c r="Y75"/>
      <c r="Z75"/>
      <c r="AA75"/>
      <c r="AB75"/>
      <c r="AC75"/>
      <c r="AD75" s="32">
        <f t="shared" si="2"/>
        <v>571.80999999999995</v>
      </c>
    </row>
    <row r="76" spans="1:30" ht="15" customHeight="1">
      <c r="A76" s="7">
        <v>69</v>
      </c>
      <c r="B76" s="23" t="s">
        <v>108</v>
      </c>
      <c r="C76" s="31" t="s">
        <v>35</v>
      </c>
      <c r="D76" s="32">
        <f t="shared" si="3"/>
        <v>619</v>
      </c>
      <c r="E76"/>
      <c r="F76">
        <v>332</v>
      </c>
      <c r="G76">
        <v>61</v>
      </c>
      <c r="H76">
        <v>56</v>
      </c>
      <c r="I76">
        <v>78</v>
      </c>
      <c r="J76">
        <v>92</v>
      </c>
      <c r="K76"/>
      <c r="L76"/>
      <c r="M76"/>
      <c r="N76"/>
      <c r="O76"/>
      <c r="P76"/>
      <c r="Q76" s="33" t="s">
        <v>36</v>
      </c>
      <c r="R76"/>
      <c r="S76">
        <v>38.134999999999998</v>
      </c>
      <c r="T76">
        <v>13.307</v>
      </c>
      <c r="U76">
        <v>32.780999999999999</v>
      </c>
      <c r="V76">
        <v>112.04300000000001</v>
      </c>
      <c r="W76">
        <v>458.64400000000001</v>
      </c>
      <c r="X76"/>
      <c r="Y76"/>
      <c r="Z76"/>
      <c r="AA76"/>
      <c r="AB76"/>
      <c r="AC76"/>
      <c r="AD76" s="32">
        <f t="shared" si="2"/>
        <v>654.91000000000008</v>
      </c>
    </row>
    <row r="77" spans="1:30" ht="15" customHeight="1">
      <c r="A77" s="7">
        <v>70</v>
      </c>
      <c r="B77" s="23" t="s">
        <v>109</v>
      </c>
      <c r="C77" s="31" t="s">
        <v>35</v>
      </c>
      <c r="D77" s="32">
        <f t="shared" si="3"/>
        <v>391</v>
      </c>
      <c r="E77">
        <v>117</v>
      </c>
      <c r="F77"/>
      <c r="G77">
        <v>154</v>
      </c>
      <c r="H77">
        <v>43</v>
      </c>
      <c r="I77">
        <v>34</v>
      </c>
      <c r="J77">
        <v>43</v>
      </c>
      <c r="K77"/>
      <c r="L77"/>
      <c r="M77"/>
      <c r="N77"/>
      <c r="O77"/>
      <c r="P77"/>
      <c r="Q77" s="33" t="s">
        <v>36</v>
      </c>
      <c r="R77">
        <v>4.5279999999999996</v>
      </c>
      <c r="S77"/>
      <c r="T77">
        <v>32.128</v>
      </c>
      <c r="U77">
        <v>18.59</v>
      </c>
      <c r="V77">
        <v>104.29300000000001</v>
      </c>
      <c r="W77">
        <v>346.40600000000001</v>
      </c>
      <c r="X77"/>
      <c r="Y77"/>
      <c r="Z77"/>
      <c r="AA77"/>
      <c r="AB77"/>
      <c r="AC77"/>
      <c r="AD77" s="32">
        <f t="shared" si="2"/>
        <v>505.94499999999999</v>
      </c>
    </row>
    <row r="78" spans="1:30" ht="15" customHeight="1">
      <c r="A78" s="7">
        <v>71</v>
      </c>
      <c r="B78" s="23" t="s">
        <v>110</v>
      </c>
      <c r="C78" s="31" t="s">
        <v>39</v>
      </c>
      <c r="D78" s="32">
        <f t="shared" si="3"/>
        <v>786</v>
      </c>
      <c r="E78"/>
      <c r="F78">
        <v>203</v>
      </c>
      <c r="G78">
        <v>168</v>
      </c>
      <c r="H78">
        <v>28</v>
      </c>
      <c r="I78">
        <v>97</v>
      </c>
      <c r="J78">
        <v>126</v>
      </c>
      <c r="K78"/>
      <c r="L78"/>
      <c r="M78">
        <v>53</v>
      </c>
      <c r="N78">
        <v>73</v>
      </c>
      <c r="O78">
        <v>16</v>
      </c>
      <c r="P78">
        <v>22</v>
      </c>
      <c r="Q78" s="33" t="s">
        <v>36</v>
      </c>
      <c r="R78"/>
      <c r="S78">
        <v>31.986999999999998</v>
      </c>
      <c r="T78">
        <v>51.072000000000003</v>
      </c>
      <c r="U78">
        <v>24.03</v>
      </c>
      <c r="V78">
        <v>134.179</v>
      </c>
      <c r="W78">
        <v>619.85199999999998</v>
      </c>
      <c r="X78"/>
      <c r="Y78"/>
      <c r="Z78">
        <v>8.94</v>
      </c>
      <c r="AA78">
        <v>11.167999999999999</v>
      </c>
      <c r="AB78">
        <v>7.7030000000000003</v>
      </c>
      <c r="AC78">
        <v>54.006999999999998</v>
      </c>
      <c r="AD78" s="32">
        <f t="shared" si="2"/>
        <v>942.93799999999999</v>
      </c>
    </row>
    <row r="79" spans="1:30" ht="15" customHeight="1">
      <c r="A79" s="7">
        <v>72</v>
      </c>
      <c r="B79" s="23" t="s">
        <v>111</v>
      </c>
      <c r="C79" s="31" t="s">
        <v>35</v>
      </c>
      <c r="D79" s="32">
        <f t="shared" si="3"/>
        <v>713</v>
      </c>
      <c r="E79">
        <v>487</v>
      </c>
      <c r="F79"/>
      <c r="G79">
        <v>93</v>
      </c>
      <c r="H79">
        <v>48</v>
      </c>
      <c r="I79">
        <v>29</v>
      </c>
      <c r="J79">
        <v>56</v>
      </c>
      <c r="K79"/>
      <c r="L79"/>
      <c r="M79"/>
      <c r="N79"/>
      <c r="O79"/>
      <c r="P79"/>
      <c r="Q79" s="33" t="s">
        <v>36</v>
      </c>
      <c r="R79">
        <v>26.571999999999999</v>
      </c>
      <c r="S79"/>
      <c r="T79">
        <v>17.928000000000001</v>
      </c>
      <c r="U79">
        <v>34.247</v>
      </c>
      <c r="V79">
        <v>56.902000000000001</v>
      </c>
      <c r="W79">
        <v>338.839</v>
      </c>
      <c r="X79"/>
      <c r="Y79"/>
      <c r="Z79"/>
      <c r="AA79"/>
      <c r="AB79"/>
      <c r="AC79"/>
      <c r="AD79" s="32">
        <f t="shared" si="2"/>
        <v>474.488</v>
      </c>
    </row>
    <row r="80" spans="1:30" ht="15" customHeight="1">
      <c r="A80" s="7">
        <v>73</v>
      </c>
      <c r="B80" s="23" t="s">
        <v>112</v>
      </c>
      <c r="C80" s="31" t="s">
        <v>39</v>
      </c>
      <c r="D80" s="32">
        <f t="shared" si="3"/>
        <v>2031</v>
      </c>
      <c r="E80">
        <v>108</v>
      </c>
      <c r="F80">
        <v>177</v>
      </c>
      <c r="G80">
        <v>56</v>
      </c>
      <c r="H80">
        <v>85</v>
      </c>
      <c r="I80">
        <v>97</v>
      </c>
      <c r="J80">
        <v>82</v>
      </c>
      <c r="K80">
        <v>441</v>
      </c>
      <c r="L80"/>
      <c r="M80">
        <v>381</v>
      </c>
      <c r="N80">
        <v>274</v>
      </c>
      <c r="O80">
        <v>159</v>
      </c>
      <c r="P80">
        <v>171</v>
      </c>
      <c r="Q80" s="33" t="s">
        <v>36</v>
      </c>
      <c r="R80">
        <v>4.0069999999999997</v>
      </c>
      <c r="S80">
        <v>15.372</v>
      </c>
      <c r="T80">
        <v>11.476000000000001</v>
      </c>
      <c r="U80">
        <v>43.473999999999997</v>
      </c>
      <c r="V80">
        <v>75.244</v>
      </c>
      <c r="W80">
        <v>281.63200000000001</v>
      </c>
      <c r="X80">
        <v>13.313000000000001</v>
      </c>
      <c r="Y80"/>
      <c r="Z80">
        <v>26.568000000000001</v>
      </c>
      <c r="AA80">
        <v>42.003</v>
      </c>
      <c r="AB80">
        <v>43.875999999999998</v>
      </c>
      <c r="AC80">
        <v>305.56700000000001</v>
      </c>
      <c r="AD80" s="32">
        <f t="shared" si="2"/>
        <v>862.53199999999993</v>
      </c>
    </row>
    <row r="81" spans="1:30" ht="15" customHeight="1">
      <c r="A81" s="7">
        <v>74</v>
      </c>
      <c r="B81" s="23" t="s">
        <v>113</v>
      </c>
      <c r="C81" s="31" t="s">
        <v>35</v>
      </c>
      <c r="D81" s="32">
        <f t="shared" si="3"/>
        <v>412</v>
      </c>
      <c r="E81"/>
      <c r="F81">
        <v>174</v>
      </c>
      <c r="G81">
        <v>13</v>
      </c>
      <c r="H81">
        <v>35</v>
      </c>
      <c r="I81">
        <v>82</v>
      </c>
      <c r="J81">
        <v>108</v>
      </c>
      <c r="K81"/>
      <c r="L81"/>
      <c r="M81"/>
      <c r="N81"/>
      <c r="O81"/>
      <c r="P81"/>
      <c r="Q81" s="33" t="s">
        <v>36</v>
      </c>
      <c r="R81"/>
      <c r="S81">
        <v>22.251999999999999</v>
      </c>
      <c r="T81">
        <v>11.92</v>
      </c>
      <c r="U81">
        <v>24.835000000000001</v>
      </c>
      <c r="V81">
        <v>111.587</v>
      </c>
      <c r="W81">
        <v>525.52599999999995</v>
      </c>
      <c r="X81"/>
      <c r="Y81"/>
      <c r="Z81"/>
      <c r="AA81"/>
      <c r="AB81"/>
      <c r="AC81"/>
      <c r="AD81" s="32">
        <f t="shared" si="2"/>
        <v>696.11999999999989</v>
      </c>
    </row>
    <row r="82" spans="1:30" ht="15" customHeight="1">
      <c r="A82" s="7">
        <v>75</v>
      </c>
      <c r="B82" s="23" t="s">
        <v>114</v>
      </c>
      <c r="C82" s="31" t="s">
        <v>35</v>
      </c>
      <c r="D82" s="32">
        <f t="shared" si="3"/>
        <v>276</v>
      </c>
      <c r="E82"/>
      <c r="F82"/>
      <c r="G82">
        <v>59</v>
      </c>
      <c r="H82">
        <v>136</v>
      </c>
      <c r="I82">
        <v>31</v>
      </c>
      <c r="J82">
        <v>50</v>
      </c>
      <c r="K82"/>
      <c r="L82"/>
      <c r="M82"/>
      <c r="N82"/>
      <c r="O82"/>
      <c r="P82"/>
      <c r="Q82" s="33" t="s">
        <v>36</v>
      </c>
      <c r="R82"/>
      <c r="S82"/>
      <c r="T82">
        <v>11.573</v>
      </c>
      <c r="U82">
        <v>68.578000000000003</v>
      </c>
      <c r="V82">
        <v>58.35</v>
      </c>
      <c r="W82">
        <v>295.78100000000001</v>
      </c>
      <c r="X82"/>
      <c r="Y82"/>
      <c r="Z82"/>
      <c r="AA82"/>
      <c r="AB82"/>
      <c r="AC82"/>
      <c r="AD82" s="32">
        <f t="shared" si="2"/>
        <v>434.28200000000004</v>
      </c>
    </row>
    <row r="83" spans="1:30" ht="15" customHeight="1">
      <c r="A83" s="7">
        <v>76</v>
      </c>
      <c r="B83" s="23" t="s">
        <v>115</v>
      </c>
      <c r="C83" s="31" t="s">
        <v>39</v>
      </c>
      <c r="D83" s="32">
        <f t="shared" si="3"/>
        <v>2781</v>
      </c>
      <c r="E83">
        <v>1094</v>
      </c>
      <c r="F83">
        <v>60</v>
      </c>
      <c r="G83">
        <v>263</v>
      </c>
      <c r="H83">
        <v>87</v>
      </c>
      <c r="I83">
        <v>100</v>
      </c>
      <c r="J83">
        <v>127</v>
      </c>
      <c r="K83">
        <v>250</v>
      </c>
      <c r="L83"/>
      <c r="M83">
        <v>210</v>
      </c>
      <c r="N83">
        <v>302</v>
      </c>
      <c r="O83">
        <v>140</v>
      </c>
      <c r="P83">
        <v>148</v>
      </c>
      <c r="Q83" s="33" t="s">
        <v>36</v>
      </c>
      <c r="R83">
        <v>19.690999999999999</v>
      </c>
      <c r="S83">
        <v>8.7309999999999999</v>
      </c>
      <c r="T83">
        <v>38.454000000000001</v>
      </c>
      <c r="U83">
        <v>37.783000000000001</v>
      </c>
      <c r="V83">
        <v>89.305999999999997</v>
      </c>
      <c r="W83">
        <v>474.49299999999999</v>
      </c>
      <c r="X83">
        <v>4.6040000000000001</v>
      </c>
      <c r="Y83"/>
      <c r="Z83">
        <v>10.166</v>
      </c>
      <c r="AA83">
        <v>30.265000000000001</v>
      </c>
      <c r="AB83">
        <v>28.61</v>
      </c>
      <c r="AC83">
        <v>219.11199999999999</v>
      </c>
      <c r="AD83" s="32">
        <f t="shared" si="2"/>
        <v>961.21500000000003</v>
      </c>
    </row>
    <row r="84" spans="1:30" ht="15" customHeight="1">
      <c r="A84" s="7">
        <v>77</v>
      </c>
      <c r="B84" s="23" t="s">
        <v>116</v>
      </c>
      <c r="C84" s="31" t="s">
        <v>35</v>
      </c>
      <c r="D84" s="32">
        <f t="shared" si="3"/>
        <v>364</v>
      </c>
      <c r="E84"/>
      <c r="F84">
        <v>144</v>
      </c>
      <c r="G84">
        <v>42</v>
      </c>
      <c r="H84">
        <v>88</v>
      </c>
      <c r="I84">
        <v>36</v>
      </c>
      <c r="J84">
        <v>54</v>
      </c>
      <c r="K84"/>
      <c r="L84"/>
      <c r="M84"/>
      <c r="N84"/>
      <c r="O84"/>
      <c r="P84"/>
      <c r="Q84" s="33" t="s">
        <v>36</v>
      </c>
      <c r="R84"/>
      <c r="S84">
        <v>25.449000000000002</v>
      </c>
      <c r="T84">
        <v>12.486000000000001</v>
      </c>
      <c r="U84">
        <v>55.451000000000001</v>
      </c>
      <c r="V84">
        <v>73.781000000000006</v>
      </c>
      <c r="W84">
        <v>336.36500000000001</v>
      </c>
      <c r="X84"/>
      <c r="Y84"/>
      <c r="Z84"/>
      <c r="AA84"/>
      <c r="AB84"/>
      <c r="AC84"/>
      <c r="AD84" s="32">
        <f t="shared" si="2"/>
        <v>503.53200000000004</v>
      </c>
    </row>
    <row r="85" spans="1:30" ht="15" customHeight="1">
      <c r="A85" s="7">
        <v>78</v>
      </c>
      <c r="B85" s="23" t="s">
        <v>117</v>
      </c>
      <c r="C85" s="31" t="s">
        <v>39</v>
      </c>
      <c r="D85" s="32">
        <f t="shared" si="3"/>
        <v>437</v>
      </c>
      <c r="E85"/>
      <c r="F85">
        <v>108</v>
      </c>
      <c r="G85">
        <v>29</v>
      </c>
      <c r="H85">
        <v>81</v>
      </c>
      <c r="I85">
        <v>62</v>
      </c>
      <c r="J85">
        <v>58</v>
      </c>
      <c r="K85"/>
      <c r="L85"/>
      <c r="M85"/>
      <c r="N85">
        <v>71</v>
      </c>
      <c r="O85">
        <v>14</v>
      </c>
      <c r="P85">
        <v>14</v>
      </c>
      <c r="Q85" s="33" t="s">
        <v>36</v>
      </c>
      <c r="R85"/>
      <c r="S85">
        <v>15.430999999999999</v>
      </c>
      <c r="T85">
        <v>10.644</v>
      </c>
      <c r="U85">
        <v>49.399000000000001</v>
      </c>
      <c r="V85">
        <v>93.483999999999995</v>
      </c>
      <c r="W85">
        <v>300.57499999999999</v>
      </c>
      <c r="X85"/>
      <c r="Y85"/>
      <c r="Z85"/>
      <c r="AA85">
        <v>9.4420000000000002</v>
      </c>
      <c r="AB85">
        <v>4.78</v>
      </c>
      <c r="AC85">
        <v>28.402999999999999</v>
      </c>
      <c r="AD85" s="32">
        <f t="shared" si="2"/>
        <v>512.15800000000002</v>
      </c>
    </row>
    <row r="86" spans="1:30" ht="15" customHeight="1">
      <c r="A86" s="7">
        <v>79</v>
      </c>
      <c r="B86" s="23" t="s">
        <v>118</v>
      </c>
      <c r="C86" s="31" t="s">
        <v>35</v>
      </c>
      <c r="D86" s="32">
        <f t="shared" si="3"/>
        <v>1241</v>
      </c>
      <c r="E86">
        <v>305</v>
      </c>
      <c r="F86">
        <v>342</v>
      </c>
      <c r="G86">
        <v>218</v>
      </c>
      <c r="H86">
        <v>175</v>
      </c>
      <c r="I86">
        <v>67</v>
      </c>
      <c r="J86">
        <v>134</v>
      </c>
      <c r="K86"/>
      <c r="L86"/>
      <c r="M86"/>
      <c r="N86"/>
      <c r="O86"/>
      <c r="P86"/>
      <c r="Q86" s="33" t="s">
        <v>36</v>
      </c>
      <c r="R86">
        <v>12.032</v>
      </c>
      <c r="S86">
        <v>44.085000000000001</v>
      </c>
      <c r="T86">
        <v>39.576999999999998</v>
      </c>
      <c r="U86">
        <v>58.570999999999998</v>
      </c>
      <c r="V86">
        <v>82.421999999999997</v>
      </c>
      <c r="W86">
        <v>609.15200000000004</v>
      </c>
      <c r="X86"/>
      <c r="Y86"/>
      <c r="Z86"/>
      <c r="AA86"/>
      <c r="AB86"/>
      <c r="AC86"/>
      <c r="AD86" s="32">
        <f t="shared" si="2"/>
        <v>845.83900000000006</v>
      </c>
    </row>
    <row r="87" spans="1:30" ht="15" customHeight="1">
      <c r="A87" s="7">
        <v>80</v>
      </c>
      <c r="B87" s="23" t="s">
        <v>119</v>
      </c>
      <c r="C87" s="31" t="s">
        <v>35</v>
      </c>
      <c r="D87" s="32">
        <f t="shared" si="3"/>
        <v>289</v>
      </c>
      <c r="E87"/>
      <c r="F87"/>
      <c r="G87">
        <v>131</v>
      </c>
      <c r="H87">
        <v>72</v>
      </c>
      <c r="I87">
        <v>46</v>
      </c>
      <c r="J87">
        <v>40</v>
      </c>
      <c r="K87"/>
      <c r="L87"/>
      <c r="M87"/>
      <c r="N87"/>
      <c r="O87"/>
      <c r="P87"/>
      <c r="Q87" s="33" t="s">
        <v>36</v>
      </c>
      <c r="R87"/>
      <c r="S87"/>
      <c r="T87">
        <v>26.143000000000001</v>
      </c>
      <c r="U87">
        <v>46.655000000000001</v>
      </c>
      <c r="V87">
        <v>42.863999999999997</v>
      </c>
      <c r="W87">
        <v>153.59100000000001</v>
      </c>
      <c r="X87"/>
      <c r="Y87"/>
      <c r="Z87"/>
      <c r="AA87"/>
      <c r="AB87"/>
      <c r="AC87"/>
      <c r="AD87" s="32">
        <f t="shared" si="2"/>
        <v>269.25300000000004</v>
      </c>
    </row>
    <row r="88" spans="1:30" ht="15" customHeight="1">
      <c r="A88" s="7">
        <v>81</v>
      </c>
      <c r="B88" s="23" t="s">
        <v>120</v>
      </c>
      <c r="C88" s="31" t="s">
        <v>39</v>
      </c>
      <c r="D88" s="32">
        <f t="shared" si="3"/>
        <v>529</v>
      </c>
      <c r="E88"/>
      <c r="F88">
        <v>143</v>
      </c>
      <c r="G88">
        <v>45</v>
      </c>
      <c r="H88">
        <v>36</v>
      </c>
      <c r="I88">
        <v>30</v>
      </c>
      <c r="J88">
        <v>36</v>
      </c>
      <c r="K88"/>
      <c r="L88"/>
      <c r="M88">
        <v>83</v>
      </c>
      <c r="N88">
        <v>94</v>
      </c>
      <c r="O88">
        <v>29</v>
      </c>
      <c r="P88">
        <v>33</v>
      </c>
      <c r="Q88" s="33" t="s">
        <v>36</v>
      </c>
      <c r="R88"/>
      <c r="S88">
        <v>28.419</v>
      </c>
      <c r="T88">
        <v>8.4619999999999997</v>
      </c>
      <c r="U88">
        <v>28.494</v>
      </c>
      <c r="V88">
        <v>59.542000000000002</v>
      </c>
      <c r="W88">
        <v>218.643</v>
      </c>
      <c r="X88"/>
      <c r="Y88"/>
      <c r="Z88">
        <v>9.5790000000000006</v>
      </c>
      <c r="AA88">
        <v>13.209</v>
      </c>
      <c r="AB88">
        <v>11.68</v>
      </c>
      <c r="AC88">
        <v>74.298000000000002</v>
      </c>
      <c r="AD88" s="32">
        <f t="shared" si="2"/>
        <v>452.32600000000002</v>
      </c>
    </row>
    <row r="89" spans="1:30" ht="15" customHeight="1">
      <c r="A89" s="7">
        <v>82</v>
      </c>
      <c r="B89" s="23" t="s">
        <v>121</v>
      </c>
      <c r="C89" s="31" t="s">
        <v>45</v>
      </c>
      <c r="D89" s="32">
        <f t="shared" si="3"/>
        <v>626</v>
      </c>
      <c r="E89"/>
      <c r="F89"/>
      <c r="G89">
        <v>339</v>
      </c>
      <c r="H89">
        <v>71</v>
      </c>
      <c r="I89">
        <v>61</v>
      </c>
      <c r="J89">
        <v>90</v>
      </c>
      <c r="K89"/>
      <c r="L89"/>
      <c r="M89">
        <v>64</v>
      </c>
      <c r="N89">
        <v>1</v>
      </c>
      <c r="O89"/>
      <c r="P89"/>
      <c r="Q89" s="33" t="s">
        <v>36</v>
      </c>
      <c r="R89"/>
      <c r="S89"/>
      <c r="T89">
        <v>53.901000000000003</v>
      </c>
      <c r="U89">
        <v>46.981000000000002</v>
      </c>
      <c r="V89">
        <v>79.161000000000001</v>
      </c>
      <c r="W89">
        <v>419.02699999999999</v>
      </c>
      <c r="X89"/>
      <c r="Y89"/>
      <c r="Z89">
        <v>3.53</v>
      </c>
      <c r="AA89">
        <v>0.13700000000000001</v>
      </c>
      <c r="AB89"/>
      <c r="AC89">
        <v>19.300999999999998</v>
      </c>
      <c r="AD89" s="32">
        <f t="shared" si="2"/>
        <v>622.0379999999999</v>
      </c>
    </row>
    <row r="90" spans="1:30" ht="15" customHeight="1">
      <c r="A90" s="7">
        <v>83</v>
      </c>
      <c r="B90" s="23" t="s">
        <v>122</v>
      </c>
      <c r="C90" s="31" t="s">
        <v>35</v>
      </c>
      <c r="D90" s="32">
        <f t="shared" si="3"/>
        <v>146</v>
      </c>
      <c r="E90"/>
      <c r="F90"/>
      <c r="G90">
        <v>62</v>
      </c>
      <c r="H90">
        <v>43</v>
      </c>
      <c r="I90">
        <v>13</v>
      </c>
      <c r="J90">
        <v>28</v>
      </c>
      <c r="K90"/>
      <c r="L90"/>
      <c r="M90"/>
      <c r="N90"/>
      <c r="O90"/>
      <c r="P90"/>
      <c r="Q90" s="33" t="s">
        <v>36</v>
      </c>
      <c r="R90"/>
      <c r="S90"/>
      <c r="T90">
        <v>19.385999999999999</v>
      </c>
      <c r="U90">
        <v>50.006999999999998</v>
      </c>
      <c r="V90">
        <v>36.048000000000002</v>
      </c>
      <c r="W90">
        <v>206.83199999999999</v>
      </c>
      <c r="X90"/>
      <c r="Y90"/>
      <c r="Z90"/>
      <c r="AA90"/>
      <c r="AB90"/>
      <c r="AC90"/>
      <c r="AD90" s="32">
        <f t="shared" si="2"/>
        <v>312.27300000000002</v>
      </c>
    </row>
    <row r="91" spans="1:30" ht="15" customHeight="1">
      <c r="A91" s="7">
        <v>84</v>
      </c>
      <c r="B91" s="23" t="s">
        <v>123</v>
      </c>
      <c r="C91" s="31" t="s">
        <v>39</v>
      </c>
      <c r="D91" s="32">
        <f t="shared" si="3"/>
        <v>543</v>
      </c>
      <c r="E91"/>
      <c r="F91">
        <v>252</v>
      </c>
      <c r="G91">
        <v>50</v>
      </c>
      <c r="H91">
        <v>47</v>
      </c>
      <c r="I91">
        <v>29</v>
      </c>
      <c r="J91">
        <v>54</v>
      </c>
      <c r="K91"/>
      <c r="L91"/>
      <c r="M91">
        <v>13</v>
      </c>
      <c r="N91">
        <v>54</v>
      </c>
      <c r="O91">
        <v>23</v>
      </c>
      <c r="P91">
        <v>21</v>
      </c>
      <c r="Q91" s="33" t="s">
        <v>36</v>
      </c>
      <c r="R91"/>
      <c r="S91">
        <v>21.065999999999999</v>
      </c>
      <c r="T91">
        <v>18.542999999999999</v>
      </c>
      <c r="U91">
        <v>24.484000000000002</v>
      </c>
      <c r="V91">
        <v>47.039000000000001</v>
      </c>
      <c r="W91">
        <v>287.40499999999997</v>
      </c>
      <c r="X91"/>
      <c r="Y91"/>
      <c r="Z91">
        <v>1.0209999999999999</v>
      </c>
      <c r="AA91">
        <v>5.91</v>
      </c>
      <c r="AB91">
        <v>9.5990000000000002</v>
      </c>
      <c r="AC91">
        <v>48.238</v>
      </c>
      <c r="AD91" s="32">
        <f t="shared" si="2"/>
        <v>463.30500000000001</v>
      </c>
    </row>
    <row r="92" spans="1:30" ht="15" customHeight="1">
      <c r="A92" s="7">
        <v>85</v>
      </c>
      <c r="B92" s="23" t="s">
        <v>124</v>
      </c>
      <c r="C92" s="31" t="s">
        <v>35</v>
      </c>
      <c r="D92" s="32">
        <f t="shared" si="3"/>
        <v>333</v>
      </c>
      <c r="E92"/>
      <c r="F92">
        <v>85</v>
      </c>
      <c r="G92">
        <v>40</v>
      </c>
      <c r="H92">
        <v>99</v>
      </c>
      <c r="I92">
        <v>40</v>
      </c>
      <c r="J92">
        <v>69</v>
      </c>
      <c r="K92"/>
      <c r="L92"/>
      <c r="M92"/>
      <c r="N92"/>
      <c r="O92"/>
      <c r="P92"/>
      <c r="Q92" s="33" t="s">
        <v>36</v>
      </c>
      <c r="R92"/>
      <c r="S92">
        <v>13.802</v>
      </c>
      <c r="T92">
        <v>12.8</v>
      </c>
      <c r="U92">
        <v>51.454000000000001</v>
      </c>
      <c r="V92">
        <v>76.23</v>
      </c>
      <c r="W92">
        <v>413.72</v>
      </c>
      <c r="X92"/>
      <c r="Y92"/>
      <c r="Z92"/>
      <c r="AA92"/>
      <c r="AB92"/>
      <c r="AC92"/>
      <c r="AD92" s="32">
        <f t="shared" si="2"/>
        <v>568.00600000000009</v>
      </c>
    </row>
    <row r="93" spans="1:30" ht="15" customHeight="1">
      <c r="A93" s="7">
        <v>86</v>
      </c>
      <c r="B93" s="23" t="s">
        <v>125</v>
      </c>
      <c r="C93" s="31" t="s">
        <v>35</v>
      </c>
      <c r="D93" s="32">
        <f t="shared" si="3"/>
        <v>296</v>
      </c>
      <c r="E93"/>
      <c r="F93"/>
      <c r="G93"/>
      <c r="H93">
        <v>127</v>
      </c>
      <c r="I93">
        <v>74</v>
      </c>
      <c r="J93">
        <v>95</v>
      </c>
      <c r="K93"/>
      <c r="L93"/>
      <c r="M93"/>
      <c r="N93"/>
      <c r="O93"/>
      <c r="P93"/>
      <c r="Q93" s="33" t="s">
        <v>36</v>
      </c>
      <c r="R93"/>
      <c r="S93"/>
      <c r="T93"/>
      <c r="U93">
        <v>56.283000000000001</v>
      </c>
      <c r="V93">
        <v>97.747</v>
      </c>
      <c r="W93">
        <v>449.44099999999997</v>
      </c>
      <c r="X93"/>
      <c r="Y93"/>
      <c r="Z93"/>
      <c r="AA93"/>
      <c r="AB93"/>
      <c r="AC93"/>
      <c r="AD93" s="32">
        <f t="shared" si="2"/>
        <v>603.471</v>
      </c>
    </row>
    <row r="94" spans="1:30" ht="15" customHeight="1">
      <c r="A94" s="7">
        <v>87</v>
      </c>
      <c r="B94" s="23" t="s">
        <v>126</v>
      </c>
      <c r="C94" s="31" t="s">
        <v>39</v>
      </c>
      <c r="D94" s="32">
        <f t="shared" si="3"/>
        <v>757</v>
      </c>
      <c r="E94">
        <v>246</v>
      </c>
      <c r="F94"/>
      <c r="G94">
        <v>191</v>
      </c>
      <c r="H94">
        <v>62</v>
      </c>
      <c r="I94">
        <v>34</v>
      </c>
      <c r="J94">
        <v>38</v>
      </c>
      <c r="K94"/>
      <c r="L94"/>
      <c r="M94"/>
      <c r="N94">
        <v>150</v>
      </c>
      <c r="O94">
        <v>15</v>
      </c>
      <c r="P94">
        <v>21</v>
      </c>
      <c r="Q94" s="33" t="s">
        <v>36</v>
      </c>
      <c r="R94">
        <v>11.387</v>
      </c>
      <c r="S94"/>
      <c r="T94">
        <v>32.875</v>
      </c>
      <c r="U94">
        <v>22.568000000000001</v>
      </c>
      <c r="V94">
        <v>42.091999999999999</v>
      </c>
      <c r="W94">
        <v>172.96899999999999</v>
      </c>
      <c r="X94"/>
      <c r="Y94"/>
      <c r="Z94"/>
      <c r="AA94">
        <v>14.994999999999999</v>
      </c>
      <c r="AB94">
        <v>7.8849999999999998</v>
      </c>
      <c r="AC94">
        <v>55.593000000000004</v>
      </c>
      <c r="AD94" s="32">
        <f t="shared" si="2"/>
        <v>360.36399999999998</v>
      </c>
    </row>
    <row r="95" spans="1:30" ht="15" customHeight="1">
      <c r="A95" s="7">
        <v>88</v>
      </c>
      <c r="B95" s="23" t="s">
        <v>127</v>
      </c>
      <c r="C95" s="31" t="s">
        <v>35</v>
      </c>
      <c r="D95" s="32">
        <f t="shared" si="3"/>
        <v>377</v>
      </c>
      <c r="E95"/>
      <c r="F95">
        <v>24</v>
      </c>
      <c r="G95">
        <v>167</v>
      </c>
      <c r="H95">
        <v>55</v>
      </c>
      <c r="I95">
        <v>56</v>
      </c>
      <c r="J95">
        <v>75</v>
      </c>
      <c r="K95"/>
      <c r="L95"/>
      <c r="M95"/>
      <c r="N95"/>
      <c r="O95"/>
      <c r="P95"/>
      <c r="Q95" s="33" t="s">
        <v>36</v>
      </c>
      <c r="R95"/>
      <c r="S95">
        <v>5.4029999999999996</v>
      </c>
      <c r="T95">
        <v>56.991</v>
      </c>
      <c r="U95">
        <v>45.938000000000002</v>
      </c>
      <c r="V95">
        <v>97.004000000000005</v>
      </c>
      <c r="W95">
        <v>420.10700000000003</v>
      </c>
      <c r="X95"/>
      <c r="Y95"/>
      <c r="Z95"/>
      <c r="AA95"/>
      <c r="AB95"/>
      <c r="AC95"/>
      <c r="AD95" s="32">
        <f t="shared" si="2"/>
        <v>625.44299999999998</v>
      </c>
    </row>
    <row r="96" spans="1:30" ht="15" customHeight="1">
      <c r="A96" s="7">
        <v>89</v>
      </c>
      <c r="B96" s="23" t="s">
        <v>128</v>
      </c>
      <c r="C96" s="31" t="s">
        <v>35</v>
      </c>
      <c r="D96" s="32">
        <f t="shared" si="3"/>
        <v>931</v>
      </c>
      <c r="E96"/>
      <c r="F96">
        <v>220</v>
      </c>
      <c r="G96">
        <v>118</v>
      </c>
      <c r="H96">
        <v>252</v>
      </c>
      <c r="I96">
        <v>88</v>
      </c>
      <c r="J96">
        <v>152</v>
      </c>
      <c r="K96"/>
      <c r="L96"/>
      <c r="M96"/>
      <c r="N96">
        <v>68</v>
      </c>
      <c r="O96">
        <v>14</v>
      </c>
      <c r="P96">
        <v>19</v>
      </c>
      <c r="Q96" s="33" t="s">
        <v>36</v>
      </c>
      <c r="R96"/>
      <c r="S96">
        <v>22.251000000000001</v>
      </c>
      <c r="T96">
        <v>23.954000000000001</v>
      </c>
      <c r="U96">
        <v>85.632999999999996</v>
      </c>
      <c r="V96">
        <v>92.254999999999995</v>
      </c>
      <c r="W96">
        <v>626.30799999999999</v>
      </c>
      <c r="X96"/>
      <c r="Y96"/>
      <c r="Z96"/>
      <c r="AA96">
        <v>12.369</v>
      </c>
      <c r="AB96">
        <v>4.585</v>
      </c>
      <c r="AC96">
        <v>37.817</v>
      </c>
      <c r="AD96" s="32">
        <f t="shared" si="2"/>
        <v>905.17200000000003</v>
      </c>
    </row>
    <row r="97" spans="1:30" ht="15" customHeight="1">
      <c r="A97" s="7">
        <v>90</v>
      </c>
      <c r="B97" s="23" t="s">
        <v>129</v>
      </c>
      <c r="C97" s="31" t="s">
        <v>39</v>
      </c>
      <c r="D97" s="32">
        <f t="shared" si="3"/>
        <v>1286</v>
      </c>
      <c r="E97"/>
      <c r="F97">
        <v>340</v>
      </c>
      <c r="G97">
        <v>368</v>
      </c>
      <c r="H97">
        <v>161</v>
      </c>
      <c r="I97">
        <v>79</v>
      </c>
      <c r="J97">
        <v>96</v>
      </c>
      <c r="K97"/>
      <c r="L97"/>
      <c r="M97"/>
      <c r="N97">
        <v>187</v>
      </c>
      <c r="O97">
        <v>16</v>
      </c>
      <c r="P97">
        <v>39</v>
      </c>
      <c r="Q97" s="33" t="s">
        <v>36</v>
      </c>
      <c r="R97"/>
      <c r="S97">
        <v>30.43</v>
      </c>
      <c r="T97">
        <v>42.131</v>
      </c>
      <c r="U97">
        <v>71.531999999999996</v>
      </c>
      <c r="V97">
        <v>95.012</v>
      </c>
      <c r="W97">
        <v>432.72800000000001</v>
      </c>
      <c r="X97"/>
      <c r="Y97"/>
      <c r="Z97"/>
      <c r="AA97">
        <v>13.723000000000001</v>
      </c>
      <c r="AB97">
        <v>3.8820000000000001</v>
      </c>
      <c r="AC97">
        <v>64.236999999999995</v>
      </c>
      <c r="AD97" s="32">
        <f t="shared" si="2"/>
        <v>753.67499999999995</v>
      </c>
    </row>
    <row r="98" spans="1:30" ht="15" customHeight="1">
      <c r="A98" s="7">
        <v>91</v>
      </c>
      <c r="B98" s="23" t="s">
        <v>130</v>
      </c>
      <c r="C98" s="31" t="s">
        <v>35</v>
      </c>
      <c r="D98" s="32">
        <f t="shared" si="3"/>
        <v>157</v>
      </c>
      <c r="E98"/>
      <c r="F98">
        <v>58</v>
      </c>
      <c r="G98"/>
      <c r="H98">
        <v>54</v>
      </c>
      <c r="I98">
        <v>17</v>
      </c>
      <c r="J98">
        <v>28</v>
      </c>
      <c r="K98"/>
      <c r="L98"/>
      <c r="M98"/>
      <c r="N98"/>
      <c r="O98"/>
      <c r="P98"/>
      <c r="Q98" s="33" t="s">
        <v>36</v>
      </c>
      <c r="R98"/>
      <c r="S98">
        <v>12.132</v>
      </c>
      <c r="T98"/>
      <c r="U98">
        <v>33.045000000000002</v>
      </c>
      <c r="V98">
        <v>51.201000000000001</v>
      </c>
      <c r="W98">
        <v>222.10599999999999</v>
      </c>
      <c r="X98"/>
      <c r="Y98"/>
      <c r="Z98"/>
      <c r="AA98"/>
      <c r="AB98"/>
      <c r="AC98"/>
      <c r="AD98" s="32">
        <f t="shared" si="2"/>
        <v>318.48399999999998</v>
      </c>
    </row>
    <row r="99" spans="1:30" ht="15" customHeight="1">
      <c r="A99" s="7">
        <v>92</v>
      </c>
      <c r="B99" s="23" t="s">
        <v>131</v>
      </c>
      <c r="C99" s="31" t="s">
        <v>35</v>
      </c>
      <c r="D99" s="32">
        <f t="shared" si="3"/>
        <v>934</v>
      </c>
      <c r="E99"/>
      <c r="F99">
        <v>411</v>
      </c>
      <c r="G99"/>
      <c r="H99">
        <v>343</v>
      </c>
      <c r="I99">
        <v>52</v>
      </c>
      <c r="J99">
        <v>128</v>
      </c>
      <c r="K99"/>
      <c r="L99"/>
      <c r="M99"/>
      <c r="N99"/>
      <c r="O99"/>
      <c r="P99"/>
      <c r="Q99" s="33" t="s">
        <v>36</v>
      </c>
      <c r="R99"/>
      <c r="S99">
        <v>46.279000000000003</v>
      </c>
      <c r="T99"/>
      <c r="U99">
        <v>119.78400000000001</v>
      </c>
      <c r="V99">
        <v>86.305000000000007</v>
      </c>
      <c r="W99">
        <v>702.91200000000003</v>
      </c>
      <c r="X99"/>
      <c r="Y99"/>
      <c r="Z99"/>
      <c r="AA99"/>
      <c r="AB99"/>
      <c r="AC99"/>
      <c r="AD99" s="32">
        <f t="shared" si="2"/>
        <v>955.28000000000009</v>
      </c>
    </row>
    <row r="100" spans="1:30" ht="15" customHeight="1">
      <c r="A100" s="7">
        <v>93</v>
      </c>
      <c r="B100" s="23" t="s">
        <v>132</v>
      </c>
      <c r="C100" s="31" t="s">
        <v>45</v>
      </c>
      <c r="D100" s="32">
        <f t="shared" si="3"/>
        <v>1377</v>
      </c>
      <c r="E100">
        <v>113</v>
      </c>
      <c r="F100"/>
      <c r="G100">
        <v>115</v>
      </c>
      <c r="H100">
        <v>59</v>
      </c>
      <c r="I100">
        <v>36</v>
      </c>
      <c r="J100">
        <v>57</v>
      </c>
      <c r="K100">
        <v>560</v>
      </c>
      <c r="L100"/>
      <c r="M100"/>
      <c r="N100">
        <v>275</v>
      </c>
      <c r="O100">
        <v>71</v>
      </c>
      <c r="P100">
        <v>91</v>
      </c>
      <c r="Q100" s="33" t="s">
        <v>36</v>
      </c>
      <c r="R100">
        <v>2.8580000000000001</v>
      </c>
      <c r="S100"/>
      <c r="T100">
        <v>30.526</v>
      </c>
      <c r="U100">
        <v>21.992000000000001</v>
      </c>
      <c r="V100">
        <v>26.800999999999998</v>
      </c>
      <c r="W100">
        <v>189.768</v>
      </c>
      <c r="X100">
        <v>10.554</v>
      </c>
      <c r="Y100"/>
      <c r="Z100"/>
      <c r="AA100">
        <v>28.391999999999999</v>
      </c>
      <c r="AB100">
        <v>26.236000000000001</v>
      </c>
      <c r="AC100">
        <v>195.65100000000001</v>
      </c>
      <c r="AD100" s="32">
        <f t="shared" si="2"/>
        <v>532.77800000000002</v>
      </c>
    </row>
    <row r="101" spans="1:30" ht="15" customHeight="1">
      <c r="A101" s="7">
        <v>94</v>
      </c>
      <c r="B101" s="23" t="s">
        <v>133</v>
      </c>
      <c r="C101" s="31" t="s">
        <v>35</v>
      </c>
      <c r="D101" s="32">
        <f t="shared" si="3"/>
        <v>234</v>
      </c>
      <c r="E101"/>
      <c r="F101"/>
      <c r="G101">
        <v>130</v>
      </c>
      <c r="H101">
        <v>41</v>
      </c>
      <c r="I101">
        <v>30</v>
      </c>
      <c r="J101">
        <v>33</v>
      </c>
      <c r="K101"/>
      <c r="L101"/>
      <c r="M101"/>
      <c r="N101"/>
      <c r="O101"/>
      <c r="P101"/>
      <c r="Q101" s="33" t="s">
        <v>36</v>
      </c>
      <c r="R101"/>
      <c r="S101"/>
      <c r="T101">
        <v>58.902999999999999</v>
      </c>
      <c r="U101">
        <v>59.658000000000001</v>
      </c>
      <c r="V101">
        <v>91.084000000000003</v>
      </c>
      <c r="W101">
        <v>266.47000000000003</v>
      </c>
      <c r="X101"/>
      <c r="Y101"/>
      <c r="Z101"/>
      <c r="AA101"/>
      <c r="AB101"/>
      <c r="AC101"/>
      <c r="AD101" s="32">
        <f t="shared" si="2"/>
        <v>476.11500000000001</v>
      </c>
    </row>
    <row r="102" spans="1:30" ht="15" customHeight="1">
      <c r="A102" s="7">
        <v>95</v>
      </c>
      <c r="B102" s="23" t="s">
        <v>134</v>
      </c>
      <c r="C102" s="31" t="s">
        <v>35</v>
      </c>
      <c r="D102" s="32">
        <f t="shared" si="3"/>
        <v>99</v>
      </c>
      <c r="E102"/>
      <c r="F102"/>
      <c r="G102">
        <v>17</v>
      </c>
      <c r="H102">
        <v>45</v>
      </c>
      <c r="I102">
        <v>11</v>
      </c>
      <c r="J102">
        <v>26</v>
      </c>
      <c r="K102"/>
      <c r="L102"/>
      <c r="M102"/>
      <c r="N102"/>
      <c r="O102"/>
      <c r="P102"/>
      <c r="Q102" s="33" t="s">
        <v>36</v>
      </c>
      <c r="R102"/>
      <c r="S102"/>
      <c r="T102">
        <v>14.228</v>
      </c>
      <c r="U102">
        <v>41.198</v>
      </c>
      <c r="V102">
        <v>44.375999999999998</v>
      </c>
      <c r="W102">
        <v>245.09700000000001</v>
      </c>
      <c r="X102"/>
      <c r="Y102"/>
      <c r="Z102"/>
      <c r="AA102"/>
      <c r="AB102"/>
      <c r="AC102"/>
      <c r="AD102" s="32">
        <f t="shared" si="2"/>
        <v>344.899</v>
      </c>
    </row>
    <row r="103" spans="1:30" ht="15" customHeight="1">
      <c r="A103" s="7">
        <v>96</v>
      </c>
      <c r="B103" s="23" t="s">
        <v>135</v>
      </c>
      <c r="C103" s="31" t="s">
        <v>35</v>
      </c>
      <c r="D103" s="32">
        <f t="shared" si="3"/>
        <v>302</v>
      </c>
      <c r="E103"/>
      <c r="F103">
        <v>34</v>
      </c>
      <c r="G103">
        <v>119</v>
      </c>
      <c r="H103">
        <v>38</v>
      </c>
      <c r="I103">
        <v>51</v>
      </c>
      <c r="J103">
        <v>60</v>
      </c>
      <c r="K103"/>
      <c r="L103"/>
      <c r="M103"/>
      <c r="N103"/>
      <c r="O103"/>
      <c r="P103"/>
      <c r="Q103" s="33" t="s">
        <v>36</v>
      </c>
      <c r="R103"/>
      <c r="S103">
        <v>4.3390000000000004</v>
      </c>
      <c r="T103">
        <v>29.704999999999998</v>
      </c>
      <c r="U103">
        <v>32.576999999999998</v>
      </c>
      <c r="V103">
        <v>80.025999999999996</v>
      </c>
      <c r="W103">
        <v>314.74099999999999</v>
      </c>
      <c r="X103"/>
      <c r="Y103"/>
      <c r="Z103"/>
      <c r="AA103"/>
      <c r="AB103"/>
      <c r="AC103"/>
      <c r="AD103" s="32">
        <f t="shared" si="2"/>
        <v>461.38799999999998</v>
      </c>
    </row>
    <row r="104" spans="1:30" ht="15" customHeight="1">
      <c r="A104" s="7">
        <v>97</v>
      </c>
      <c r="B104" s="23" t="s">
        <v>136</v>
      </c>
      <c r="C104" s="31" t="s">
        <v>39</v>
      </c>
      <c r="D104" s="32">
        <f t="shared" si="3"/>
        <v>920</v>
      </c>
      <c r="E104"/>
      <c r="F104">
        <v>443</v>
      </c>
      <c r="G104"/>
      <c r="H104">
        <v>252</v>
      </c>
      <c r="I104">
        <v>86</v>
      </c>
      <c r="J104">
        <v>139</v>
      </c>
      <c r="K104"/>
      <c r="L104"/>
      <c r="M104"/>
      <c r="N104"/>
      <c r="O104"/>
      <c r="P104"/>
      <c r="Q104" s="33" t="s">
        <v>36</v>
      </c>
      <c r="R104"/>
      <c r="S104">
        <v>41.192999999999998</v>
      </c>
      <c r="T104"/>
      <c r="U104">
        <v>97.436999999999998</v>
      </c>
      <c r="V104">
        <v>83.347999999999999</v>
      </c>
      <c r="W104">
        <v>545.32299999999998</v>
      </c>
      <c r="X104"/>
      <c r="Y104"/>
      <c r="Z104"/>
      <c r="AA104"/>
      <c r="AB104"/>
      <c r="AC104"/>
      <c r="AD104" s="32">
        <f t="shared" si="2"/>
        <v>767.30099999999993</v>
      </c>
    </row>
    <row r="105" spans="1:30" ht="15" customHeight="1">
      <c r="A105" s="7">
        <v>98</v>
      </c>
      <c r="B105" s="23" t="s">
        <v>137</v>
      </c>
      <c r="C105" s="31" t="s">
        <v>39</v>
      </c>
      <c r="D105" s="32">
        <f t="shared" si="3"/>
        <v>1996</v>
      </c>
      <c r="E105"/>
      <c r="F105">
        <v>731</v>
      </c>
      <c r="G105">
        <v>83</v>
      </c>
      <c r="H105">
        <v>348</v>
      </c>
      <c r="I105">
        <v>178</v>
      </c>
      <c r="J105">
        <v>222</v>
      </c>
      <c r="K105"/>
      <c r="L105"/>
      <c r="M105">
        <v>308</v>
      </c>
      <c r="N105">
        <v>89</v>
      </c>
      <c r="O105">
        <v>12</v>
      </c>
      <c r="P105">
        <v>25</v>
      </c>
      <c r="Q105" s="33" t="s">
        <v>36</v>
      </c>
      <c r="R105"/>
      <c r="S105">
        <v>72.977000000000004</v>
      </c>
      <c r="T105">
        <v>22.814</v>
      </c>
      <c r="U105">
        <v>150.499</v>
      </c>
      <c r="V105">
        <v>155.17699999999999</v>
      </c>
      <c r="W105">
        <v>814.65700000000004</v>
      </c>
      <c r="X105"/>
      <c r="Y105"/>
      <c r="Z105">
        <v>10.917</v>
      </c>
      <c r="AA105">
        <v>11.875999999999999</v>
      </c>
      <c r="AB105">
        <v>5.2460000000000004</v>
      </c>
      <c r="AC105">
        <v>61.082999999999998</v>
      </c>
      <c r="AD105" s="32">
        <f t="shared" si="2"/>
        <v>1305.2460000000001</v>
      </c>
    </row>
    <row r="106" spans="1:30" ht="15" customHeight="1">
      <c r="A106" s="7">
        <v>99</v>
      </c>
      <c r="B106" s="23" t="s">
        <v>138</v>
      </c>
      <c r="C106" s="31" t="s">
        <v>35</v>
      </c>
      <c r="D106" s="32">
        <f t="shared" si="3"/>
        <v>443</v>
      </c>
      <c r="E106"/>
      <c r="F106">
        <v>228</v>
      </c>
      <c r="G106">
        <v>66</v>
      </c>
      <c r="H106">
        <v>93</v>
      </c>
      <c r="I106">
        <v>24</v>
      </c>
      <c r="J106">
        <v>32</v>
      </c>
      <c r="K106"/>
      <c r="L106"/>
      <c r="M106"/>
      <c r="N106"/>
      <c r="O106"/>
      <c r="P106"/>
      <c r="Q106" s="33" t="s">
        <v>36</v>
      </c>
      <c r="R106"/>
      <c r="S106">
        <v>24.087</v>
      </c>
      <c r="T106">
        <v>13.894</v>
      </c>
      <c r="U106">
        <v>48.024999999999999</v>
      </c>
      <c r="V106">
        <v>49.978000000000002</v>
      </c>
      <c r="W106">
        <v>199.751</v>
      </c>
      <c r="X106"/>
      <c r="Y106"/>
      <c r="Z106"/>
      <c r="AA106"/>
      <c r="AB106"/>
      <c r="AC106"/>
      <c r="AD106" s="32">
        <f t="shared" si="2"/>
        <v>335.73500000000001</v>
      </c>
    </row>
    <row r="107" spans="1:30" ht="15" customHeight="1">
      <c r="A107" s="7">
        <v>100</v>
      </c>
      <c r="B107" s="23" t="s">
        <v>139</v>
      </c>
      <c r="C107" s="31" t="s">
        <v>39</v>
      </c>
      <c r="D107" s="32">
        <f t="shared" si="3"/>
        <v>1837</v>
      </c>
      <c r="E107"/>
      <c r="F107">
        <v>683</v>
      </c>
      <c r="G107">
        <v>93</v>
      </c>
      <c r="H107">
        <v>185</v>
      </c>
      <c r="I107">
        <v>145</v>
      </c>
      <c r="J107">
        <v>293</v>
      </c>
      <c r="K107"/>
      <c r="L107"/>
      <c r="M107">
        <v>220</v>
      </c>
      <c r="N107">
        <v>95</v>
      </c>
      <c r="O107">
        <v>52</v>
      </c>
      <c r="P107">
        <v>71</v>
      </c>
      <c r="Q107" s="33" t="s">
        <v>36</v>
      </c>
      <c r="R107"/>
      <c r="S107">
        <v>79.484999999999999</v>
      </c>
      <c r="T107">
        <v>11.316000000000001</v>
      </c>
      <c r="U107">
        <v>77.036000000000001</v>
      </c>
      <c r="V107">
        <v>159.21700000000001</v>
      </c>
      <c r="W107">
        <v>1241.9770000000001</v>
      </c>
      <c r="X107"/>
      <c r="Y107"/>
      <c r="Z107">
        <v>10.250999999999999</v>
      </c>
      <c r="AA107">
        <v>12.587999999999999</v>
      </c>
      <c r="AB107">
        <v>12.487</v>
      </c>
      <c r="AC107">
        <v>115.261</v>
      </c>
      <c r="AD107" s="32">
        <f t="shared" si="2"/>
        <v>1719.6179999999999</v>
      </c>
    </row>
    <row r="108" spans="1:30" ht="15" customHeight="1">
      <c r="A108" s="7">
        <v>101</v>
      </c>
      <c r="B108" s="23" t="s">
        <v>140</v>
      </c>
      <c r="C108" s="31" t="s">
        <v>35</v>
      </c>
      <c r="D108" s="32">
        <f t="shared" si="3"/>
        <v>41</v>
      </c>
      <c r="E108"/>
      <c r="F108">
        <v>5</v>
      </c>
      <c r="G108"/>
      <c r="H108">
        <v>21</v>
      </c>
      <c r="I108">
        <v>6</v>
      </c>
      <c r="J108">
        <v>9</v>
      </c>
      <c r="K108"/>
      <c r="L108"/>
      <c r="M108"/>
      <c r="N108"/>
      <c r="O108"/>
      <c r="P108"/>
      <c r="Q108" s="33" t="s">
        <v>36</v>
      </c>
      <c r="R108"/>
      <c r="S108">
        <v>1.357</v>
      </c>
      <c r="T108"/>
      <c r="U108">
        <v>31.805</v>
      </c>
      <c r="V108">
        <v>25.401</v>
      </c>
      <c r="W108">
        <v>95.088999999999999</v>
      </c>
      <c r="X108"/>
      <c r="Y108"/>
      <c r="Z108"/>
      <c r="AA108"/>
      <c r="AB108"/>
      <c r="AC108"/>
      <c r="AD108" s="32">
        <f t="shared" si="2"/>
        <v>153.65199999999999</v>
      </c>
    </row>
    <row r="109" spans="1:30" ht="15" customHeight="1">
      <c r="A109" s="7">
        <v>102</v>
      </c>
      <c r="B109" s="23" t="s">
        <v>141</v>
      </c>
      <c r="C109" s="31" t="s">
        <v>35</v>
      </c>
      <c r="D109" s="32">
        <f t="shared" si="3"/>
        <v>1193</v>
      </c>
      <c r="E109">
        <v>827</v>
      </c>
      <c r="F109">
        <v>81</v>
      </c>
      <c r="G109">
        <v>82</v>
      </c>
      <c r="H109">
        <v>70</v>
      </c>
      <c r="I109">
        <v>54</v>
      </c>
      <c r="J109">
        <v>79</v>
      </c>
      <c r="K109"/>
      <c r="L109"/>
      <c r="M109"/>
      <c r="N109"/>
      <c r="O109"/>
      <c r="P109"/>
      <c r="Q109" s="33" t="s">
        <v>36</v>
      </c>
      <c r="R109">
        <v>22.640999999999998</v>
      </c>
      <c r="S109">
        <v>10.183</v>
      </c>
      <c r="T109">
        <v>13.942</v>
      </c>
      <c r="U109">
        <v>29.585000000000001</v>
      </c>
      <c r="V109">
        <v>102.572</v>
      </c>
      <c r="W109">
        <v>468.69499999999999</v>
      </c>
      <c r="X109"/>
      <c r="Y109"/>
      <c r="Z109"/>
      <c r="AA109"/>
      <c r="AB109"/>
      <c r="AC109"/>
      <c r="AD109" s="32">
        <f t="shared" si="2"/>
        <v>647.61799999999994</v>
      </c>
    </row>
    <row r="110" spans="1:30" ht="15" customHeight="1">
      <c r="A110" s="7">
        <v>103</v>
      </c>
      <c r="B110" s="23" t="s">
        <v>142</v>
      </c>
      <c r="C110" s="31" t="s">
        <v>39</v>
      </c>
      <c r="D110" s="32">
        <f t="shared" si="3"/>
        <v>843</v>
      </c>
      <c r="E110">
        <v>300</v>
      </c>
      <c r="F110"/>
      <c r="G110">
        <v>96</v>
      </c>
      <c r="H110">
        <v>190</v>
      </c>
      <c r="I110">
        <v>30</v>
      </c>
      <c r="J110">
        <v>86</v>
      </c>
      <c r="K110"/>
      <c r="L110"/>
      <c r="M110"/>
      <c r="N110">
        <v>126</v>
      </c>
      <c r="O110">
        <v>4</v>
      </c>
      <c r="P110">
        <v>11</v>
      </c>
      <c r="Q110" s="33" t="s">
        <v>36</v>
      </c>
      <c r="R110">
        <v>19.71</v>
      </c>
      <c r="S110"/>
      <c r="T110">
        <v>15.303000000000001</v>
      </c>
      <c r="U110">
        <v>68.433000000000007</v>
      </c>
      <c r="V110">
        <v>34.475000000000001</v>
      </c>
      <c r="W110">
        <v>370.34899999999999</v>
      </c>
      <c r="X110"/>
      <c r="Y110"/>
      <c r="Z110"/>
      <c r="AA110">
        <v>5.72</v>
      </c>
      <c r="AB110">
        <v>2.625</v>
      </c>
      <c r="AC110">
        <v>37.848999999999997</v>
      </c>
      <c r="AD110" s="32">
        <f t="shared" si="2"/>
        <v>554.46400000000006</v>
      </c>
    </row>
    <row r="111" spans="1:30" ht="15" customHeight="1">
      <c r="A111" s="7">
        <v>104</v>
      </c>
      <c r="B111" s="23" t="s">
        <v>143</v>
      </c>
      <c r="C111" s="31" t="s">
        <v>35</v>
      </c>
      <c r="D111" s="32">
        <f t="shared" si="3"/>
        <v>527</v>
      </c>
      <c r="E111"/>
      <c r="F111">
        <v>214</v>
      </c>
      <c r="G111"/>
      <c r="H111">
        <v>84</v>
      </c>
      <c r="I111">
        <v>99</v>
      </c>
      <c r="J111">
        <v>130</v>
      </c>
      <c r="K111"/>
      <c r="L111"/>
      <c r="M111"/>
      <c r="N111"/>
      <c r="O111"/>
      <c r="P111"/>
      <c r="Q111" s="33" t="s">
        <v>36</v>
      </c>
      <c r="R111"/>
      <c r="S111">
        <v>40.509</v>
      </c>
      <c r="T111"/>
      <c r="U111">
        <v>31.986000000000001</v>
      </c>
      <c r="V111">
        <v>91.78</v>
      </c>
      <c r="W111">
        <v>495.06700000000001</v>
      </c>
      <c r="X111"/>
      <c r="Y111"/>
      <c r="Z111"/>
      <c r="AA111"/>
      <c r="AB111"/>
      <c r="AC111"/>
      <c r="AD111" s="32">
        <f t="shared" si="2"/>
        <v>659.34199999999998</v>
      </c>
    </row>
    <row r="112" spans="1:30" ht="15" customHeight="1">
      <c r="A112" s="7">
        <v>105</v>
      </c>
      <c r="B112" s="23" t="s">
        <v>144</v>
      </c>
      <c r="C112" s="31" t="s">
        <v>39</v>
      </c>
      <c r="D112" s="32">
        <f t="shared" si="3"/>
        <v>1821</v>
      </c>
      <c r="E112">
        <v>824</v>
      </c>
      <c r="F112">
        <v>30</v>
      </c>
      <c r="G112">
        <v>111</v>
      </c>
      <c r="H112">
        <v>109</v>
      </c>
      <c r="I112">
        <v>66</v>
      </c>
      <c r="J112">
        <v>61</v>
      </c>
      <c r="K112">
        <v>168</v>
      </c>
      <c r="L112"/>
      <c r="M112">
        <v>149</v>
      </c>
      <c r="N112">
        <v>162</v>
      </c>
      <c r="O112">
        <v>58</v>
      </c>
      <c r="P112">
        <v>83</v>
      </c>
      <c r="Q112" s="33" t="s">
        <v>36</v>
      </c>
      <c r="R112">
        <v>22.01</v>
      </c>
      <c r="S112">
        <v>1.714</v>
      </c>
      <c r="T112">
        <v>18.62</v>
      </c>
      <c r="U112">
        <v>45.127000000000002</v>
      </c>
      <c r="V112">
        <v>68.088999999999999</v>
      </c>
      <c r="W112">
        <v>249.40700000000001</v>
      </c>
      <c r="X112">
        <v>4.3310000000000004</v>
      </c>
      <c r="Y112"/>
      <c r="Z112">
        <v>8.7230000000000008</v>
      </c>
      <c r="AA112">
        <v>13.664999999999999</v>
      </c>
      <c r="AB112">
        <v>9.3119999999999994</v>
      </c>
      <c r="AC112">
        <v>105.72799999999999</v>
      </c>
      <c r="AD112" s="32">
        <f t="shared" si="2"/>
        <v>546.726</v>
      </c>
    </row>
    <row r="113" spans="1:30" ht="15" customHeight="1">
      <c r="A113" s="7">
        <v>106</v>
      </c>
      <c r="B113" s="23" t="s">
        <v>145</v>
      </c>
      <c r="C113" s="31" t="s">
        <v>39</v>
      </c>
      <c r="D113" s="32">
        <f t="shared" si="3"/>
        <v>1906</v>
      </c>
      <c r="E113">
        <v>1065</v>
      </c>
      <c r="F113"/>
      <c r="G113">
        <v>338</v>
      </c>
      <c r="H113">
        <v>76</v>
      </c>
      <c r="I113">
        <v>96</v>
      </c>
      <c r="J113">
        <v>65</v>
      </c>
      <c r="K113"/>
      <c r="L113"/>
      <c r="M113"/>
      <c r="N113">
        <v>210</v>
      </c>
      <c r="O113">
        <v>23</v>
      </c>
      <c r="P113">
        <v>33</v>
      </c>
      <c r="Q113" s="33" t="s">
        <v>36</v>
      </c>
      <c r="R113">
        <v>22.329000000000001</v>
      </c>
      <c r="S113"/>
      <c r="T113">
        <v>51.238</v>
      </c>
      <c r="U113">
        <v>39.618000000000002</v>
      </c>
      <c r="V113">
        <v>119.706</v>
      </c>
      <c r="W113">
        <v>298.13799999999998</v>
      </c>
      <c r="X113"/>
      <c r="Y113"/>
      <c r="Z113"/>
      <c r="AA113">
        <v>16.198</v>
      </c>
      <c r="AB113">
        <v>9.2430000000000003</v>
      </c>
      <c r="AC113">
        <v>73.647000000000006</v>
      </c>
      <c r="AD113" s="32">
        <f t="shared" si="2"/>
        <v>630.11700000000008</v>
      </c>
    </row>
    <row r="114" spans="1:30" ht="15" customHeight="1">
      <c r="A114" s="7">
        <v>107</v>
      </c>
      <c r="B114" s="23" t="s">
        <v>146</v>
      </c>
      <c r="C114" s="31" t="s">
        <v>39</v>
      </c>
      <c r="D114" s="32">
        <f t="shared" si="3"/>
        <v>1023</v>
      </c>
      <c r="E114">
        <v>599</v>
      </c>
      <c r="F114"/>
      <c r="G114">
        <v>69</v>
      </c>
      <c r="H114">
        <v>96</v>
      </c>
      <c r="I114">
        <v>54</v>
      </c>
      <c r="J114">
        <v>55</v>
      </c>
      <c r="K114"/>
      <c r="L114"/>
      <c r="M114"/>
      <c r="N114">
        <v>119</v>
      </c>
      <c r="O114">
        <v>11</v>
      </c>
      <c r="P114">
        <v>20</v>
      </c>
      <c r="Q114" s="33" t="s">
        <v>36</v>
      </c>
      <c r="R114">
        <v>13.711</v>
      </c>
      <c r="S114"/>
      <c r="T114">
        <v>13.153</v>
      </c>
      <c r="U114">
        <v>30.350999999999999</v>
      </c>
      <c r="V114">
        <v>82.171000000000006</v>
      </c>
      <c r="W114">
        <v>284.51299999999998</v>
      </c>
      <c r="X114"/>
      <c r="Y114"/>
      <c r="Z114"/>
      <c r="AA114">
        <v>18.780999999999999</v>
      </c>
      <c r="AB114">
        <v>7.6619999999999999</v>
      </c>
      <c r="AC114">
        <v>62.609000000000002</v>
      </c>
      <c r="AD114" s="32">
        <f t="shared" si="2"/>
        <v>512.95100000000002</v>
      </c>
    </row>
    <row r="115" spans="1:30" ht="15" customHeight="1">
      <c r="A115" s="7">
        <v>108</v>
      </c>
      <c r="B115" s="23" t="s">
        <v>147</v>
      </c>
      <c r="C115" s="31" t="s">
        <v>35</v>
      </c>
      <c r="D115" s="32">
        <f t="shared" si="3"/>
        <v>354</v>
      </c>
      <c r="E115"/>
      <c r="F115"/>
      <c r="G115">
        <v>178</v>
      </c>
      <c r="H115">
        <v>66</v>
      </c>
      <c r="I115">
        <v>51</v>
      </c>
      <c r="J115">
        <v>59</v>
      </c>
      <c r="K115"/>
      <c r="L115"/>
      <c r="M115"/>
      <c r="N115"/>
      <c r="O115"/>
      <c r="P115"/>
      <c r="Q115" s="33" t="s">
        <v>36</v>
      </c>
      <c r="R115"/>
      <c r="S115"/>
      <c r="T115">
        <v>23.736000000000001</v>
      </c>
      <c r="U115">
        <v>24.175999999999998</v>
      </c>
      <c r="V115">
        <v>54.003999999999998</v>
      </c>
      <c r="W115">
        <v>244.16200000000001</v>
      </c>
      <c r="X115"/>
      <c r="Y115"/>
      <c r="Z115"/>
      <c r="AA115"/>
      <c r="AB115"/>
      <c r="AC115"/>
      <c r="AD115" s="32">
        <f t="shared" si="2"/>
        <v>346.07799999999997</v>
      </c>
    </row>
    <row r="116" spans="1:30" ht="15" customHeight="1">
      <c r="A116" s="7">
        <v>109</v>
      </c>
      <c r="B116" s="23" t="s">
        <v>148</v>
      </c>
      <c r="C116" s="31" t="s">
        <v>39</v>
      </c>
      <c r="D116" s="32">
        <f t="shared" si="3"/>
        <v>601</v>
      </c>
      <c r="E116"/>
      <c r="F116">
        <v>120</v>
      </c>
      <c r="G116">
        <v>95</v>
      </c>
      <c r="H116">
        <v>52</v>
      </c>
      <c r="I116">
        <v>45</v>
      </c>
      <c r="J116">
        <v>67</v>
      </c>
      <c r="K116"/>
      <c r="L116"/>
      <c r="M116">
        <v>58</v>
      </c>
      <c r="N116">
        <v>46</v>
      </c>
      <c r="O116">
        <v>73</v>
      </c>
      <c r="P116">
        <v>45</v>
      </c>
      <c r="Q116" s="33" t="s">
        <v>36</v>
      </c>
      <c r="R116"/>
      <c r="S116">
        <v>14.882</v>
      </c>
      <c r="T116">
        <v>18.225000000000001</v>
      </c>
      <c r="U116">
        <v>27.69</v>
      </c>
      <c r="V116">
        <v>75.266999999999996</v>
      </c>
      <c r="W116">
        <v>369.55</v>
      </c>
      <c r="X116"/>
      <c r="Y116"/>
      <c r="Z116">
        <v>4.0720000000000001</v>
      </c>
      <c r="AA116">
        <v>5.6820000000000004</v>
      </c>
      <c r="AB116">
        <v>16.158999999999999</v>
      </c>
      <c r="AC116">
        <v>70.501999999999995</v>
      </c>
      <c r="AD116" s="32">
        <f t="shared" si="2"/>
        <v>602.029</v>
      </c>
    </row>
    <row r="117" spans="1:30" ht="15" customHeight="1">
      <c r="A117" s="7">
        <v>110</v>
      </c>
      <c r="B117" s="23" t="s">
        <v>149</v>
      </c>
      <c r="C117" s="31" t="s">
        <v>35</v>
      </c>
      <c r="D117" s="32">
        <f t="shared" si="3"/>
        <v>340</v>
      </c>
      <c r="E117"/>
      <c r="F117">
        <v>97</v>
      </c>
      <c r="G117">
        <v>64</v>
      </c>
      <c r="H117">
        <v>76</v>
      </c>
      <c r="I117">
        <v>42</v>
      </c>
      <c r="J117">
        <v>61</v>
      </c>
      <c r="K117"/>
      <c r="L117"/>
      <c r="M117"/>
      <c r="N117"/>
      <c r="O117"/>
      <c r="P117"/>
      <c r="Q117" s="33" t="s">
        <v>36</v>
      </c>
      <c r="R117"/>
      <c r="S117">
        <v>25.027999999999999</v>
      </c>
      <c r="T117">
        <v>25.5</v>
      </c>
      <c r="U117">
        <v>49.122999999999998</v>
      </c>
      <c r="V117">
        <v>87.933000000000007</v>
      </c>
      <c r="W117">
        <v>388.05900000000003</v>
      </c>
      <c r="X117"/>
      <c r="Y117"/>
      <c r="Z117"/>
      <c r="AA117"/>
      <c r="AB117"/>
      <c r="AC117"/>
      <c r="AD117" s="32">
        <f t="shared" si="2"/>
        <v>575.64300000000003</v>
      </c>
    </row>
    <row r="118" spans="1:30" ht="15" customHeight="1">
      <c r="A118" s="7">
        <v>111</v>
      </c>
      <c r="B118" s="23" t="s">
        <v>150</v>
      </c>
      <c r="C118" s="31" t="s">
        <v>35</v>
      </c>
      <c r="D118" s="32">
        <f t="shared" si="3"/>
        <v>624</v>
      </c>
      <c r="E118">
        <v>201</v>
      </c>
      <c r="F118">
        <v>137</v>
      </c>
      <c r="G118"/>
      <c r="H118">
        <v>56</v>
      </c>
      <c r="I118">
        <v>93</v>
      </c>
      <c r="J118">
        <v>137</v>
      </c>
      <c r="K118"/>
      <c r="L118"/>
      <c r="M118"/>
      <c r="N118"/>
      <c r="O118"/>
      <c r="P118"/>
      <c r="Q118" s="33" t="s">
        <v>36</v>
      </c>
      <c r="R118">
        <v>12.441000000000001</v>
      </c>
      <c r="S118">
        <v>28.126999999999999</v>
      </c>
      <c r="T118"/>
      <c r="U118">
        <v>55.97</v>
      </c>
      <c r="V118">
        <v>121.096</v>
      </c>
      <c r="W118">
        <v>646.72699999999998</v>
      </c>
      <c r="X118"/>
      <c r="Y118"/>
      <c r="Z118"/>
      <c r="AA118"/>
      <c r="AB118"/>
      <c r="AC118"/>
      <c r="AD118" s="32">
        <f t="shared" si="2"/>
        <v>864.36099999999999</v>
      </c>
    </row>
    <row r="119" spans="1:30" ht="15" customHeight="1">
      <c r="A119" s="7">
        <v>112</v>
      </c>
      <c r="B119" s="23" t="s">
        <v>151</v>
      </c>
      <c r="C119" s="31" t="s">
        <v>35</v>
      </c>
      <c r="D119" s="32">
        <f t="shared" si="3"/>
        <v>225</v>
      </c>
      <c r="E119">
        <v>21</v>
      </c>
      <c r="F119"/>
      <c r="G119">
        <v>123</v>
      </c>
      <c r="H119">
        <v>28</v>
      </c>
      <c r="I119">
        <v>23</v>
      </c>
      <c r="J119">
        <v>30</v>
      </c>
      <c r="K119"/>
      <c r="L119"/>
      <c r="M119"/>
      <c r="N119"/>
      <c r="O119"/>
      <c r="P119"/>
      <c r="Q119" s="33" t="s">
        <v>36</v>
      </c>
      <c r="R119">
        <v>0.72199999999999998</v>
      </c>
      <c r="S119"/>
      <c r="T119">
        <v>27.446999999999999</v>
      </c>
      <c r="U119">
        <v>14.875999999999999</v>
      </c>
      <c r="V119">
        <v>42.860999999999997</v>
      </c>
      <c r="W119">
        <v>174.93600000000001</v>
      </c>
      <c r="X119"/>
      <c r="Y119"/>
      <c r="Z119"/>
      <c r="AA119"/>
      <c r="AB119"/>
      <c r="AC119"/>
      <c r="AD119" s="32">
        <f t="shared" si="2"/>
        <v>260.84199999999998</v>
      </c>
    </row>
    <row r="120" spans="1:30" ht="15" customHeight="1">
      <c r="A120" s="7">
        <v>113</v>
      </c>
      <c r="B120" s="23" t="s">
        <v>152</v>
      </c>
      <c r="C120" s="31" t="s">
        <v>35</v>
      </c>
      <c r="D120" s="32">
        <f t="shared" si="3"/>
        <v>373</v>
      </c>
      <c r="E120"/>
      <c r="F120"/>
      <c r="G120">
        <v>197</v>
      </c>
      <c r="H120">
        <v>58</v>
      </c>
      <c r="I120">
        <v>38</v>
      </c>
      <c r="J120">
        <v>80</v>
      </c>
      <c r="K120"/>
      <c r="L120"/>
      <c r="M120"/>
      <c r="N120"/>
      <c r="O120"/>
      <c r="P120"/>
      <c r="Q120" s="33" t="s">
        <v>36</v>
      </c>
      <c r="R120"/>
      <c r="S120"/>
      <c r="T120">
        <v>53.579000000000001</v>
      </c>
      <c r="U120">
        <v>41.069000000000003</v>
      </c>
      <c r="V120">
        <v>65.221999999999994</v>
      </c>
      <c r="W120">
        <v>447.16899999999998</v>
      </c>
      <c r="X120"/>
      <c r="Y120"/>
      <c r="Z120"/>
      <c r="AA120"/>
      <c r="AB120"/>
      <c r="AC120"/>
      <c r="AD120" s="32">
        <f t="shared" si="2"/>
        <v>607.03899999999999</v>
      </c>
    </row>
    <row r="121" spans="1:30" ht="15" customHeight="1">
      <c r="A121" s="7">
        <v>114</v>
      </c>
      <c r="B121" s="23" t="s">
        <v>153</v>
      </c>
      <c r="C121" s="31" t="s">
        <v>45</v>
      </c>
      <c r="D121" s="32">
        <f t="shared" si="3"/>
        <v>3848</v>
      </c>
      <c r="E121">
        <v>989</v>
      </c>
      <c r="F121">
        <v>275</v>
      </c>
      <c r="G121">
        <v>47</v>
      </c>
      <c r="H121">
        <v>282</v>
      </c>
      <c r="I121">
        <v>116</v>
      </c>
      <c r="J121">
        <v>143</v>
      </c>
      <c r="K121">
        <v>410</v>
      </c>
      <c r="L121">
        <v>156</v>
      </c>
      <c r="M121">
        <v>289</v>
      </c>
      <c r="N121">
        <v>637</v>
      </c>
      <c r="O121">
        <v>226</v>
      </c>
      <c r="P121">
        <v>278</v>
      </c>
      <c r="Q121" s="33" t="s">
        <v>36</v>
      </c>
      <c r="R121">
        <v>21.658000000000001</v>
      </c>
      <c r="S121">
        <v>24.027000000000001</v>
      </c>
      <c r="T121">
        <v>7.8609999999999998</v>
      </c>
      <c r="U121">
        <v>78.42</v>
      </c>
      <c r="V121">
        <v>138.03800000000001</v>
      </c>
      <c r="W121">
        <v>636.14200000000005</v>
      </c>
      <c r="X121">
        <v>7.5209999999999999</v>
      </c>
      <c r="Y121">
        <v>9.5229999999999997</v>
      </c>
      <c r="Z121">
        <v>14.675000000000001</v>
      </c>
      <c r="AA121">
        <v>35.703000000000003</v>
      </c>
      <c r="AB121">
        <v>34.896999999999998</v>
      </c>
      <c r="AC121">
        <v>345.88200000000001</v>
      </c>
      <c r="AD121" s="32">
        <f t="shared" si="2"/>
        <v>1354.347</v>
      </c>
    </row>
    <row r="122" spans="1:30" ht="15" customHeight="1">
      <c r="A122" s="7">
        <v>115</v>
      </c>
      <c r="B122" s="23" t="s">
        <v>154</v>
      </c>
      <c r="C122" s="31" t="s">
        <v>35</v>
      </c>
      <c r="D122" s="32">
        <f t="shared" si="3"/>
        <v>397</v>
      </c>
      <c r="E122"/>
      <c r="F122">
        <v>163</v>
      </c>
      <c r="G122">
        <v>101</v>
      </c>
      <c r="H122">
        <v>63</v>
      </c>
      <c r="I122">
        <v>29</v>
      </c>
      <c r="J122">
        <v>41</v>
      </c>
      <c r="K122"/>
      <c r="L122"/>
      <c r="M122"/>
      <c r="N122"/>
      <c r="O122"/>
      <c r="P122"/>
      <c r="Q122" s="33" t="s">
        <v>36</v>
      </c>
      <c r="R122"/>
      <c r="S122">
        <v>24.829000000000001</v>
      </c>
      <c r="T122">
        <v>23.007000000000001</v>
      </c>
      <c r="U122">
        <v>48.591000000000001</v>
      </c>
      <c r="V122">
        <v>71.692999999999998</v>
      </c>
      <c r="W122">
        <v>290.90600000000001</v>
      </c>
      <c r="X122"/>
      <c r="Y122"/>
      <c r="Z122"/>
      <c r="AA122"/>
      <c r="AB122"/>
      <c r="AC122"/>
      <c r="AD122" s="32">
        <f t="shared" si="2"/>
        <v>459.02600000000001</v>
      </c>
    </row>
    <row r="123" spans="1:30" ht="15" customHeight="1">
      <c r="A123" s="7">
        <v>116</v>
      </c>
      <c r="B123" s="23" t="s">
        <v>155</v>
      </c>
      <c r="C123" s="31" t="s">
        <v>39</v>
      </c>
      <c r="D123" s="32">
        <f t="shared" si="3"/>
        <v>490</v>
      </c>
      <c r="E123"/>
      <c r="F123"/>
      <c r="G123">
        <v>164</v>
      </c>
      <c r="H123">
        <v>21</v>
      </c>
      <c r="I123">
        <v>83</v>
      </c>
      <c r="J123">
        <v>85</v>
      </c>
      <c r="K123"/>
      <c r="L123"/>
      <c r="M123"/>
      <c r="N123">
        <v>107</v>
      </c>
      <c r="O123">
        <v>8</v>
      </c>
      <c r="P123">
        <v>22</v>
      </c>
      <c r="Q123" s="33" t="s">
        <v>36</v>
      </c>
      <c r="R123"/>
      <c r="S123"/>
      <c r="T123">
        <v>20.210999999999999</v>
      </c>
      <c r="U123">
        <v>12.252000000000001</v>
      </c>
      <c r="V123">
        <v>136.99700000000001</v>
      </c>
      <c r="W123">
        <v>462.59899999999999</v>
      </c>
      <c r="X123"/>
      <c r="Y123"/>
      <c r="Z123"/>
      <c r="AA123">
        <v>10.898</v>
      </c>
      <c r="AB123">
        <v>2.9209999999999998</v>
      </c>
      <c r="AC123">
        <v>47.156999999999996</v>
      </c>
      <c r="AD123" s="32">
        <f t="shared" si="2"/>
        <v>693.03500000000008</v>
      </c>
    </row>
    <row r="124" spans="1:30" ht="15" customHeight="1">
      <c r="A124" s="7">
        <v>117</v>
      </c>
      <c r="B124" s="23" t="s">
        <v>156</v>
      </c>
      <c r="C124" s="31" t="s">
        <v>35</v>
      </c>
      <c r="D124" s="32">
        <f t="shared" si="3"/>
        <v>456</v>
      </c>
      <c r="E124"/>
      <c r="F124">
        <v>122</v>
      </c>
      <c r="G124">
        <v>77</v>
      </c>
      <c r="H124">
        <v>138</v>
      </c>
      <c r="I124">
        <v>46</v>
      </c>
      <c r="J124">
        <v>73</v>
      </c>
      <c r="K124"/>
      <c r="L124"/>
      <c r="M124"/>
      <c r="N124"/>
      <c r="O124"/>
      <c r="P124"/>
      <c r="Q124" s="33" t="s">
        <v>36</v>
      </c>
      <c r="R124"/>
      <c r="S124">
        <v>10.302</v>
      </c>
      <c r="T124">
        <v>27.701000000000001</v>
      </c>
      <c r="U124">
        <v>67.111999999999995</v>
      </c>
      <c r="V124">
        <v>84.67</v>
      </c>
      <c r="W124">
        <v>426.815</v>
      </c>
      <c r="X124"/>
      <c r="Y124"/>
      <c r="Z124"/>
      <c r="AA124"/>
      <c r="AB124"/>
      <c r="AC124"/>
      <c r="AD124" s="32">
        <f t="shared" si="2"/>
        <v>616.6</v>
      </c>
    </row>
    <row r="125" spans="1:30" ht="15" customHeight="1">
      <c r="A125" s="7">
        <v>118</v>
      </c>
      <c r="B125" s="23" t="s">
        <v>157</v>
      </c>
      <c r="C125" s="31" t="s">
        <v>39</v>
      </c>
      <c r="D125" s="32">
        <f t="shared" si="3"/>
        <v>1490</v>
      </c>
      <c r="E125">
        <v>685</v>
      </c>
      <c r="F125">
        <v>1</v>
      </c>
      <c r="G125">
        <v>59</v>
      </c>
      <c r="H125">
        <v>200</v>
      </c>
      <c r="I125">
        <v>77</v>
      </c>
      <c r="J125">
        <v>135</v>
      </c>
      <c r="K125">
        <v>116</v>
      </c>
      <c r="L125"/>
      <c r="M125">
        <v>29</v>
      </c>
      <c r="N125">
        <v>118</v>
      </c>
      <c r="O125">
        <v>40</v>
      </c>
      <c r="P125">
        <v>30</v>
      </c>
      <c r="Q125" s="33" t="s">
        <v>36</v>
      </c>
      <c r="R125">
        <v>24.67</v>
      </c>
      <c r="S125">
        <v>0.153</v>
      </c>
      <c r="T125">
        <v>16.613</v>
      </c>
      <c r="U125">
        <v>77.588999999999999</v>
      </c>
      <c r="V125">
        <v>87.823999999999998</v>
      </c>
      <c r="W125">
        <v>587.077</v>
      </c>
      <c r="X125">
        <v>3.2730000000000001</v>
      </c>
      <c r="Y125"/>
      <c r="Z125">
        <v>2.452</v>
      </c>
      <c r="AA125">
        <v>12.683</v>
      </c>
      <c r="AB125">
        <v>17.306999999999999</v>
      </c>
      <c r="AC125">
        <v>72.037000000000006</v>
      </c>
      <c r="AD125" s="32">
        <f t="shared" si="2"/>
        <v>901.678</v>
      </c>
    </row>
    <row r="126" spans="1:30" ht="15" customHeight="1">
      <c r="A126" s="7">
        <v>119</v>
      </c>
      <c r="B126" s="23" t="s">
        <v>158</v>
      </c>
      <c r="C126" s="31" t="s">
        <v>35</v>
      </c>
      <c r="D126" s="32">
        <f t="shared" si="3"/>
        <v>293</v>
      </c>
      <c r="E126"/>
      <c r="F126">
        <v>165</v>
      </c>
      <c r="G126">
        <v>25</v>
      </c>
      <c r="H126">
        <v>52</v>
      </c>
      <c r="I126">
        <v>23</v>
      </c>
      <c r="J126">
        <v>28</v>
      </c>
      <c r="K126"/>
      <c r="L126"/>
      <c r="M126"/>
      <c r="N126"/>
      <c r="O126"/>
      <c r="P126"/>
      <c r="Q126" s="33" t="s">
        <v>36</v>
      </c>
      <c r="R126"/>
      <c r="S126">
        <v>32.292999999999999</v>
      </c>
      <c r="T126">
        <v>13.79</v>
      </c>
      <c r="U126">
        <v>43.679000000000002</v>
      </c>
      <c r="V126">
        <v>70.361000000000004</v>
      </c>
      <c r="W126">
        <v>226.83199999999999</v>
      </c>
      <c r="X126"/>
      <c r="Y126"/>
      <c r="Z126"/>
      <c r="AA126"/>
      <c r="AB126"/>
      <c r="AC126"/>
      <c r="AD126" s="32">
        <f t="shared" si="2"/>
        <v>386.95499999999998</v>
      </c>
    </row>
    <row r="127" spans="1:30" ht="15" customHeight="1">
      <c r="A127" s="7">
        <v>120</v>
      </c>
      <c r="B127" s="23" t="s">
        <v>159</v>
      </c>
      <c r="C127" s="31" t="s">
        <v>39</v>
      </c>
      <c r="D127" s="32">
        <f t="shared" si="3"/>
        <v>1049</v>
      </c>
      <c r="E127">
        <v>282</v>
      </c>
      <c r="F127">
        <v>364</v>
      </c>
      <c r="G127">
        <v>50</v>
      </c>
      <c r="H127">
        <v>104</v>
      </c>
      <c r="I127">
        <v>56</v>
      </c>
      <c r="J127">
        <v>36</v>
      </c>
      <c r="K127"/>
      <c r="L127"/>
      <c r="M127">
        <v>51</v>
      </c>
      <c r="N127">
        <v>46</v>
      </c>
      <c r="O127">
        <v>27</v>
      </c>
      <c r="P127">
        <v>33</v>
      </c>
      <c r="Q127" s="33" t="s">
        <v>36</v>
      </c>
      <c r="R127">
        <v>7.6749999999999998</v>
      </c>
      <c r="S127">
        <v>19.718</v>
      </c>
      <c r="T127">
        <v>7.7590000000000003</v>
      </c>
      <c r="U127">
        <v>36.363</v>
      </c>
      <c r="V127">
        <v>59.734999999999999</v>
      </c>
      <c r="W127">
        <v>150.12700000000001</v>
      </c>
      <c r="X127"/>
      <c r="Y127"/>
      <c r="Z127">
        <v>2.508</v>
      </c>
      <c r="AA127">
        <v>7.0270000000000001</v>
      </c>
      <c r="AB127">
        <v>7.5579999999999998</v>
      </c>
      <c r="AC127">
        <v>58.683999999999997</v>
      </c>
      <c r="AD127" s="32">
        <f t="shared" si="2"/>
        <v>357.154</v>
      </c>
    </row>
    <row r="128" spans="1:30" s="45" customFormat="1">
      <c r="A128" s="34"/>
      <c r="B128" s="35"/>
      <c r="C128" s="36"/>
      <c r="D128" s="37"/>
      <c r="E128" s="38"/>
      <c r="F128" s="38"/>
      <c r="G128" s="38"/>
      <c r="H128" s="38"/>
      <c r="I128" s="38"/>
      <c r="J128" s="39" t="s">
        <v>160</v>
      </c>
      <c r="K128" s="40"/>
      <c r="L128" s="40"/>
      <c r="M128" s="40"/>
      <c r="N128" s="40"/>
      <c r="O128" s="40"/>
      <c r="P128" s="41"/>
      <c r="Q128" s="42"/>
      <c r="R128" s="43"/>
      <c r="S128" s="43"/>
      <c r="T128" s="43"/>
      <c r="U128" s="43"/>
      <c r="V128" s="43"/>
      <c r="W128" s="44"/>
      <c r="X128" s="43"/>
      <c r="Y128" s="43"/>
      <c r="Z128" s="43"/>
      <c r="AA128" s="43"/>
      <c r="AB128" s="43"/>
      <c r="AC128" s="44"/>
      <c r="AD128" s="37"/>
    </row>
    <row r="129" spans="1:30">
      <c r="A129" s="7"/>
      <c r="B129" s="46" t="s">
        <v>161</v>
      </c>
      <c r="C129" s="47"/>
      <c r="D129" s="32">
        <f t="shared" ref="D129:P129" si="4">SUM(D8:D127)</f>
        <v>128914</v>
      </c>
      <c r="E129" s="48">
        <f t="shared" si="4"/>
        <v>19585</v>
      </c>
      <c r="F129" s="48">
        <f t="shared" si="4"/>
        <v>16076</v>
      </c>
      <c r="G129" s="48">
        <f t="shared" si="4"/>
        <v>10842</v>
      </c>
      <c r="H129" s="48">
        <f t="shared" si="4"/>
        <v>12136</v>
      </c>
      <c r="I129" s="48">
        <f t="shared" si="4"/>
        <v>6554</v>
      </c>
      <c r="J129" s="48">
        <f t="shared" si="4"/>
        <v>9256</v>
      </c>
      <c r="K129" s="48">
        <f t="shared" si="4"/>
        <v>16529</v>
      </c>
      <c r="L129" s="48">
        <f t="shared" si="4"/>
        <v>2181</v>
      </c>
      <c r="M129" s="48">
        <f t="shared" si="4"/>
        <v>11112</v>
      </c>
      <c r="N129" s="48">
        <f t="shared" si="4"/>
        <v>13964</v>
      </c>
      <c r="O129" s="48">
        <f t="shared" si="4"/>
        <v>4758</v>
      </c>
      <c r="P129" s="48">
        <f t="shared" si="4"/>
        <v>5921</v>
      </c>
      <c r="Q129" s="49"/>
      <c r="R129" s="32">
        <f t="shared" ref="R129:AD129" si="5">SUM(R8:R127)</f>
        <v>596.78599999999983</v>
      </c>
      <c r="S129" s="32">
        <f t="shared" si="5"/>
        <v>1870.5700000000002</v>
      </c>
      <c r="T129" s="32">
        <f t="shared" si="5"/>
        <v>2444.4709999999991</v>
      </c>
      <c r="U129" s="32">
        <f t="shared" si="5"/>
        <v>5957.881000000004</v>
      </c>
      <c r="V129" s="32">
        <f t="shared" si="5"/>
        <v>9494.9560000000038</v>
      </c>
      <c r="W129" s="32">
        <f t="shared" si="5"/>
        <v>46583.821000000011</v>
      </c>
      <c r="X129" s="32">
        <f t="shared" si="5"/>
        <v>203.92799999999997</v>
      </c>
      <c r="Y129" s="32">
        <f t="shared" si="5"/>
        <v>67.745999999999995</v>
      </c>
      <c r="Z129" s="32">
        <f t="shared" si="5"/>
        <v>528.8130000000001</v>
      </c>
      <c r="AA129" s="32">
        <f t="shared" si="5"/>
        <v>1262.463</v>
      </c>
      <c r="AB129" s="32">
        <f t="shared" si="5"/>
        <v>1107.7769999999998</v>
      </c>
      <c r="AC129" s="32">
        <f t="shared" si="5"/>
        <v>9478.3760000000002</v>
      </c>
      <c r="AD129" s="32">
        <f t="shared" si="5"/>
        <v>79597.588000000003</v>
      </c>
    </row>
    <row r="130" spans="1:30">
      <c r="A130" s="7"/>
      <c r="B130" s="50" t="s">
        <v>162</v>
      </c>
      <c r="C130" s="47"/>
      <c r="D130" s="32"/>
      <c r="E130" s="51">
        <f>E129/$D$129</f>
        <v>0.15192298741796856</v>
      </c>
      <c r="F130" s="51">
        <f t="shared" ref="F130:P130" si="6">F129/$D$129</f>
        <v>0.12470329056580357</v>
      </c>
      <c r="G130" s="51">
        <f t="shared" si="6"/>
        <v>8.4102580014583372E-2</v>
      </c>
      <c r="H130" s="51">
        <f t="shared" si="6"/>
        <v>9.4140279566222437E-2</v>
      </c>
      <c r="I130" s="51">
        <f t="shared" si="6"/>
        <v>5.0840094947018945E-2</v>
      </c>
      <c r="J130" s="51">
        <f t="shared" si="6"/>
        <v>7.1799804520843349E-2</v>
      </c>
      <c r="K130" s="51">
        <f t="shared" si="6"/>
        <v>0.12821726111981632</v>
      </c>
      <c r="L130" s="51">
        <f t="shared" si="6"/>
        <v>1.6918255581240205E-2</v>
      </c>
      <c r="M130" s="51">
        <f t="shared" si="6"/>
        <v>8.6196999550087652E-2</v>
      </c>
      <c r="N130" s="51">
        <f t="shared" si="6"/>
        <v>0.10832027553252556</v>
      </c>
      <c r="O130" s="51">
        <f t="shared" si="6"/>
        <v>3.6908326481220041E-2</v>
      </c>
      <c r="P130" s="51">
        <f t="shared" si="6"/>
        <v>4.5929844702669996E-2</v>
      </c>
      <c r="Q130" s="52"/>
      <c r="R130" s="51">
        <f t="shared" ref="R130:AC130" si="7">R129/$AD$129</f>
        <v>7.4975387445157231E-3</v>
      </c>
      <c r="S130" s="51">
        <f t="shared" si="7"/>
        <v>2.3500335211162428E-2</v>
      </c>
      <c r="T130" s="51">
        <f t="shared" si="7"/>
        <v>3.071036524373074E-2</v>
      </c>
      <c r="U130" s="51">
        <f t="shared" si="7"/>
        <v>7.4850019324706224E-2</v>
      </c>
      <c r="V130" s="51">
        <f t="shared" si="7"/>
        <v>0.11928698140953722</v>
      </c>
      <c r="W130" s="51">
        <f t="shared" si="7"/>
        <v>0.58524161561277466</v>
      </c>
      <c r="X130" s="51">
        <f t="shared" si="7"/>
        <v>2.5619871798125337E-3</v>
      </c>
      <c r="Y130" s="51">
        <f t="shared" si="7"/>
        <v>8.5110619181073669E-4</v>
      </c>
      <c r="Z130" s="51">
        <f t="shared" si="7"/>
        <v>6.6435807074958107E-3</v>
      </c>
      <c r="AA130" s="51">
        <f t="shared" si="7"/>
        <v>1.5860568538835624E-2</v>
      </c>
      <c r="AB130" s="51">
        <f t="shared" si="7"/>
        <v>1.39172181951041E-2</v>
      </c>
      <c r="AC130" s="51">
        <f t="shared" si="7"/>
        <v>0.11907868364051433</v>
      </c>
      <c r="AD130" s="51"/>
    </row>
  </sheetData>
  <mergeCells count="4">
    <mergeCell ref="E5:J5"/>
    <mergeCell ref="K5:P5"/>
    <mergeCell ref="R5:W5"/>
    <mergeCell ref="X5:AC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A9477B1EAFA4D83B3DB2E29B543D3" ma:contentTypeVersion="4" ma:contentTypeDescription="Create a new document." ma:contentTypeScope="" ma:versionID="ab5dcfd92a9f80f8434de1f369a703c8">
  <xsd:schema xmlns:xsd="http://www.w3.org/2001/XMLSchema" xmlns:xs="http://www.w3.org/2001/XMLSchema" xmlns:p="http://schemas.microsoft.com/office/2006/metadata/properties" xmlns:ns1="http://schemas.microsoft.com/sharepoint/v3" xmlns:ns3="9c16dc54-5a24-4afd-a61c-664ec7eab416" targetNamespace="http://schemas.microsoft.com/office/2006/metadata/properties" ma:root="true" ma:fieldsID="9bec7aaf70063ea9faaaf00d9715fdd2" ns1:_="" ns3:_="">
    <xsd:import namespace="http://schemas.microsoft.com/sharepoint/v3"/>
    <xsd:import namespace="9c16dc54-5a24-4afd-a61c-664ec7eab416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16dc54-5a24-4afd-a61c-664ec7eab41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 ma:index="6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9587990-F883-4DEF-A64F-C0C6531B28E4}"/>
</file>

<file path=customXml/itemProps2.xml><?xml version="1.0" encoding="utf-8"?>
<ds:datastoreItem xmlns:ds="http://schemas.openxmlformats.org/officeDocument/2006/customXml" ds:itemID="{4614ACF5-76A5-4CA0-9D98-8EA80196558A}"/>
</file>

<file path=customXml/itemProps3.xml><?xml version="1.0" encoding="utf-8"?>
<ds:datastoreItem xmlns:ds="http://schemas.openxmlformats.org/officeDocument/2006/customXml" ds:itemID="{67CE4CF2-B549-4297-8E49-00BB4B7683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2013</vt:lpstr>
    </vt:vector>
  </TitlesOfParts>
  <Company>Commonwealth of Kentucky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;#DVMT;#</dc:subject>
  <dc:creator>KYTC</dc:creator>
  <cp:lastModifiedBy>KYTC</cp:lastModifiedBy>
  <dcterms:created xsi:type="dcterms:W3CDTF">2014-07-02T13:12:21Z</dcterms:created>
  <dcterms:modified xsi:type="dcterms:W3CDTF">2014-07-02T15:08:32Z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0x0101007A5A9477B1EAFA4D83B3DB2E29B543D3</vt:lpwstr>
  </property>
</Properties>
</file>