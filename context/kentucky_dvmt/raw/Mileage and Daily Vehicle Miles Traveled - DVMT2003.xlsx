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195" windowHeight="9210"/>
  </bookViews>
  <sheets>
    <sheet name="Curr" sheetId="1" r:id="rId1"/>
  </sheets>
  <definedNames>
    <definedName name="_xlnm._FilterDatabase" localSheetId="0" hidden="1">Curr!$A$1:$AF$141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Curr!$A$2:$AF$127</definedName>
    <definedName name="Z_9B35B1A4_5380_11D4_9606_00B0D02CABC0_.wvu.PrintTitles" localSheetId="0" hidden="1">Curr!$A:$B,Curr!$5:$7</definedName>
  </definedNames>
  <calcPr calcId="125725" fullCalcOnLoad="1"/>
</workbook>
</file>

<file path=xl/calcChain.xml><?xml version="1.0" encoding="utf-8"?>
<calcChain xmlns="http://schemas.openxmlformats.org/spreadsheetml/2006/main">
  <c r="T129" i="1"/>
  <c r="AF8"/>
  <c r="AF9"/>
  <c r="AF129" s="1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U129"/>
  <c r="V129"/>
  <c r="V130" s="1"/>
  <c r="W129"/>
  <c r="X129"/>
  <c r="Z129"/>
  <c r="AA129"/>
  <c r="AB129"/>
  <c r="AC129"/>
  <c r="AD129"/>
  <c r="AE129"/>
  <c r="AE130" s="1"/>
  <c r="S129"/>
  <c r="F129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9"/>
  <c r="H130" s="1"/>
  <c r="G129"/>
  <c r="G130" s="1"/>
  <c r="H129"/>
  <c r="I129"/>
  <c r="I130" s="1"/>
  <c r="J129"/>
  <c r="J130" s="1"/>
  <c r="L129"/>
  <c r="L130" s="1"/>
  <c r="M129"/>
  <c r="N129"/>
  <c r="N130" s="1"/>
  <c r="O129"/>
  <c r="O130" s="1"/>
  <c r="P129"/>
  <c r="P130" s="1"/>
  <c r="Q129"/>
  <c r="E129"/>
  <c r="E130" s="1"/>
  <c r="AC130" l="1"/>
  <c r="X130"/>
  <c r="W130"/>
  <c r="AB130"/>
  <c r="S130"/>
  <c r="T130"/>
  <c r="Z130"/>
  <c r="AA130"/>
  <c r="AD130"/>
  <c r="U130"/>
  <c r="Q130"/>
  <c r="M130"/>
  <c r="F130"/>
</calcChain>
</file>

<file path=xl/sharedStrings.xml><?xml version="1.0" encoding="utf-8"?>
<sst xmlns="http://schemas.openxmlformats.org/spreadsheetml/2006/main" count="1551" uniqueCount="162">
  <si>
    <t>2003 DVMT (in thousands) and Mileage by County and Functional Class</t>
  </si>
  <si>
    <t>Sept. 16, 2004</t>
  </si>
  <si>
    <t>Rur/</t>
  </si>
  <si>
    <t>Rural DVMT (x1,000)</t>
  </si>
  <si>
    <t>Urban DVMT (x1,000)</t>
  </si>
  <si>
    <t>Rural Miles</t>
  </si>
  <si>
    <t>Urban Miles</t>
  </si>
  <si>
    <t>County</t>
  </si>
  <si>
    <t>Urb</t>
  </si>
  <si>
    <t>Total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</si>
  <si>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</si>
  <si>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</si>
  <si>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</si>
  <si>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</si>
  <si>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</si>
  <si>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</si>
  <si>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</si>
  <si>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</si>
  <si>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</si>
  <si>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DVMT</t>
  </si>
  <si>
    <t>1</t>
  </si>
  <si>
    <t>2</t>
  </si>
  <si>
    <t>6</t>
  </si>
  <si>
    <t>7</t>
  </si>
  <si>
    <t>8</t>
  </si>
  <si>
    <t>09</t>
  </si>
  <si>
    <t>11</t>
  </si>
  <si>
    <t>12</t>
  </si>
  <si>
    <t>14</t>
  </si>
  <si>
    <t>16</t>
  </si>
  <si>
    <t>17</t>
  </si>
  <si>
    <t>19</t>
  </si>
  <si>
    <t>9</t>
  </si>
  <si>
    <t>Miles</t>
  </si>
  <si>
    <t>ADAIR</t>
  </si>
  <si>
    <t>R</t>
  </si>
  <si>
    <t/>
  </si>
  <si>
    <t>ALLEN</t>
  </si>
  <si>
    <t>ANDERSON</t>
  </si>
  <si>
    <t>R/U</t>
  </si>
  <si>
    <t>BALLARD</t>
  </si>
  <si>
    <t>BARREN</t>
  </si>
  <si>
    <t>BATH</t>
  </si>
  <si>
    <t>BELL</t>
  </si>
  <si>
    <t>BOONE</t>
  </si>
  <si>
    <t>R/Uz</t>
  </si>
  <si>
    <t>BOURBON</t>
  </si>
  <si>
    <t>BOYD</t>
  </si>
  <si>
    <t>BOYLE</t>
  </si>
  <si>
    <t>BRACKEN</t>
  </si>
  <si>
    <t>BREATHITT</t>
  </si>
  <si>
    <t>BRECKINRIDGE</t>
  </si>
  <si>
    <t>BULLITT</t>
  </si>
  <si>
    <t>R/U/Uz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</si>
  <si>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</si>
  <si>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</si>
  <si>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</si>
  <si>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</si>
  <si>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</si>
  <si>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</si>
  <si>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</si>
  <si>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</si>
  <si>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</si>
  <si>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</si>
  <si>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</si>
  <si>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</si>
  <si>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</si>
  <si>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</si>
  <si>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</si>
  <si>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</si>
  <si>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</si>
  <si>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</si>
  <si>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</si>
  <si>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Uz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</si>
  <si>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</si>
  <si>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</si>
  <si>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</si>
  <si>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</si>
  <si>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</si>
  <si>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</si>
  <si>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</si>
  <si>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</si>
  <si>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</si>
  <si>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</si>
  <si>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</si>
  <si>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</si>
  <si>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</si>
  <si>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</si>
  <si>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</si>
  <si>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</si>
  <si>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</si>
  <si>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</si>
  <si>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</si>
  <si>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</si>
  <si>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</si>
  <si>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</si>
  <si>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</si>
  <si>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</si>
  <si>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</si>
  <si>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</si>
  <si>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</si>
  <si>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</si>
  <si>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</si>
  <si>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</si>
  <si>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</si>
  <si>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</si>
  <si>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</si>
  <si>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</si>
  <si>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</si>
  <si>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</si>
  <si>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</si>
  <si>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</si>
  <si>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</si>
  <si>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</si>
  <si>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</si>
  <si>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</si>
  <si>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</si>
  <si>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</si>
  <si>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</si>
  <si>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</si>
  <si>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</si>
  <si>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</si>
  <si>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</si>
  <si>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</si>
  <si>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</si>
  <si>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</si>
  <si>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</si>
  <si>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</si>
  <si>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</si>
  <si>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</si>
  <si>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</si>
  <si>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</si>
  <si>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</si>
  <si>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</si>
  <si>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</si>
  <si>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</si>
  <si>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</si>
  <si>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</si>
  <si>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</si>
  <si>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</si>
  <si>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</si>
  <si>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</si>
  <si>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</si>
  <si>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</si>
  <si>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</si>
  <si>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</si>
  <si>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</si>
  <si>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</si>
  <si>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</si>
  <si>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</si>
  <si>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</si>
  <si>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</si>
  <si>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</si>
  <si>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</si>
  <si>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</si>
  <si>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</si>
  <si>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</si>
  <si>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</si>
  <si>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</si>
  <si>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</si>
  <si>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</si>
  <si>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Percent of Total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</si>
</sst>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0">
    <font>
      <sz val="10"/>
      <name val="Arial"/>
    </font>
    <font>
      <sz val="10"/>
      <color indexed="8"/>
      <name val="MS Sans Serif"/>
    </font>
    <font>
      <sz val="10"/>
      <color indexed="8"/>
      <name val="Arial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8"/>
      <color indexed="48"/>
      <name val="Arial"/>
      <family val="2"/>
    </font>
    <font>
      <sz val="12"/>
      <color indexed="8"/>
      <name val="Arial"/>
    </font>
    <font>
      <sz val="12"/>
      <color indexed="8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54">
    <xf numFmtId="0" fontId="0" fillId="0" borderId="0" xfId="0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3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6" fillId="0" borderId="0" xfId="0" applyFont="1"/>
    <xf numFmtId="0" fontId="7" fillId="0" borderId="0" xfId="0" applyFont="1"/>
    <xf numFmtId="0" fontId="9" fillId="0" borderId="0" xfId="0" applyFont="1"/>
    <xf numFmtId="15" fontId="7" fillId="0" borderId="0" xfId="0" applyNumberFormat="1" applyFont="1"/>
    <xf numFmtId="15" fontId="9" fillId="0" borderId="0" xfId="0" quotePrefix="1" applyNumberFormat="1" applyFont="1"/>
    <xf numFmtId="0" fontId="10" fillId="0" borderId="0" xfId="0" applyFont="1"/>
    <xf numFmtId="3" fontId="6" fillId="0" borderId="0" xfId="0" quotePrefix="1" applyNumberFormat="1" applyFont="1" applyAlignment="1">
      <alignment horizontal="right"/>
    </xf>
    <xf numFmtId="3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7" fillId="0" borderId="0" xfId="0" applyNumberFormat="1" applyFont="1"/>
    <xf numFmtId="49" fontId="9" fillId="0" borderId="0" xfId="0" applyNumberFormat="1" applyFont="1"/>
    <xf numFmtId="3" fontId="6" fillId="0" borderId="0" xfId="0" applyNumberFormat="1" applyFont="1" applyAlignment="1">
      <alignment horizontal="right"/>
    </xf>
    <xf numFmtId="3" fontId="12" fillId="2" borderId="1" xfId="2" applyNumberFormat="1" applyFont="1" applyFill="1" applyBorder="1" applyAlignment="1">
      <alignment horizontal="center"/>
    </xf>
    <xf numFmtId="3" fontId="13" fillId="0" borderId="1" xfId="2" applyNumberFormat="1" applyFont="1" applyFill="1" applyBorder="1" applyAlignment="1">
      <alignment horizontal="center"/>
    </xf>
    <xf numFmtId="49" fontId="10" fillId="0" borderId="0" xfId="0" applyNumberFormat="1" applyFont="1"/>
    <xf numFmtId="3" fontId="12" fillId="0" borderId="2" xfId="2" applyNumberFormat="1" applyFont="1" applyFill="1" applyBorder="1" applyAlignment="1">
      <alignment horizontal="right" wrapText="1"/>
    </xf>
    <xf numFmtId="1" fontId="11" fillId="0" borderId="0" xfId="0" applyNumberFormat="1" applyFont="1"/>
    <xf numFmtId="3" fontId="13" fillId="0" borderId="2" xfId="2" applyNumberFormat="1" applyFont="1" applyFill="1" applyBorder="1" applyAlignment="1">
      <alignment horizontal="right" wrapText="1"/>
    </xf>
    <xf numFmtId="3" fontId="14" fillId="0" borderId="0" xfId="0" applyNumberFormat="1" applyFont="1"/>
    <xf numFmtId="0" fontId="7" fillId="0" borderId="0" xfId="0" applyFont="1" applyBorder="1"/>
    <xf numFmtId="49" fontId="7" fillId="0" borderId="0" xfId="0" applyNumberFormat="1" applyFont="1" applyBorder="1"/>
    <xf numFmtId="49" fontId="9" fillId="0" borderId="0" xfId="0" applyNumberFormat="1" applyFont="1" applyBorder="1"/>
    <xf numFmtId="3" fontId="6" fillId="0" borderId="0" xfId="0" applyNumberFormat="1" applyFont="1" applyBorder="1"/>
    <xf numFmtId="3" fontId="2" fillId="0" borderId="0" xfId="1" applyNumberFormat="1" applyFont="1" applyFill="1" applyBorder="1" applyAlignment="1">
      <alignment horizontal="right" wrapText="1"/>
    </xf>
    <xf numFmtId="3" fontId="0" fillId="0" borderId="0" xfId="0" applyNumberFormat="1" applyBorder="1"/>
    <xf numFmtId="164" fontId="8" fillId="0" borderId="0" xfId="0" applyNumberFormat="1" applyFont="1" applyBorder="1"/>
    <xf numFmtId="3" fontId="7" fillId="0" borderId="0" xfId="0" applyNumberFormat="1" applyFont="1" applyBorder="1"/>
    <xf numFmtId="3" fontId="13" fillId="0" borderId="0" xfId="3" applyNumberFormat="1" applyFont="1" applyFill="1" applyBorder="1" applyAlignment="1">
      <alignment horizontal="right" wrapText="1"/>
    </xf>
    <xf numFmtId="3" fontId="2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3" fontId="15" fillId="0" borderId="0" xfId="0" applyNumberFormat="1" applyFont="1"/>
    <xf numFmtId="0" fontId="8" fillId="0" borderId="0" xfId="0" applyFont="1" applyAlignment="1">
      <alignment horizontal="right"/>
    </xf>
    <xf numFmtId="165" fontId="8" fillId="0" borderId="0" xfId="0" applyNumberFormat="1" applyFont="1"/>
    <xf numFmtId="3" fontId="8" fillId="0" borderId="0" xfId="0" applyNumberFormat="1" applyFont="1"/>
    <xf numFmtId="0" fontId="16" fillId="0" borderId="0" xfId="0" applyFont="1"/>
    <xf numFmtId="0" fontId="17" fillId="0" borderId="0" xfId="0" applyFont="1"/>
    <xf numFmtId="3" fontId="16" fillId="0" borderId="0" xfId="0" applyNumberFormat="1" applyFont="1"/>
    <xf numFmtId="3" fontId="0" fillId="0" borderId="0" xfId="0" applyNumberFormat="1"/>
    <xf numFmtId="3" fontId="18" fillId="0" borderId="0" xfId="0" applyNumberFormat="1" applyFont="1"/>
    <xf numFmtId="3" fontId="7" fillId="0" borderId="0" xfId="0" applyNumberFormat="1" applyFont="1" applyAlignment="1">
      <alignment horizontal="center"/>
    </xf>
  </cellXfs>
  <cellStyles count="4">
    <cellStyle name="Normal" xfId="0" builtinId="0"/>
    <cellStyle name="Normal_2000_1" xfId="1"/>
    <cellStyle name="Normal_Curr" xfId="2"/>
    <cellStyle name="Normal_VMT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4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J120" sqref="J120"/>
    </sheetView>
  </sheetViews>
  <sheetFormatPr defaultRowHeight="15"/>
  <cols>
    <col min="1" max="1" width="5.140625" customWidth="1"/>
    <col min="2" max="2" width="18.28515625" customWidth="1"/>
    <col min="3" max="3" width="5.7109375" style="49" customWidth="1"/>
    <col min="4" max="4" width="11.5703125" style="50" customWidth="1"/>
    <col min="5" max="5" width="10.28515625" style="51" customWidth="1"/>
    <col min="6" max="10" width="9.5703125" style="51" customWidth="1"/>
    <col min="11" max="11" width="6.5703125" style="6" customWidth="1"/>
    <col min="12" max="17" width="9" style="51" customWidth="1"/>
    <col min="18" max="18" width="6.42578125" style="7" customWidth="1"/>
    <col min="19" max="24" width="9.28515625" style="5" bestFit="1" customWidth="1"/>
    <col min="25" max="25" width="4.140625" style="5" customWidth="1"/>
    <col min="26" max="26" width="10.42578125" style="5" customWidth="1"/>
    <col min="27" max="30" width="9.28515625" style="5" bestFit="1" customWidth="1"/>
    <col min="31" max="31" width="10.85546875" style="5" bestFit="1" customWidth="1"/>
    <col min="32" max="32" width="13.7109375" style="48" customWidth="1"/>
  </cols>
  <sheetData>
    <row r="1" spans="1:32" ht="15.75">
      <c r="A1" s="1"/>
      <c r="B1" s="2"/>
      <c r="C1" s="3"/>
      <c r="D1" s="4"/>
      <c r="E1" s="5"/>
      <c r="F1" s="5"/>
      <c r="G1" s="5"/>
      <c r="H1" s="5"/>
      <c r="I1" s="5"/>
      <c r="J1" s="5"/>
      <c r="L1" s="5"/>
      <c r="M1" s="5"/>
      <c r="N1" s="5"/>
      <c r="O1" s="5"/>
      <c r="P1" s="5"/>
      <c r="Q1" s="5"/>
      <c r="AF1" s="8"/>
    </row>
    <row r="2" spans="1:32" ht="15.75">
      <c r="A2" s="8" t="s">
        <v>0</v>
      </c>
      <c r="B2" s="9"/>
      <c r="C2" s="10"/>
      <c r="D2" s="4"/>
      <c r="E2" s="5"/>
      <c r="F2" s="5"/>
      <c r="G2" s="5"/>
      <c r="H2" s="5"/>
      <c r="I2" s="5"/>
      <c r="J2" s="5"/>
      <c r="L2" s="5"/>
      <c r="M2" s="5"/>
      <c r="N2" s="5"/>
      <c r="O2" s="5"/>
      <c r="P2" s="5"/>
      <c r="Q2" s="5"/>
      <c r="AF2" s="8"/>
    </row>
    <row r="3" spans="1:32" ht="15.75">
      <c r="A3" s="6"/>
      <c r="B3" s="9"/>
      <c r="C3" s="10"/>
      <c r="D3" s="4"/>
      <c r="E3" s="5"/>
      <c r="F3" s="5"/>
      <c r="G3" s="5"/>
      <c r="H3" s="5"/>
      <c r="I3" s="5"/>
      <c r="J3" s="5"/>
      <c r="L3" s="5"/>
      <c r="M3" s="5"/>
      <c r="N3" s="5"/>
      <c r="O3" s="5"/>
      <c r="P3" s="5"/>
      <c r="Q3" s="5"/>
      <c r="AF3" s="8"/>
    </row>
    <row r="4" spans="1:32" ht="15.75">
      <c r="A4" s="9"/>
      <c r="B4" s="11" t="s">
        <v>1</v>
      </c>
      <c r="C4" s="12"/>
      <c r="D4" s="4"/>
      <c r="E4" s="5"/>
      <c r="F4" s="5"/>
      <c r="G4" s="5"/>
      <c r="H4" s="5"/>
      <c r="I4" s="5"/>
      <c r="J4" s="5"/>
      <c r="L4" s="5"/>
      <c r="M4" s="5"/>
      <c r="N4" s="5"/>
      <c r="O4" s="5"/>
      <c r="P4" s="5"/>
      <c r="Q4" s="5"/>
      <c r="AF4" s="8"/>
    </row>
    <row r="5" spans="1:32" ht="15.75">
      <c r="A5" s="9"/>
      <c r="B5" s="9"/>
      <c r="C5" s="13" t="s">
        <v>2</v>
      </c>
      <c r="D5" s="14">
        <v>2003</v>
      </c>
      <c r="E5" s="53" t="s">
        <v>3</v>
      </c>
      <c r="F5" s="53"/>
      <c r="G5" s="53"/>
      <c r="H5" s="53"/>
      <c r="I5" s="53"/>
      <c r="J5" s="53"/>
      <c r="K5" s="16"/>
      <c r="L5" s="53" t="s">
        <v>4</v>
      </c>
      <c r="M5" s="53"/>
      <c r="N5" s="53"/>
      <c r="O5" s="53"/>
      <c r="P5" s="53"/>
      <c r="Q5" s="53"/>
      <c r="R5" s="16"/>
      <c r="S5" s="53" t="s">
        <v>5</v>
      </c>
      <c r="T5" s="53"/>
      <c r="U5" s="53"/>
      <c r="V5" s="53"/>
      <c r="W5" s="53"/>
      <c r="X5" s="53"/>
      <c r="Y5" s="15"/>
      <c r="Z5" s="53" t="s">
        <v>6</v>
      </c>
      <c r="AA5" s="53"/>
      <c r="AB5" s="53"/>
      <c r="AC5" s="53"/>
      <c r="AD5" s="53"/>
      <c r="AE5" s="53"/>
      <c r="AF5" s="8"/>
    </row>
    <row r="6" spans="1:32" s="22" customFormat="1" ht="15.75">
      <c r="A6" s="17"/>
      <c r="B6" s="18" t="s">
        <v>7</v>
      </c>
      <c r="C6" s="19" t="s">
        <v>8</v>
      </c>
      <c r="D6" s="20" t="s">
        <v>9</v>
      </c>
      <c r="E6" s="21" t="s">
        <v>10</v>
      </c>
      <c r="F6" s="21" t="s">
        <v>11</v>
      </c>
      <c r="G6" s="21" t="s">
        <v>12</v>
      </c>
      <c r="H6" s="21" t="s">
        <v>13</v>
      </c>
      <c r="I6" s="21" t="s">
        <v>14</v>
      </c>
      <c r="J6" s="21" t="s">
        <v>15</v>
      </c>
      <c r="K6" s="16"/>
      <c r="L6" s="21" t="s">
        <v>10</v>
      </c>
      <c r="M6" s="21" t="s">
        <v>16</v>
      </c>
      <c r="N6" s="21" t="s">
        <v>11</v>
      </c>
      <c r="O6" s="21" t="s">
        <v>12</v>
      </c>
      <c r="P6" s="21" t="s">
        <v>17</v>
      </c>
      <c r="Q6" s="21" t="s">
        <v>15</v>
      </c>
      <c r="R6" s="16"/>
      <c r="S6" s="21" t="s">
        <v>10</v>
      </c>
      <c r="T6" s="21" t="s">
        <v>11</v>
      </c>
      <c r="U6" s="21" t="s">
        <v>12</v>
      </c>
      <c r="V6" s="21" t="s">
        <v>13</v>
      </c>
      <c r="W6" s="21" t="s">
        <v>14</v>
      </c>
      <c r="X6" s="21" t="s">
        <v>15</v>
      </c>
      <c r="Y6" s="21"/>
      <c r="Z6" s="21" t="s">
        <v>10</v>
      </c>
      <c r="AA6" s="21" t="s">
        <v>16</v>
      </c>
      <c r="AB6" s="21" t="s">
        <v>11</v>
      </c>
      <c r="AC6" s="21" t="s">
        <v>12</v>
      </c>
      <c r="AD6" s="21" t="s">
        <v>17</v>
      </c>
      <c r="AE6" s="21" t="s">
        <v>15</v>
      </c>
      <c r="AF6" s="20" t="s">
        <v>18</v>
      </c>
    </row>
    <row r="7" spans="1:32" ht="15" customHeight="1">
      <c r="A7" s="9"/>
      <c r="B7" s="23"/>
      <c r="C7" s="24"/>
      <c r="D7" s="25" t="s">
        <v>19</v>
      </c>
      <c r="E7" s="26" t="s">
        <v>20</v>
      </c>
      <c r="F7" s="26" t="s">
        <v>21</v>
      </c>
      <c r="G7" s="26" t="s">
        <v>22</v>
      </c>
      <c r="H7" s="26" t="s">
        <v>23</v>
      </c>
      <c r="I7" s="26" t="s">
        <v>24</v>
      </c>
      <c r="J7" s="15" t="s">
        <v>25</v>
      </c>
      <c r="K7" s="16"/>
      <c r="L7" s="26" t="s">
        <v>26</v>
      </c>
      <c r="M7" s="26" t="s">
        <v>27</v>
      </c>
      <c r="N7" s="26" t="s">
        <v>28</v>
      </c>
      <c r="O7" s="26" t="s">
        <v>29</v>
      </c>
      <c r="P7" s="26" t="s">
        <v>30</v>
      </c>
      <c r="Q7" s="15" t="s">
        <v>31</v>
      </c>
      <c r="R7" s="16"/>
      <c r="S7" s="26" t="s">
        <v>20</v>
      </c>
      <c r="T7" s="26" t="s">
        <v>21</v>
      </c>
      <c r="U7" s="26" t="s">
        <v>22</v>
      </c>
      <c r="V7" s="26" t="s">
        <v>23</v>
      </c>
      <c r="W7" s="26" t="s">
        <v>24</v>
      </c>
      <c r="X7" s="26" t="s">
        <v>32</v>
      </c>
      <c r="Y7" s="27"/>
      <c r="Z7" s="26" t="s">
        <v>26</v>
      </c>
      <c r="AA7" s="26" t="s">
        <v>27</v>
      </c>
      <c r="AB7" s="26" t="s">
        <v>28</v>
      </c>
      <c r="AC7" s="26" t="s">
        <v>29</v>
      </c>
      <c r="AD7" s="26" t="s">
        <v>30</v>
      </c>
      <c r="AE7" s="26" t="s">
        <v>31</v>
      </c>
      <c r="AF7" s="20" t="s">
        <v>33</v>
      </c>
    </row>
    <row r="8" spans="1:32" ht="15" customHeight="1">
      <c r="A8" s="9">
        <v>1</v>
      </c>
      <c r="B8" s="23" t="s">
        <v>34</v>
      </c>
      <c r="C8" s="28" t="s">
        <v>35</v>
      </c>
      <c r="D8" s="4">
        <f t="shared" ref="D8:D39" si="0">SUM(E8:J8)+SUM(L8:Q8)</f>
        <v>573.19315439585444</v>
      </c>
      <c r="E8" s="29" t="s">
        <v>36</v>
      </c>
      <c r="F8" s="29">
        <v>181.32054088341818</v>
      </c>
      <c r="G8" s="29">
        <v>26.337816363155842</v>
      </c>
      <c r="H8" s="29">
        <v>163.52440125935152</v>
      </c>
      <c r="I8" s="29">
        <v>78.901982921540736</v>
      </c>
      <c r="J8" s="5">
        <v>123.10841296838821</v>
      </c>
      <c r="K8" s="30"/>
      <c r="L8" s="29" t="s">
        <v>36</v>
      </c>
      <c r="M8" s="29" t="s">
        <v>36</v>
      </c>
      <c r="N8" s="29" t="s">
        <v>36</v>
      </c>
      <c r="O8" s="29" t="s">
        <v>36</v>
      </c>
      <c r="P8" s="29" t="s">
        <v>36</v>
      </c>
      <c r="Q8" s="5" t="s">
        <v>36</v>
      </c>
      <c r="R8" s="30"/>
      <c r="S8" s="29" t="s">
        <v>36</v>
      </c>
      <c r="T8" s="29">
        <v>30.571999844163656</v>
      </c>
      <c r="U8" s="29">
        <v>9.0399999916553497</v>
      </c>
      <c r="V8" s="29">
        <v>73.521999375894666</v>
      </c>
      <c r="W8" s="29">
        <v>114.40300045162439</v>
      </c>
      <c r="X8" s="29">
        <v>620.07699208706617</v>
      </c>
      <c r="Y8" s="31"/>
      <c r="Z8" s="29" t="s">
        <v>36</v>
      </c>
      <c r="AA8" s="29" t="s">
        <v>36</v>
      </c>
      <c r="AB8" s="29" t="s">
        <v>36</v>
      </c>
      <c r="AC8" s="29" t="s">
        <v>36</v>
      </c>
      <c r="AD8" s="29" t="s">
        <v>36</v>
      </c>
      <c r="AE8" s="29" t="s">
        <v>36</v>
      </c>
      <c r="AF8" s="4">
        <f t="shared" ref="AF8:AF39" si="1">SUM(S8:AE8)</f>
        <v>847.61399175040424</v>
      </c>
    </row>
    <row r="9" spans="1:32" ht="15" customHeight="1">
      <c r="A9" s="9">
        <v>2</v>
      </c>
      <c r="B9" s="23" t="s">
        <v>37</v>
      </c>
      <c r="C9" s="28" t="s">
        <v>35</v>
      </c>
      <c r="D9" s="4">
        <f t="shared" si="0"/>
        <v>455.62879759854064</v>
      </c>
      <c r="E9" s="29" t="s">
        <v>36</v>
      </c>
      <c r="F9" s="29">
        <v>100.30705898874999</v>
      </c>
      <c r="G9" s="29">
        <v>52.232598730266098</v>
      </c>
      <c r="H9" s="29">
        <v>127.64904948529974</v>
      </c>
      <c r="I9" s="29">
        <v>66.29645191267133</v>
      </c>
      <c r="J9" s="5">
        <v>109.14363848155345</v>
      </c>
      <c r="K9" s="30"/>
      <c r="L9" s="29" t="s">
        <v>36</v>
      </c>
      <c r="M9" s="29" t="s">
        <v>36</v>
      </c>
      <c r="N9" s="29" t="s">
        <v>36</v>
      </c>
      <c r="O9" s="29" t="s">
        <v>36</v>
      </c>
      <c r="P9" s="29" t="s">
        <v>36</v>
      </c>
      <c r="Q9" s="5" t="s">
        <v>36</v>
      </c>
      <c r="R9" s="30"/>
      <c r="S9" s="29" t="s">
        <v>36</v>
      </c>
      <c r="T9" s="29">
        <v>17.485000163316727</v>
      </c>
      <c r="U9" s="29">
        <v>10.578999936580658</v>
      </c>
      <c r="V9" s="29">
        <v>53.606000273488462</v>
      </c>
      <c r="W9" s="29">
        <v>88.17699958011508</v>
      </c>
      <c r="X9" s="29">
        <v>520.87800320610404</v>
      </c>
      <c r="Y9" s="31"/>
      <c r="Z9" s="29" t="s">
        <v>36</v>
      </c>
      <c r="AA9" s="29" t="s">
        <v>36</v>
      </c>
      <c r="AB9" s="29" t="s">
        <v>36</v>
      </c>
      <c r="AC9" s="29" t="s">
        <v>36</v>
      </c>
      <c r="AD9" s="29" t="s">
        <v>36</v>
      </c>
      <c r="AE9" s="29" t="s">
        <v>36</v>
      </c>
      <c r="AF9" s="4">
        <f t="shared" si="1"/>
        <v>690.72500315960497</v>
      </c>
    </row>
    <row r="10" spans="1:32" ht="15" customHeight="1">
      <c r="A10" s="9">
        <v>3</v>
      </c>
      <c r="B10" s="23" t="s">
        <v>38</v>
      </c>
      <c r="C10" s="28" t="s">
        <v>39</v>
      </c>
      <c r="D10" s="4">
        <f t="shared" si="0"/>
        <v>578.02228677885637</v>
      </c>
      <c r="E10" s="29" t="s">
        <v>36</v>
      </c>
      <c r="F10" s="29">
        <v>263.81217539936301</v>
      </c>
      <c r="G10" s="29">
        <v>25.471134680926799</v>
      </c>
      <c r="H10" s="29">
        <v>55.890581420302389</v>
      </c>
      <c r="I10" s="29">
        <v>23.938084904521705</v>
      </c>
      <c r="J10" s="5">
        <v>45.451783218387284</v>
      </c>
      <c r="K10" s="30"/>
      <c r="L10" s="29" t="s">
        <v>36</v>
      </c>
      <c r="M10" s="29" t="s">
        <v>36</v>
      </c>
      <c r="N10" s="29">
        <v>63.960335556507111</v>
      </c>
      <c r="O10" s="29" t="s">
        <v>36</v>
      </c>
      <c r="P10" s="29">
        <v>64.054801295250655</v>
      </c>
      <c r="Q10" s="5">
        <v>35.443390303597418</v>
      </c>
      <c r="R10" s="30"/>
      <c r="S10" s="29" t="s">
        <v>36</v>
      </c>
      <c r="T10" s="29">
        <v>21.00599979609251</v>
      </c>
      <c r="U10" s="29">
        <v>4.5870001316070557</v>
      </c>
      <c r="V10" s="29">
        <v>37.531999737024307</v>
      </c>
      <c r="W10" s="29">
        <v>35.126999944448471</v>
      </c>
      <c r="X10" s="29">
        <v>230.65300690475851</v>
      </c>
      <c r="Y10" s="31"/>
      <c r="Z10" s="29" t="s">
        <v>36</v>
      </c>
      <c r="AA10" s="29" t="s">
        <v>36</v>
      </c>
      <c r="AB10" s="29">
        <v>3.5759999752044678</v>
      </c>
      <c r="AC10" s="29" t="s">
        <v>36</v>
      </c>
      <c r="AD10" s="29">
        <v>8.8790000528097153</v>
      </c>
      <c r="AE10" s="29">
        <v>41.180000245571136</v>
      </c>
      <c r="AF10" s="4">
        <f t="shared" si="1"/>
        <v>382.54000678751618</v>
      </c>
    </row>
    <row r="11" spans="1:32" ht="15" customHeight="1">
      <c r="A11" s="9">
        <v>4</v>
      </c>
      <c r="B11" s="23" t="s">
        <v>40</v>
      </c>
      <c r="C11" s="28" t="s">
        <v>35</v>
      </c>
      <c r="D11" s="4">
        <f t="shared" si="0"/>
        <v>265.98120047387329</v>
      </c>
      <c r="E11" s="29" t="s">
        <v>36</v>
      </c>
      <c r="F11" s="29">
        <v>137.48566175119578</v>
      </c>
      <c r="G11" s="29">
        <v>15.440891840688884</v>
      </c>
      <c r="H11" s="29">
        <v>48.079502846889199</v>
      </c>
      <c r="I11" s="29">
        <v>25.174083002828063</v>
      </c>
      <c r="J11" s="5">
        <v>39.801061032271335</v>
      </c>
      <c r="K11" s="30"/>
      <c r="L11" s="29" t="s">
        <v>36</v>
      </c>
      <c r="M11" s="29" t="s">
        <v>36</v>
      </c>
      <c r="N11" s="29" t="s">
        <v>36</v>
      </c>
      <c r="O11" s="29" t="s">
        <v>36</v>
      </c>
      <c r="P11" s="29" t="s">
        <v>36</v>
      </c>
      <c r="Q11" s="5" t="s">
        <v>36</v>
      </c>
      <c r="R11" s="30"/>
      <c r="S11" s="29" t="s">
        <v>36</v>
      </c>
      <c r="T11" s="29">
        <v>25.233999863266945</v>
      </c>
      <c r="U11" s="29">
        <v>8.6889998875558376</v>
      </c>
      <c r="V11" s="29">
        <v>25.191999984905124</v>
      </c>
      <c r="W11" s="29">
        <v>65.533000405877829</v>
      </c>
      <c r="X11" s="29">
        <v>288.96800699830055</v>
      </c>
      <c r="Y11" s="31"/>
      <c r="Z11" s="29" t="s">
        <v>36</v>
      </c>
      <c r="AA11" s="29" t="s">
        <v>36</v>
      </c>
      <c r="AB11" s="29" t="s">
        <v>36</v>
      </c>
      <c r="AC11" s="29" t="s">
        <v>36</v>
      </c>
      <c r="AD11" s="29" t="s">
        <v>36</v>
      </c>
      <c r="AE11" s="29" t="s">
        <v>36</v>
      </c>
      <c r="AF11" s="4">
        <f t="shared" si="1"/>
        <v>413.61600713990629</v>
      </c>
    </row>
    <row r="12" spans="1:32" ht="15" customHeight="1">
      <c r="A12" s="9">
        <v>5</v>
      </c>
      <c r="B12" s="23" t="s">
        <v>41</v>
      </c>
      <c r="C12" s="28" t="s">
        <v>39</v>
      </c>
      <c r="D12" s="4">
        <f t="shared" si="0"/>
        <v>1484.5187719013047</v>
      </c>
      <c r="E12" s="29">
        <v>261.57296703064441</v>
      </c>
      <c r="F12" s="29">
        <v>127.86491352796554</v>
      </c>
      <c r="G12" s="29">
        <v>214.48443396459894</v>
      </c>
      <c r="H12" s="29">
        <v>229.60573198488353</v>
      </c>
      <c r="I12" s="29">
        <v>120.85742988088727</v>
      </c>
      <c r="J12" s="5">
        <v>162.3932631523715</v>
      </c>
      <c r="K12" s="30"/>
      <c r="L12" s="29" t="s">
        <v>36</v>
      </c>
      <c r="M12" s="29">
        <v>23.366177370071412</v>
      </c>
      <c r="N12" s="29">
        <v>127.85448437511921</v>
      </c>
      <c r="O12" s="29">
        <v>93.176317793440077</v>
      </c>
      <c r="P12" s="29">
        <v>58.432808354668317</v>
      </c>
      <c r="Q12" s="5">
        <v>64.910244466654561</v>
      </c>
      <c r="R12" s="30"/>
      <c r="S12" s="29">
        <v>8.4379999041557312</v>
      </c>
      <c r="T12" s="29">
        <v>19.81000030040741</v>
      </c>
      <c r="U12" s="29">
        <v>30.126000318676233</v>
      </c>
      <c r="V12" s="29">
        <v>81.272000074386597</v>
      </c>
      <c r="W12" s="29">
        <v>127.54199950397015</v>
      </c>
      <c r="X12" s="29">
        <v>670.69098389148712</v>
      </c>
      <c r="Y12" s="31"/>
      <c r="Z12" s="29" t="s">
        <v>36</v>
      </c>
      <c r="AA12" s="29">
        <v>2.5469999313354492</v>
      </c>
      <c r="AB12" s="29">
        <v>8.0549999102950096</v>
      </c>
      <c r="AC12" s="29">
        <v>12.306999839842319</v>
      </c>
      <c r="AD12" s="29">
        <v>10.910999946296215</v>
      </c>
      <c r="AE12" s="29">
        <v>90.847000598907471</v>
      </c>
      <c r="AF12" s="4">
        <f t="shared" si="1"/>
        <v>1062.5459842197597</v>
      </c>
    </row>
    <row r="13" spans="1:32" ht="15" customHeight="1">
      <c r="A13" s="9">
        <v>6</v>
      </c>
      <c r="B13" s="23" t="s">
        <v>42</v>
      </c>
      <c r="C13" s="28" t="s">
        <v>35</v>
      </c>
      <c r="D13" s="4">
        <f t="shared" si="0"/>
        <v>499.98807003685243</v>
      </c>
      <c r="E13" s="29">
        <v>261.60310951614377</v>
      </c>
      <c r="F13" s="29" t="s">
        <v>36</v>
      </c>
      <c r="G13" s="29">
        <v>34.948919839262963</v>
      </c>
      <c r="H13" s="29">
        <v>121.67056736506521</v>
      </c>
      <c r="I13" s="29">
        <v>29.898680157899857</v>
      </c>
      <c r="J13" s="5">
        <v>51.866793158480661</v>
      </c>
      <c r="K13" s="30"/>
      <c r="L13" s="29" t="s">
        <v>36</v>
      </c>
      <c r="M13" s="29" t="s">
        <v>36</v>
      </c>
      <c r="N13" s="29" t="s">
        <v>36</v>
      </c>
      <c r="O13" s="29" t="s">
        <v>36</v>
      </c>
      <c r="P13" s="29" t="s">
        <v>36</v>
      </c>
      <c r="Q13" s="5" t="s">
        <v>36</v>
      </c>
      <c r="R13" s="30"/>
      <c r="S13" s="29">
        <v>13.308000087738037</v>
      </c>
      <c r="T13" s="29" t="s">
        <v>36</v>
      </c>
      <c r="U13" s="29">
        <v>12.541999936103821</v>
      </c>
      <c r="V13" s="29">
        <v>51.969999887049198</v>
      </c>
      <c r="W13" s="29">
        <v>59.025000393390656</v>
      </c>
      <c r="X13" s="29">
        <v>316.80500004068017</v>
      </c>
      <c r="Y13" s="31"/>
      <c r="Z13" s="29" t="s">
        <v>36</v>
      </c>
      <c r="AA13" s="29" t="s">
        <v>36</v>
      </c>
      <c r="AB13" s="29" t="s">
        <v>36</v>
      </c>
      <c r="AC13" s="29" t="s">
        <v>36</v>
      </c>
      <c r="AD13" s="29" t="s">
        <v>36</v>
      </c>
      <c r="AE13" s="29" t="s">
        <v>36</v>
      </c>
      <c r="AF13" s="4">
        <f t="shared" si="1"/>
        <v>453.65000034496188</v>
      </c>
    </row>
    <row r="14" spans="1:32" ht="15" customHeight="1">
      <c r="A14" s="9">
        <v>7</v>
      </c>
      <c r="B14" s="23" t="s">
        <v>43</v>
      </c>
      <c r="C14" s="28" t="s">
        <v>39</v>
      </c>
      <c r="D14" s="4">
        <f t="shared" si="0"/>
        <v>804.08267744819534</v>
      </c>
      <c r="E14" s="29" t="s">
        <v>36</v>
      </c>
      <c r="F14" s="29">
        <v>406.71191315710547</v>
      </c>
      <c r="G14" s="29" t="s">
        <v>36</v>
      </c>
      <c r="H14" s="29">
        <v>130.9777287268378</v>
      </c>
      <c r="I14" s="29">
        <v>23.498028097167612</v>
      </c>
      <c r="J14" s="5">
        <v>47.721942955171521</v>
      </c>
      <c r="K14" s="30"/>
      <c r="L14" s="29" t="s">
        <v>36</v>
      </c>
      <c r="M14" s="29" t="s">
        <v>36</v>
      </c>
      <c r="N14" s="29">
        <v>47.015494297027587</v>
      </c>
      <c r="O14" s="29">
        <v>69.552371130239223</v>
      </c>
      <c r="P14" s="29">
        <v>40.231087921891358</v>
      </c>
      <c r="Q14" s="5">
        <v>38.374111162754694</v>
      </c>
      <c r="R14" s="30"/>
      <c r="S14" s="29" t="s">
        <v>36</v>
      </c>
      <c r="T14" s="29">
        <v>32.530000001192093</v>
      </c>
      <c r="U14" s="29" t="s">
        <v>36</v>
      </c>
      <c r="V14" s="29">
        <v>97.838999684900045</v>
      </c>
      <c r="W14" s="29">
        <v>44.256000109016895</v>
      </c>
      <c r="X14" s="29">
        <v>283.03999687731266</v>
      </c>
      <c r="Y14" s="31"/>
      <c r="Z14" s="29" t="s">
        <v>36</v>
      </c>
      <c r="AA14" s="29" t="s">
        <v>36</v>
      </c>
      <c r="AB14" s="29">
        <v>2.000999927520752</v>
      </c>
      <c r="AC14" s="29">
        <v>7.7429998749867082</v>
      </c>
      <c r="AD14" s="29">
        <v>11.372999986633658</v>
      </c>
      <c r="AE14" s="29">
        <v>69.593002498149872</v>
      </c>
      <c r="AF14" s="4">
        <f t="shared" si="1"/>
        <v>548.37499895971268</v>
      </c>
    </row>
    <row r="15" spans="1:32" ht="15" customHeight="1">
      <c r="A15" s="9">
        <v>8</v>
      </c>
      <c r="B15" s="23" t="s">
        <v>44</v>
      </c>
      <c r="C15" s="28" t="s">
        <v>45</v>
      </c>
      <c r="D15" s="4">
        <f t="shared" si="0"/>
        <v>3786.2886075611832</v>
      </c>
      <c r="E15" s="29">
        <v>667.10051288604734</v>
      </c>
      <c r="F15" s="29" t="s">
        <v>36</v>
      </c>
      <c r="G15" s="29" t="s">
        <v>36</v>
      </c>
      <c r="H15" s="29">
        <v>170.16355781637878</v>
      </c>
      <c r="I15" s="29">
        <v>71.021715807661408</v>
      </c>
      <c r="J15" s="5">
        <v>59.062526737173286</v>
      </c>
      <c r="K15" s="30"/>
      <c r="L15" s="29">
        <v>1501.94777846694</v>
      </c>
      <c r="M15" s="29" t="s">
        <v>36</v>
      </c>
      <c r="N15" s="29">
        <v>370.80921361304075</v>
      </c>
      <c r="O15" s="29">
        <v>646.95667341862986</v>
      </c>
      <c r="P15" s="29">
        <v>107.74426176664234</v>
      </c>
      <c r="Q15" s="5">
        <v>191.4823670486694</v>
      </c>
      <c r="R15" s="30"/>
      <c r="S15" s="29">
        <v>17.338000118732452</v>
      </c>
      <c r="T15" s="29" t="s">
        <v>36</v>
      </c>
      <c r="U15" s="29" t="s">
        <v>36</v>
      </c>
      <c r="V15" s="29">
        <v>58.77200048789382</v>
      </c>
      <c r="W15" s="29">
        <v>46.952999867498875</v>
      </c>
      <c r="X15" s="29">
        <v>182.12300278246403</v>
      </c>
      <c r="Y15" s="31"/>
      <c r="Z15" s="29">
        <v>16.644999980926514</v>
      </c>
      <c r="AA15" s="29" t="s">
        <v>36</v>
      </c>
      <c r="AB15" s="29">
        <v>13.992000134661794</v>
      </c>
      <c r="AC15" s="29">
        <v>47.317999521270394</v>
      </c>
      <c r="AD15" s="29">
        <v>22.04600016772747</v>
      </c>
      <c r="AE15" s="29">
        <v>283.75799341499805</v>
      </c>
      <c r="AF15" s="4">
        <f t="shared" si="1"/>
        <v>688.9449964761734</v>
      </c>
    </row>
    <row r="16" spans="1:32" ht="15" customHeight="1">
      <c r="A16" s="9">
        <v>9</v>
      </c>
      <c r="B16" s="23" t="s">
        <v>46</v>
      </c>
      <c r="C16" s="28" t="s">
        <v>39</v>
      </c>
      <c r="D16" s="4">
        <f t="shared" si="0"/>
        <v>566.28887745260784</v>
      </c>
      <c r="E16" s="29" t="s">
        <v>36</v>
      </c>
      <c r="F16" s="29">
        <v>166.37959633663297</v>
      </c>
      <c r="G16" s="29">
        <v>86.529353646919134</v>
      </c>
      <c r="H16" s="29">
        <v>36.118167664974926</v>
      </c>
      <c r="I16" s="29">
        <v>55.45351343357563</v>
      </c>
      <c r="J16" s="5">
        <v>38.752091886206109</v>
      </c>
      <c r="K16" s="30"/>
      <c r="L16" s="29" t="s">
        <v>36</v>
      </c>
      <c r="M16" s="29" t="s">
        <v>36</v>
      </c>
      <c r="N16" s="29">
        <v>77.089362189933652</v>
      </c>
      <c r="O16" s="29">
        <v>49.245657770484684</v>
      </c>
      <c r="P16" s="29">
        <v>31.548475615553556</v>
      </c>
      <c r="Q16" s="5">
        <v>25.172658908327154</v>
      </c>
      <c r="R16" s="30"/>
      <c r="S16" s="29" t="s">
        <v>36</v>
      </c>
      <c r="T16" s="29">
        <v>20.352999866008759</v>
      </c>
      <c r="U16" s="29">
        <v>29.186000145971775</v>
      </c>
      <c r="V16" s="29">
        <v>25.367999792098999</v>
      </c>
      <c r="W16" s="29">
        <v>67.840999573469162</v>
      </c>
      <c r="X16" s="29">
        <v>175.52999441884458</v>
      </c>
      <c r="Y16" s="31"/>
      <c r="Z16" s="29" t="s">
        <v>36</v>
      </c>
      <c r="AA16" s="29" t="s">
        <v>36</v>
      </c>
      <c r="AB16" s="29">
        <v>5.8959999326616526</v>
      </c>
      <c r="AC16" s="29">
        <v>6.7890000818297267</v>
      </c>
      <c r="AD16" s="29">
        <v>8.5189999379217625</v>
      </c>
      <c r="AE16" s="29">
        <v>44.363001823425293</v>
      </c>
      <c r="AF16" s="4">
        <f t="shared" si="1"/>
        <v>383.84499557223171</v>
      </c>
    </row>
    <row r="17" spans="1:32" ht="15" customHeight="1">
      <c r="A17" s="9">
        <v>10</v>
      </c>
      <c r="B17" s="23" t="s">
        <v>47</v>
      </c>
      <c r="C17" s="28" t="s">
        <v>45</v>
      </c>
      <c r="D17" s="4">
        <f t="shared" si="0"/>
        <v>1437.6463225878394</v>
      </c>
      <c r="E17" s="29">
        <v>231.73541454797984</v>
      </c>
      <c r="F17" s="29">
        <v>130.22440088993312</v>
      </c>
      <c r="G17" s="29" t="s">
        <v>36</v>
      </c>
      <c r="H17" s="29">
        <v>105.13926873444021</v>
      </c>
      <c r="I17" s="29">
        <v>26.393191000185908</v>
      </c>
      <c r="J17" s="5">
        <v>42.369959903523601</v>
      </c>
      <c r="K17" s="30"/>
      <c r="L17" s="29" t="s">
        <v>36</v>
      </c>
      <c r="M17" s="29" t="s">
        <v>36</v>
      </c>
      <c r="N17" s="29">
        <v>506.26526336250083</v>
      </c>
      <c r="O17" s="29">
        <v>152.94922431355715</v>
      </c>
      <c r="P17" s="29">
        <v>101.2218116211216</v>
      </c>
      <c r="Q17" s="5">
        <v>141.34778821459727</v>
      </c>
      <c r="R17" s="30"/>
      <c r="S17" s="29">
        <v>10.694999992847443</v>
      </c>
      <c r="T17" s="29">
        <v>12.390999652445316</v>
      </c>
      <c r="U17" s="29" t="s">
        <v>36</v>
      </c>
      <c r="V17" s="29">
        <v>30.65700008906424</v>
      </c>
      <c r="W17" s="29">
        <v>34.277000151574612</v>
      </c>
      <c r="X17" s="29">
        <v>199.2169953417033</v>
      </c>
      <c r="Y17" s="31"/>
      <c r="Z17" s="29" t="s">
        <v>36</v>
      </c>
      <c r="AA17" s="29" t="s">
        <v>36</v>
      </c>
      <c r="AB17" s="29">
        <v>22.958000206388533</v>
      </c>
      <c r="AC17" s="29">
        <v>21.957000058144331</v>
      </c>
      <c r="AD17" s="29">
        <v>25.035000189673156</v>
      </c>
      <c r="AE17" s="29">
        <v>235.80500257201493</v>
      </c>
      <c r="AF17" s="4">
        <f t="shared" si="1"/>
        <v>592.99199825385585</v>
      </c>
    </row>
    <row r="18" spans="1:32" ht="15" customHeight="1">
      <c r="A18" s="9">
        <v>11</v>
      </c>
      <c r="B18" s="23" t="s">
        <v>48</v>
      </c>
      <c r="C18" s="28" t="s">
        <v>39</v>
      </c>
      <c r="D18" s="4">
        <f t="shared" si="0"/>
        <v>737.54349212323746</v>
      </c>
      <c r="E18" s="29" t="s">
        <v>36</v>
      </c>
      <c r="F18" s="29">
        <v>135.66359403817728</v>
      </c>
      <c r="G18" s="29">
        <v>103.61186269396543</v>
      </c>
      <c r="H18" s="29">
        <v>31.597405743420126</v>
      </c>
      <c r="I18" s="29">
        <v>39.061651056498292</v>
      </c>
      <c r="J18" s="5">
        <v>50.257920192570047</v>
      </c>
      <c r="K18" s="30"/>
      <c r="L18" s="29" t="s">
        <v>36</v>
      </c>
      <c r="M18" s="29" t="s">
        <v>36</v>
      </c>
      <c r="N18" s="29">
        <v>247.31537217331305</v>
      </c>
      <c r="O18" s="29">
        <v>37.329232343558225</v>
      </c>
      <c r="P18" s="29">
        <v>41.639839727029205</v>
      </c>
      <c r="Q18" s="5">
        <v>51.06661415470581</v>
      </c>
      <c r="R18" s="30"/>
      <c r="S18" s="29" t="s">
        <v>36</v>
      </c>
      <c r="T18" s="29">
        <v>11.272999838925898</v>
      </c>
      <c r="U18" s="29">
        <v>26.495999902486801</v>
      </c>
      <c r="V18" s="29">
        <v>13.70399996638298</v>
      </c>
      <c r="W18" s="29">
        <v>37.53799994289875</v>
      </c>
      <c r="X18" s="29">
        <v>195.77400267124176</v>
      </c>
      <c r="Y18" s="31"/>
      <c r="Z18" s="29" t="s">
        <v>36</v>
      </c>
      <c r="AA18" s="29" t="s">
        <v>36</v>
      </c>
      <c r="AB18" s="29">
        <v>17.188999793492258</v>
      </c>
      <c r="AC18" s="29">
        <v>6.7550000976771116</v>
      </c>
      <c r="AD18" s="29">
        <v>10.14099995046854</v>
      </c>
      <c r="AE18" s="29">
        <v>84.375002838671207</v>
      </c>
      <c r="AF18" s="4">
        <f t="shared" si="1"/>
        <v>403.24500500224531</v>
      </c>
    </row>
    <row r="19" spans="1:32" ht="15" customHeight="1">
      <c r="A19" s="9">
        <v>12</v>
      </c>
      <c r="B19" s="23" t="s">
        <v>49</v>
      </c>
      <c r="C19" s="28" t="s">
        <v>35</v>
      </c>
      <c r="D19" s="4">
        <f t="shared" si="0"/>
        <v>288.71119669376395</v>
      </c>
      <c r="E19" s="29" t="s">
        <v>36</v>
      </c>
      <c r="F19" s="29">
        <v>151.19120067214965</v>
      </c>
      <c r="G19" s="29" t="s">
        <v>36</v>
      </c>
      <c r="H19" s="29">
        <v>81.792335104778402</v>
      </c>
      <c r="I19" s="29">
        <v>21.020501981139184</v>
      </c>
      <c r="J19" s="5">
        <v>34.707158935696739</v>
      </c>
      <c r="K19" s="30"/>
      <c r="L19" s="29" t="s">
        <v>36</v>
      </c>
      <c r="M19" s="29" t="s">
        <v>36</v>
      </c>
      <c r="N19" s="29" t="s">
        <v>36</v>
      </c>
      <c r="O19" s="29" t="s">
        <v>36</v>
      </c>
      <c r="P19" s="29" t="s">
        <v>36</v>
      </c>
      <c r="Q19" s="5" t="s">
        <v>36</v>
      </c>
      <c r="R19" s="30"/>
      <c r="S19" s="29" t="s">
        <v>36</v>
      </c>
      <c r="T19" s="29">
        <v>19.857000350952148</v>
      </c>
      <c r="U19" s="29" t="s">
        <v>36</v>
      </c>
      <c r="V19" s="29">
        <v>61.602000825107098</v>
      </c>
      <c r="W19" s="29">
        <v>47.714000061154366</v>
      </c>
      <c r="X19" s="29">
        <v>231.31100609502755</v>
      </c>
      <c r="Y19" s="31"/>
      <c r="Z19" s="29" t="s">
        <v>36</v>
      </c>
      <c r="AA19" s="29" t="s">
        <v>36</v>
      </c>
      <c r="AB19" s="29" t="s">
        <v>36</v>
      </c>
      <c r="AC19" s="29" t="s">
        <v>36</v>
      </c>
      <c r="AD19" s="29" t="s">
        <v>36</v>
      </c>
      <c r="AE19" s="29" t="s">
        <v>36</v>
      </c>
      <c r="AF19" s="4">
        <f t="shared" si="1"/>
        <v>360.48400733224116</v>
      </c>
    </row>
    <row r="20" spans="1:32" ht="15" customHeight="1">
      <c r="A20" s="9">
        <v>13</v>
      </c>
      <c r="B20" s="23" t="s">
        <v>50</v>
      </c>
      <c r="C20" s="28" t="s">
        <v>35</v>
      </c>
      <c r="D20" s="4">
        <f t="shared" si="0"/>
        <v>451.96035351898092</v>
      </c>
      <c r="E20" s="29" t="s">
        <v>36</v>
      </c>
      <c r="F20" s="29">
        <v>214.04915334320069</v>
      </c>
      <c r="G20" s="29" t="s">
        <v>36</v>
      </c>
      <c r="H20" s="29">
        <v>116.17820097916666</v>
      </c>
      <c r="I20" s="29">
        <v>65.723559185907249</v>
      </c>
      <c r="J20" s="5">
        <v>56.009440010706371</v>
      </c>
      <c r="K20" s="30"/>
      <c r="L20" s="29" t="s">
        <v>36</v>
      </c>
      <c r="M20" s="29" t="s">
        <v>36</v>
      </c>
      <c r="N20" s="29" t="s">
        <v>36</v>
      </c>
      <c r="O20" s="29" t="s">
        <v>36</v>
      </c>
      <c r="P20" s="29" t="s">
        <v>36</v>
      </c>
      <c r="Q20" s="5" t="s">
        <v>36</v>
      </c>
      <c r="R20" s="30"/>
      <c r="S20" s="29" t="s">
        <v>36</v>
      </c>
      <c r="T20" s="29">
        <v>27.505000233650208</v>
      </c>
      <c r="U20" s="29" t="s">
        <v>36</v>
      </c>
      <c r="V20" s="29">
        <v>76.194999990053475</v>
      </c>
      <c r="W20" s="29">
        <v>125.94900009036064</v>
      </c>
      <c r="X20" s="29">
        <v>335.81298542022705</v>
      </c>
      <c r="Y20" s="31"/>
      <c r="Z20" s="29" t="s">
        <v>36</v>
      </c>
      <c r="AA20" s="29" t="s">
        <v>36</v>
      </c>
      <c r="AB20" s="29" t="s">
        <v>36</v>
      </c>
      <c r="AC20" s="29" t="s">
        <v>36</v>
      </c>
      <c r="AD20" s="29" t="s">
        <v>36</v>
      </c>
      <c r="AE20" s="29" t="s">
        <v>36</v>
      </c>
      <c r="AF20" s="4">
        <f t="shared" si="1"/>
        <v>565.46198573429137</v>
      </c>
    </row>
    <row r="21" spans="1:32" ht="15" customHeight="1">
      <c r="A21" s="9">
        <v>14</v>
      </c>
      <c r="B21" s="23" t="s">
        <v>51</v>
      </c>
      <c r="C21" s="28" t="s">
        <v>35</v>
      </c>
      <c r="D21" s="4">
        <f t="shared" si="0"/>
        <v>462.71459886727223</v>
      </c>
      <c r="E21" s="29" t="s">
        <v>36</v>
      </c>
      <c r="F21" s="29">
        <v>153.43814125520737</v>
      </c>
      <c r="G21" s="29">
        <v>48.646453733682634</v>
      </c>
      <c r="H21" s="29">
        <v>91.315510354697707</v>
      </c>
      <c r="I21" s="29">
        <v>63.626855617985129</v>
      </c>
      <c r="J21" s="5">
        <v>105.68763790569935</v>
      </c>
      <c r="K21" s="30"/>
      <c r="L21" s="29" t="s">
        <v>36</v>
      </c>
      <c r="M21" s="29" t="s">
        <v>36</v>
      </c>
      <c r="N21" s="29" t="s">
        <v>36</v>
      </c>
      <c r="O21" s="29" t="s">
        <v>36</v>
      </c>
      <c r="P21" s="29" t="s">
        <v>36</v>
      </c>
      <c r="Q21" s="5" t="s">
        <v>36</v>
      </c>
      <c r="R21" s="30"/>
      <c r="S21" s="29" t="s">
        <v>36</v>
      </c>
      <c r="T21" s="29">
        <v>31.811000289395452</v>
      </c>
      <c r="U21" s="29">
        <v>17.596999943256378</v>
      </c>
      <c r="V21" s="29">
        <v>65.528000187128782</v>
      </c>
      <c r="W21" s="29">
        <v>126.80199943482876</v>
      </c>
      <c r="X21" s="29">
        <v>649.36598897725344</v>
      </c>
      <c r="Y21" s="31"/>
      <c r="Z21" s="29" t="s">
        <v>36</v>
      </c>
      <c r="AA21" s="29" t="s">
        <v>36</v>
      </c>
      <c r="AB21" s="29" t="s">
        <v>36</v>
      </c>
      <c r="AC21" s="29" t="s">
        <v>36</v>
      </c>
      <c r="AD21" s="29" t="s">
        <v>36</v>
      </c>
      <c r="AE21" s="29" t="s">
        <v>36</v>
      </c>
      <c r="AF21" s="4">
        <f t="shared" si="1"/>
        <v>891.10398883186281</v>
      </c>
    </row>
    <row r="22" spans="1:32" ht="15" customHeight="1">
      <c r="A22" s="9">
        <v>15</v>
      </c>
      <c r="B22" s="23" t="s">
        <v>52</v>
      </c>
      <c r="C22" s="28" t="s">
        <v>53</v>
      </c>
      <c r="D22" s="4">
        <f t="shared" si="0"/>
        <v>2244.7122913041494</v>
      </c>
      <c r="E22" s="29">
        <v>630.18086522483827</v>
      </c>
      <c r="F22" s="29">
        <v>7.9832998663187027</v>
      </c>
      <c r="G22" s="29">
        <v>159.08881289716811</v>
      </c>
      <c r="H22" s="29">
        <v>66.430299339294436</v>
      </c>
      <c r="I22" s="29">
        <v>44.559882668465377</v>
      </c>
      <c r="J22" s="5">
        <v>72.211425458267016</v>
      </c>
      <c r="K22" s="30"/>
      <c r="L22" s="29">
        <v>632.3970033204555</v>
      </c>
      <c r="M22" s="29" t="s">
        <v>36</v>
      </c>
      <c r="N22" s="29">
        <v>283.08812397100871</v>
      </c>
      <c r="O22" s="29">
        <v>151.61092919260264</v>
      </c>
      <c r="P22" s="29">
        <v>53.815893720626832</v>
      </c>
      <c r="Q22" s="5">
        <v>143.34575564510374</v>
      </c>
      <c r="R22" s="30"/>
      <c r="S22" s="29">
        <v>11.776000022888184</v>
      </c>
      <c r="T22" s="29">
        <v>0.29899999499320984</v>
      </c>
      <c r="U22" s="29">
        <v>24.109999731183052</v>
      </c>
      <c r="V22" s="29">
        <v>19.843999862670898</v>
      </c>
      <c r="W22" s="29">
        <v>47.55600069463253</v>
      </c>
      <c r="X22" s="29">
        <v>300.33800272643566</v>
      </c>
      <c r="Y22" s="31"/>
      <c r="Z22" s="29">
        <v>8.096000075340271</v>
      </c>
      <c r="AA22" s="29" t="s">
        <v>36</v>
      </c>
      <c r="AB22" s="29">
        <v>22.761000288417563</v>
      </c>
      <c r="AC22" s="29">
        <v>17.757000118494034</v>
      </c>
      <c r="AD22" s="29">
        <v>13.226000130176544</v>
      </c>
      <c r="AE22" s="29">
        <v>238.19200601428747</v>
      </c>
      <c r="AF22" s="4">
        <f t="shared" si="1"/>
        <v>703.95500965951942</v>
      </c>
    </row>
    <row r="23" spans="1:32" ht="15" customHeight="1">
      <c r="A23" s="9">
        <v>16</v>
      </c>
      <c r="B23" s="23" t="s">
        <v>54</v>
      </c>
      <c r="C23" s="28" t="s">
        <v>35</v>
      </c>
      <c r="D23" s="4">
        <f t="shared" si="0"/>
        <v>457.18496380740334</v>
      </c>
      <c r="E23" s="29" t="s">
        <v>36</v>
      </c>
      <c r="F23" s="29">
        <v>141.32833339372277</v>
      </c>
      <c r="G23" s="29" t="s">
        <v>36</v>
      </c>
      <c r="H23" s="29">
        <v>198.28768311166019</v>
      </c>
      <c r="I23" s="29">
        <v>43.927104961946604</v>
      </c>
      <c r="J23" s="5">
        <v>73.641842340073751</v>
      </c>
      <c r="K23" s="30"/>
      <c r="L23" s="29" t="s">
        <v>36</v>
      </c>
      <c r="M23" s="29" t="s">
        <v>36</v>
      </c>
      <c r="N23" s="29" t="s">
        <v>36</v>
      </c>
      <c r="O23" s="29" t="s">
        <v>36</v>
      </c>
      <c r="P23" s="29" t="s">
        <v>36</v>
      </c>
      <c r="Q23" s="5" t="s">
        <v>36</v>
      </c>
      <c r="R23" s="30"/>
      <c r="S23" s="29" t="s">
        <v>36</v>
      </c>
      <c r="T23" s="29">
        <v>17.786000415682793</v>
      </c>
      <c r="U23" s="29" t="s">
        <v>36</v>
      </c>
      <c r="V23" s="29">
        <v>90.914999723434448</v>
      </c>
      <c r="W23" s="29">
        <v>92.148000106215477</v>
      </c>
      <c r="X23" s="29">
        <v>467.20001247525215</v>
      </c>
      <c r="Y23" s="31"/>
      <c r="Z23" s="29" t="s">
        <v>36</v>
      </c>
      <c r="AA23" s="29" t="s">
        <v>36</v>
      </c>
      <c r="AB23" s="29" t="s">
        <v>36</v>
      </c>
      <c r="AC23" s="29" t="s">
        <v>36</v>
      </c>
      <c r="AD23" s="29" t="s">
        <v>36</v>
      </c>
      <c r="AE23" s="29" t="s">
        <v>36</v>
      </c>
      <c r="AF23" s="4">
        <f t="shared" si="1"/>
        <v>668.04901272058487</v>
      </c>
    </row>
    <row r="24" spans="1:32" ht="15" customHeight="1">
      <c r="A24" s="9">
        <v>17</v>
      </c>
      <c r="B24" s="23" t="s">
        <v>55</v>
      </c>
      <c r="C24" s="28" t="s">
        <v>39</v>
      </c>
      <c r="D24" s="4">
        <f t="shared" si="0"/>
        <v>500.9699614133599</v>
      </c>
      <c r="E24" s="29">
        <v>37.339018993377685</v>
      </c>
      <c r="F24" s="29">
        <v>122.8275042784214</v>
      </c>
      <c r="G24" s="29">
        <v>14.041169965714216</v>
      </c>
      <c r="H24" s="29">
        <v>121.64125217740983</v>
      </c>
      <c r="I24" s="29">
        <v>24.591866005718707</v>
      </c>
      <c r="J24" s="5">
        <v>49.86016571578709</v>
      </c>
      <c r="K24" s="30"/>
      <c r="L24" s="29" t="s">
        <v>36</v>
      </c>
      <c r="M24" s="29" t="s">
        <v>36</v>
      </c>
      <c r="N24" s="29">
        <v>14.977032090783119</v>
      </c>
      <c r="O24" s="29">
        <v>90.748657951790832</v>
      </c>
      <c r="P24" s="29">
        <v>4.2464000251144167</v>
      </c>
      <c r="Q24" s="5">
        <v>20.696894209242608</v>
      </c>
      <c r="R24" s="30"/>
      <c r="S24" s="29">
        <v>2.5469999313354492</v>
      </c>
      <c r="T24" s="29">
        <v>14.738000273704529</v>
      </c>
      <c r="U24" s="29">
        <v>4.6289999932050705</v>
      </c>
      <c r="V24" s="29">
        <v>75.192000728100538</v>
      </c>
      <c r="W24" s="29">
        <v>66.792000412940979</v>
      </c>
      <c r="X24" s="29">
        <v>371.7249862216413</v>
      </c>
      <c r="Y24" s="31"/>
      <c r="Z24" s="29" t="s">
        <v>36</v>
      </c>
      <c r="AA24" s="29" t="s">
        <v>36</v>
      </c>
      <c r="AB24" s="29">
        <v>1.4160000085830688</v>
      </c>
      <c r="AC24" s="29">
        <v>14.874999921768904</v>
      </c>
      <c r="AD24" s="29">
        <v>1.9650000091642141</v>
      </c>
      <c r="AE24" s="29">
        <v>51.069001108407974</v>
      </c>
      <c r="AF24" s="4">
        <f t="shared" si="1"/>
        <v>604.94798860885203</v>
      </c>
    </row>
    <row r="25" spans="1:32" ht="15" customHeight="1">
      <c r="A25" s="9">
        <v>18</v>
      </c>
      <c r="B25" s="23" t="s">
        <v>56</v>
      </c>
      <c r="C25" s="28" t="s">
        <v>39</v>
      </c>
      <c r="D25" s="4">
        <f t="shared" si="0"/>
        <v>809.46912968231982</v>
      </c>
      <c r="E25" s="29" t="s">
        <v>36</v>
      </c>
      <c r="F25" s="29">
        <v>163.62862557309865</v>
      </c>
      <c r="G25" s="29">
        <v>62.619310472488401</v>
      </c>
      <c r="H25" s="29">
        <v>86.661579258203503</v>
      </c>
      <c r="I25" s="29">
        <v>53.512666318029169</v>
      </c>
      <c r="J25" s="5">
        <v>142.30384852630002</v>
      </c>
      <c r="K25" s="30"/>
      <c r="L25" s="29" t="s">
        <v>36</v>
      </c>
      <c r="M25" s="29" t="s">
        <v>36</v>
      </c>
      <c r="N25" s="29">
        <v>109.00314119929075</v>
      </c>
      <c r="O25" s="29">
        <v>87.442336521185936</v>
      </c>
      <c r="P25" s="29">
        <v>43.266604837343095</v>
      </c>
      <c r="Q25" s="5">
        <v>61.031016976380265</v>
      </c>
      <c r="R25" s="30"/>
      <c r="S25" s="29" t="s">
        <v>36</v>
      </c>
      <c r="T25" s="29">
        <v>20.098000198602676</v>
      </c>
      <c r="U25" s="29">
        <v>13.13599967956543</v>
      </c>
      <c r="V25" s="29">
        <v>29.084999799728394</v>
      </c>
      <c r="W25" s="29">
        <v>82.462000165134668</v>
      </c>
      <c r="X25" s="29">
        <v>744.55897152423859</v>
      </c>
      <c r="Y25" s="31"/>
      <c r="Z25" s="29" t="s">
        <v>36</v>
      </c>
      <c r="AA25" s="29" t="s">
        <v>36</v>
      </c>
      <c r="AB25" s="29">
        <v>7.427000030875206</v>
      </c>
      <c r="AC25" s="29">
        <v>9.7159999199211597</v>
      </c>
      <c r="AD25" s="29">
        <v>10.113999955356121</v>
      </c>
      <c r="AE25" s="29">
        <v>98.288996905088425</v>
      </c>
      <c r="AF25" s="4">
        <f t="shared" si="1"/>
        <v>1014.8859681785107</v>
      </c>
    </row>
    <row r="26" spans="1:32" ht="15" customHeight="1">
      <c r="A26" s="9">
        <v>19</v>
      </c>
      <c r="B26" s="23" t="s">
        <v>57</v>
      </c>
      <c r="C26" s="28" t="s">
        <v>45</v>
      </c>
      <c r="D26" s="4">
        <f t="shared" si="0"/>
        <v>2202.7440323886171</v>
      </c>
      <c r="E26" s="29" t="s">
        <v>36</v>
      </c>
      <c r="F26" s="29">
        <v>186.95856648385524</v>
      </c>
      <c r="G26" s="29">
        <v>9.0446399787068366</v>
      </c>
      <c r="H26" s="29">
        <v>42.868614818409085</v>
      </c>
      <c r="I26" s="29">
        <v>30.884344732791185</v>
      </c>
      <c r="J26" s="5">
        <v>44.469367330259239</v>
      </c>
      <c r="K26" s="30"/>
      <c r="L26" s="29">
        <v>818.69344111931321</v>
      </c>
      <c r="M26" s="29">
        <v>32.317400640249254</v>
      </c>
      <c r="N26" s="29">
        <v>629.19462404424701</v>
      </c>
      <c r="O26" s="29">
        <v>148.84306836404465</v>
      </c>
      <c r="P26" s="29">
        <v>122.71015600897745</v>
      </c>
      <c r="Q26" s="5">
        <v>136.75980886776364</v>
      </c>
      <c r="R26" s="30"/>
      <c r="S26" s="29" t="s">
        <v>36</v>
      </c>
      <c r="T26" s="29">
        <v>15.937000118196011</v>
      </c>
      <c r="U26" s="29">
        <v>4.5259999930858612</v>
      </c>
      <c r="V26" s="29">
        <v>26.423999927937984</v>
      </c>
      <c r="W26" s="29">
        <v>30.095000416040421</v>
      </c>
      <c r="X26" s="29">
        <v>174.73600196838379</v>
      </c>
      <c r="Y26" s="31"/>
      <c r="Z26" s="29">
        <v>9.5339998006820679</v>
      </c>
      <c r="AA26" s="29">
        <v>0.69800001382827759</v>
      </c>
      <c r="AB26" s="29">
        <v>32.672999860718846</v>
      </c>
      <c r="AC26" s="29">
        <v>20.682999852113426</v>
      </c>
      <c r="AD26" s="29">
        <v>31.793000070378184</v>
      </c>
      <c r="AE26" s="29">
        <v>234.87099649757147</v>
      </c>
      <c r="AF26" s="4">
        <f t="shared" si="1"/>
        <v>581.96999851893634</v>
      </c>
    </row>
    <row r="27" spans="1:32" ht="15" customHeight="1">
      <c r="A27" s="9">
        <v>20</v>
      </c>
      <c r="B27" s="23" t="s">
        <v>58</v>
      </c>
      <c r="C27" s="28" t="s">
        <v>35</v>
      </c>
      <c r="D27" s="4">
        <f t="shared" si="0"/>
        <v>165.96191383539053</v>
      </c>
      <c r="E27" s="29" t="s">
        <v>36</v>
      </c>
      <c r="F27" s="29">
        <v>35.779366900444032</v>
      </c>
      <c r="G27" s="29">
        <v>23.935664445400239</v>
      </c>
      <c r="H27" s="29">
        <v>65.204641369894148</v>
      </c>
      <c r="I27" s="29">
        <v>16.507323717176913</v>
      </c>
      <c r="J27" s="5">
        <v>24.534917402475212</v>
      </c>
      <c r="K27" s="30"/>
      <c r="L27" s="29" t="s">
        <v>36</v>
      </c>
      <c r="M27" s="29" t="s">
        <v>36</v>
      </c>
      <c r="N27" s="29" t="s">
        <v>36</v>
      </c>
      <c r="O27" s="29" t="s">
        <v>36</v>
      </c>
      <c r="P27" s="29" t="s">
        <v>36</v>
      </c>
      <c r="Q27" s="5" t="s">
        <v>36</v>
      </c>
      <c r="R27" s="30"/>
      <c r="S27" s="29" t="s">
        <v>36</v>
      </c>
      <c r="T27" s="29">
        <v>12.654999613761902</v>
      </c>
      <c r="U27" s="29">
        <v>19.18999969959259</v>
      </c>
      <c r="V27" s="29">
        <v>38.91299955919385</v>
      </c>
      <c r="W27" s="29">
        <v>56.029999315738678</v>
      </c>
      <c r="X27" s="29">
        <v>210.25200128555298</v>
      </c>
      <c r="Y27" s="31"/>
      <c r="Z27" s="29" t="s">
        <v>36</v>
      </c>
      <c r="AA27" s="29" t="s">
        <v>36</v>
      </c>
      <c r="AB27" s="29" t="s">
        <v>36</v>
      </c>
      <c r="AC27" s="29" t="s">
        <v>36</v>
      </c>
      <c r="AD27" s="29" t="s">
        <v>36</v>
      </c>
      <c r="AE27" s="29" t="s">
        <v>36</v>
      </c>
      <c r="AF27" s="4">
        <f t="shared" si="1"/>
        <v>337.03999947384</v>
      </c>
    </row>
    <row r="28" spans="1:32" ht="15" customHeight="1">
      <c r="A28" s="9">
        <v>21</v>
      </c>
      <c r="B28" s="23" t="s">
        <v>59</v>
      </c>
      <c r="C28" s="28" t="s">
        <v>35</v>
      </c>
      <c r="D28" s="4">
        <f t="shared" si="0"/>
        <v>670.34988273383192</v>
      </c>
      <c r="E28" s="29">
        <v>373.84424999999999</v>
      </c>
      <c r="F28" s="29" t="s">
        <v>36</v>
      </c>
      <c r="G28" s="29" t="s">
        <v>36</v>
      </c>
      <c r="H28" s="29">
        <v>249.72982039901615</v>
      </c>
      <c r="I28" s="29">
        <v>17.567659100621938</v>
      </c>
      <c r="J28" s="5">
        <v>29.208153234193755</v>
      </c>
      <c r="K28" s="30"/>
      <c r="L28" s="29" t="s">
        <v>36</v>
      </c>
      <c r="M28" s="29" t="s">
        <v>36</v>
      </c>
      <c r="N28" s="29" t="s">
        <v>36</v>
      </c>
      <c r="O28" s="29" t="s">
        <v>36</v>
      </c>
      <c r="P28" s="29" t="s">
        <v>36</v>
      </c>
      <c r="Q28" s="5" t="s">
        <v>36</v>
      </c>
      <c r="R28" s="30"/>
      <c r="S28" s="29">
        <v>14.625</v>
      </c>
      <c r="T28" s="29" t="s">
        <v>36</v>
      </c>
      <c r="U28" s="29" t="s">
        <v>36</v>
      </c>
      <c r="V28" s="29">
        <v>62.64300000667572</v>
      </c>
      <c r="W28" s="29">
        <v>26.533000126481056</v>
      </c>
      <c r="X28" s="29">
        <v>150.91600229777396</v>
      </c>
      <c r="Y28" s="31"/>
      <c r="Z28" s="29" t="s">
        <v>36</v>
      </c>
      <c r="AA28" s="29" t="s">
        <v>36</v>
      </c>
      <c r="AB28" s="29" t="s">
        <v>36</v>
      </c>
      <c r="AC28" s="29" t="s">
        <v>36</v>
      </c>
      <c r="AD28" s="29" t="s">
        <v>36</v>
      </c>
      <c r="AE28" s="29" t="s">
        <v>36</v>
      </c>
      <c r="AF28" s="4">
        <f t="shared" si="1"/>
        <v>254.71700243093073</v>
      </c>
    </row>
    <row r="29" spans="1:32" ht="15" customHeight="1">
      <c r="A29" s="9">
        <v>22</v>
      </c>
      <c r="B29" s="23" t="s">
        <v>60</v>
      </c>
      <c r="C29" s="28" t="s">
        <v>35</v>
      </c>
      <c r="D29" s="4">
        <f t="shared" si="0"/>
        <v>1144.8835802734782</v>
      </c>
      <c r="E29" s="29">
        <v>527.46192596483229</v>
      </c>
      <c r="F29" s="29">
        <v>85.342944782264524</v>
      </c>
      <c r="G29" s="29">
        <v>64.868132151618596</v>
      </c>
      <c r="H29" s="29">
        <v>243.64200453698263</v>
      </c>
      <c r="I29" s="29">
        <v>73.967050745680922</v>
      </c>
      <c r="J29" s="5">
        <v>149.60152209209912</v>
      </c>
      <c r="K29" s="30"/>
      <c r="L29" s="29" t="s">
        <v>36</v>
      </c>
      <c r="M29" s="29" t="s">
        <v>36</v>
      </c>
      <c r="N29" s="29" t="s">
        <v>36</v>
      </c>
      <c r="O29" s="29" t="s">
        <v>36</v>
      </c>
      <c r="P29" s="29" t="s">
        <v>36</v>
      </c>
      <c r="Q29" s="5" t="s">
        <v>36</v>
      </c>
      <c r="R29" s="30"/>
      <c r="S29" s="29">
        <v>32.147000432014465</v>
      </c>
      <c r="T29" s="29">
        <v>19.104000421240926</v>
      </c>
      <c r="U29" s="29">
        <v>11.72100006788969</v>
      </c>
      <c r="V29" s="29">
        <v>71.390000222250819</v>
      </c>
      <c r="W29" s="29">
        <v>94.969999849796295</v>
      </c>
      <c r="X29" s="29">
        <v>698.39899453520775</v>
      </c>
      <c r="Y29" s="31"/>
      <c r="Z29" s="29" t="s">
        <v>36</v>
      </c>
      <c r="AA29" s="29" t="s">
        <v>36</v>
      </c>
      <c r="AB29" s="29" t="s">
        <v>36</v>
      </c>
      <c r="AC29" s="29" t="s">
        <v>36</v>
      </c>
      <c r="AD29" s="29" t="s">
        <v>36</v>
      </c>
      <c r="AE29" s="29" t="s">
        <v>36</v>
      </c>
      <c r="AF29" s="4">
        <f t="shared" si="1"/>
        <v>927.73099552839994</v>
      </c>
    </row>
    <row r="30" spans="1:32" ht="15" customHeight="1">
      <c r="A30" s="9">
        <v>23</v>
      </c>
      <c r="B30" s="23" t="s">
        <v>61</v>
      </c>
      <c r="C30" s="28" t="s">
        <v>35</v>
      </c>
      <c r="D30" s="4">
        <f t="shared" si="0"/>
        <v>415.08031178869976</v>
      </c>
      <c r="E30" s="29" t="s">
        <v>36</v>
      </c>
      <c r="F30" s="29">
        <v>117.51303447705507</v>
      </c>
      <c r="G30" s="29" t="s">
        <v>36</v>
      </c>
      <c r="H30" s="29">
        <v>130.92934614782035</v>
      </c>
      <c r="I30" s="29">
        <v>57.604816924333569</v>
      </c>
      <c r="J30" s="5">
        <v>109.03311423949076</v>
      </c>
      <c r="K30" s="30"/>
      <c r="L30" s="29" t="s">
        <v>36</v>
      </c>
      <c r="M30" s="29" t="s">
        <v>36</v>
      </c>
      <c r="N30" s="29" t="s">
        <v>36</v>
      </c>
      <c r="O30" s="29" t="s">
        <v>36</v>
      </c>
      <c r="P30" s="29" t="s">
        <v>36</v>
      </c>
      <c r="Q30" s="5" t="s">
        <v>36</v>
      </c>
      <c r="R30" s="30"/>
      <c r="S30" s="29" t="s">
        <v>36</v>
      </c>
      <c r="T30" s="29">
        <v>23.715000301599503</v>
      </c>
      <c r="U30" s="29" t="s">
        <v>36</v>
      </c>
      <c r="V30" s="29">
        <v>72.472000762820244</v>
      </c>
      <c r="W30" s="29">
        <v>87.648999333381653</v>
      </c>
      <c r="X30" s="29">
        <v>565.97699467837811</v>
      </c>
      <c r="Y30" s="31"/>
      <c r="Z30" s="29" t="s">
        <v>36</v>
      </c>
      <c r="AA30" s="29" t="s">
        <v>36</v>
      </c>
      <c r="AB30" s="29" t="s">
        <v>36</v>
      </c>
      <c r="AC30" s="29" t="s">
        <v>36</v>
      </c>
      <c r="AD30" s="29" t="s">
        <v>36</v>
      </c>
      <c r="AE30" s="29" t="s">
        <v>36</v>
      </c>
      <c r="AF30" s="4">
        <f t="shared" si="1"/>
        <v>749.8129950761795</v>
      </c>
    </row>
    <row r="31" spans="1:32" ht="15" customHeight="1">
      <c r="A31" s="9">
        <v>24</v>
      </c>
      <c r="B31" s="23" t="s">
        <v>62</v>
      </c>
      <c r="C31" s="28" t="s">
        <v>53</v>
      </c>
      <c r="D31" s="4">
        <f t="shared" si="0"/>
        <v>2186.078661497284</v>
      </c>
      <c r="E31" s="29">
        <v>387.50085044670107</v>
      </c>
      <c r="F31" s="29">
        <v>285.05744065383078</v>
      </c>
      <c r="G31" s="29">
        <v>13.426149839162827</v>
      </c>
      <c r="H31" s="29">
        <v>188.55037312804163</v>
      </c>
      <c r="I31" s="29">
        <v>75.802546638965609</v>
      </c>
      <c r="J31" s="5">
        <v>104.97070120448973</v>
      </c>
      <c r="K31" s="30"/>
      <c r="L31" s="29">
        <v>84.935138932943346</v>
      </c>
      <c r="M31" s="29">
        <v>64.250263365268708</v>
      </c>
      <c r="N31" s="29">
        <v>507.82364222870768</v>
      </c>
      <c r="O31" s="29">
        <v>217.26761702180281</v>
      </c>
      <c r="P31" s="29">
        <v>65.064067469939587</v>
      </c>
      <c r="Q31" s="5">
        <v>191.42987056743019</v>
      </c>
      <c r="R31" s="30"/>
      <c r="S31" s="29">
        <v>20.320999622344971</v>
      </c>
      <c r="T31" s="29">
        <v>35.764000728726387</v>
      </c>
      <c r="U31" s="29">
        <v>5.7719999551773071</v>
      </c>
      <c r="V31" s="29">
        <v>98.473000466823578</v>
      </c>
      <c r="W31" s="29">
        <v>137.52900117635727</v>
      </c>
      <c r="X31" s="29">
        <v>608.2150085568428</v>
      </c>
      <c r="Y31" s="31"/>
      <c r="Z31" s="29">
        <v>3.2219998836517334</v>
      </c>
      <c r="AA31" s="29">
        <v>4.6970000267028809</v>
      </c>
      <c r="AB31" s="29">
        <v>36.968999573029578</v>
      </c>
      <c r="AC31" s="29">
        <v>34.519000057131052</v>
      </c>
      <c r="AD31" s="29">
        <v>12.6720000654459</v>
      </c>
      <c r="AE31" s="29">
        <v>275.06700365245342</v>
      </c>
      <c r="AF31" s="4">
        <f t="shared" si="1"/>
        <v>1273.2200137646869</v>
      </c>
    </row>
    <row r="32" spans="1:32" ht="15" customHeight="1">
      <c r="A32" s="9">
        <v>25</v>
      </c>
      <c r="B32" s="23" t="s">
        <v>63</v>
      </c>
      <c r="C32" s="28" t="s">
        <v>39</v>
      </c>
      <c r="D32" s="4">
        <f t="shared" si="0"/>
        <v>1255.9817531204226</v>
      </c>
      <c r="E32" s="29">
        <v>414.24960691356659</v>
      </c>
      <c r="F32" s="29">
        <v>203.99260449720919</v>
      </c>
      <c r="G32" s="29">
        <v>56.953440473079681</v>
      </c>
      <c r="H32" s="29">
        <v>101.95213878214359</v>
      </c>
      <c r="I32" s="29">
        <v>49.873784265995027</v>
      </c>
      <c r="J32" s="5">
        <v>43.025721291134886</v>
      </c>
      <c r="K32" s="30"/>
      <c r="L32" s="29">
        <v>90.540003776550293</v>
      </c>
      <c r="M32" s="29" t="s">
        <v>36</v>
      </c>
      <c r="N32" s="29">
        <v>64.534937914848328</v>
      </c>
      <c r="O32" s="29">
        <v>145.71689400120079</v>
      </c>
      <c r="P32" s="29">
        <v>25.184009277269244</v>
      </c>
      <c r="Q32" s="5">
        <v>59.958611927424975</v>
      </c>
      <c r="R32" s="30"/>
      <c r="S32" s="29">
        <v>12.76800012588501</v>
      </c>
      <c r="T32" s="29">
        <v>17.80300011485815</v>
      </c>
      <c r="U32" s="29">
        <v>8.7339999675750732</v>
      </c>
      <c r="V32" s="29">
        <v>40.321999579668045</v>
      </c>
      <c r="W32" s="29">
        <v>59.99999974668026</v>
      </c>
      <c r="X32" s="29">
        <v>192.85599847137928</v>
      </c>
      <c r="Y32" s="31"/>
      <c r="Z32" s="29">
        <v>2.0120000839233398</v>
      </c>
      <c r="AA32" s="29" t="s">
        <v>36</v>
      </c>
      <c r="AB32" s="29">
        <v>3.3529998958110809</v>
      </c>
      <c r="AC32" s="29">
        <v>13.420999988913536</v>
      </c>
      <c r="AD32" s="29">
        <v>6.2160000614821911</v>
      </c>
      <c r="AE32" s="29">
        <v>99.899001806974411</v>
      </c>
      <c r="AF32" s="4">
        <f t="shared" si="1"/>
        <v>457.38399984315038</v>
      </c>
    </row>
    <row r="33" spans="1:32" ht="15" customHeight="1">
      <c r="A33" s="9">
        <v>26</v>
      </c>
      <c r="B33" s="23" t="s">
        <v>64</v>
      </c>
      <c r="C33" s="28" t="s">
        <v>35</v>
      </c>
      <c r="D33" s="4">
        <f t="shared" si="0"/>
        <v>681.71847412113709</v>
      </c>
      <c r="E33" s="29" t="s">
        <v>36</v>
      </c>
      <c r="F33" s="29">
        <v>179.40502793097497</v>
      </c>
      <c r="G33" s="29">
        <v>125.94624228735267</v>
      </c>
      <c r="H33" s="29">
        <v>198.59510810938477</v>
      </c>
      <c r="I33" s="29">
        <v>68.149040097340944</v>
      </c>
      <c r="J33" s="5">
        <v>109.6230556960837</v>
      </c>
      <c r="K33" s="30"/>
      <c r="L33" s="29" t="s">
        <v>36</v>
      </c>
      <c r="M33" s="29" t="s">
        <v>36</v>
      </c>
      <c r="N33" s="29" t="s">
        <v>36</v>
      </c>
      <c r="O33" s="29" t="s">
        <v>36</v>
      </c>
      <c r="P33" s="29" t="s">
        <v>36</v>
      </c>
      <c r="Q33" s="5" t="s">
        <v>36</v>
      </c>
      <c r="R33" s="30"/>
      <c r="S33" s="29" t="s">
        <v>36</v>
      </c>
      <c r="T33" s="29">
        <v>25.336000263690948</v>
      </c>
      <c r="U33" s="29">
        <v>16.162000067532063</v>
      </c>
      <c r="V33" s="29">
        <v>87.604000516235828</v>
      </c>
      <c r="W33" s="29">
        <v>89.268999822437763</v>
      </c>
      <c r="X33" s="29">
        <v>518.20399035513401</v>
      </c>
      <c r="Y33" s="31"/>
      <c r="Z33" s="29" t="s">
        <v>36</v>
      </c>
      <c r="AA33" s="29" t="s">
        <v>36</v>
      </c>
      <c r="AB33" s="29" t="s">
        <v>36</v>
      </c>
      <c r="AC33" s="29" t="s">
        <v>36</v>
      </c>
      <c r="AD33" s="29" t="s">
        <v>36</v>
      </c>
      <c r="AE33" s="29" t="s">
        <v>36</v>
      </c>
      <c r="AF33" s="4">
        <f t="shared" si="1"/>
        <v>736.57499102503061</v>
      </c>
    </row>
    <row r="34" spans="1:32" ht="15" customHeight="1">
      <c r="A34" s="9">
        <v>27</v>
      </c>
      <c r="B34" s="23" t="s">
        <v>65</v>
      </c>
      <c r="C34" s="28" t="s">
        <v>35</v>
      </c>
      <c r="D34" s="4">
        <f t="shared" si="0"/>
        <v>295.59774751346549</v>
      </c>
      <c r="E34" s="29" t="s">
        <v>36</v>
      </c>
      <c r="F34" s="29">
        <v>95.643572253368788</v>
      </c>
      <c r="G34" s="29">
        <v>57.652472169280053</v>
      </c>
      <c r="H34" s="29">
        <v>26.192339938700201</v>
      </c>
      <c r="I34" s="29">
        <v>60.737363168522712</v>
      </c>
      <c r="J34" s="5">
        <v>55.371999983593767</v>
      </c>
      <c r="K34" s="30"/>
      <c r="L34" s="29" t="s">
        <v>36</v>
      </c>
      <c r="M34" s="29" t="s">
        <v>36</v>
      </c>
      <c r="N34" s="29" t="s">
        <v>36</v>
      </c>
      <c r="O34" s="29" t="s">
        <v>36</v>
      </c>
      <c r="P34" s="29" t="s">
        <v>36</v>
      </c>
      <c r="Q34" s="5" t="s">
        <v>36</v>
      </c>
      <c r="R34" s="30"/>
      <c r="S34" s="29" t="s">
        <v>36</v>
      </c>
      <c r="T34" s="29">
        <v>21.308000013232231</v>
      </c>
      <c r="U34" s="29">
        <v>12.816000044345856</v>
      </c>
      <c r="V34" s="29">
        <v>6.4369997382164001</v>
      </c>
      <c r="W34" s="29">
        <v>78.999999076128006</v>
      </c>
      <c r="X34" s="29">
        <v>260.59799194335937</v>
      </c>
      <c r="Y34" s="31"/>
      <c r="Z34" s="29" t="s">
        <v>36</v>
      </c>
      <c r="AA34" s="29" t="s">
        <v>36</v>
      </c>
      <c r="AB34" s="29" t="s">
        <v>36</v>
      </c>
      <c r="AC34" s="29" t="s">
        <v>36</v>
      </c>
      <c r="AD34" s="29" t="s">
        <v>36</v>
      </c>
      <c r="AE34" s="29" t="s">
        <v>36</v>
      </c>
      <c r="AF34" s="4">
        <f t="shared" si="1"/>
        <v>380.15899081528187</v>
      </c>
    </row>
    <row r="35" spans="1:32" ht="15" customHeight="1">
      <c r="A35" s="9">
        <v>28</v>
      </c>
      <c r="B35" s="23" t="s">
        <v>66</v>
      </c>
      <c r="C35" s="28" t="s">
        <v>35</v>
      </c>
      <c r="D35" s="4">
        <f t="shared" si="0"/>
        <v>228.65842407786769</v>
      </c>
      <c r="E35" s="29" t="s">
        <v>36</v>
      </c>
      <c r="F35" s="29">
        <v>116.9991146787554</v>
      </c>
      <c r="G35" s="29" t="s">
        <v>36</v>
      </c>
      <c r="H35" s="29">
        <v>28.326161936420949</v>
      </c>
      <c r="I35" s="29">
        <v>29.900056454643607</v>
      </c>
      <c r="J35" s="5">
        <v>53.433091008047704</v>
      </c>
      <c r="K35" s="30"/>
      <c r="L35" s="29" t="s">
        <v>36</v>
      </c>
      <c r="M35" s="29" t="s">
        <v>36</v>
      </c>
      <c r="N35" s="29" t="s">
        <v>36</v>
      </c>
      <c r="O35" s="29" t="s">
        <v>36</v>
      </c>
      <c r="P35" s="29" t="s">
        <v>36</v>
      </c>
      <c r="Q35" s="5" t="s">
        <v>36</v>
      </c>
      <c r="R35" s="30"/>
      <c r="S35" s="29" t="s">
        <v>36</v>
      </c>
      <c r="T35" s="29">
        <v>30.511999607086182</v>
      </c>
      <c r="U35" s="29" t="s">
        <v>36</v>
      </c>
      <c r="V35" s="29">
        <v>34.813999868929386</v>
      </c>
      <c r="W35" s="29">
        <v>84.440001193434</v>
      </c>
      <c r="X35" s="29">
        <v>408.19199216365814</v>
      </c>
      <c r="Y35" s="31"/>
      <c r="Z35" s="29" t="s">
        <v>36</v>
      </c>
      <c r="AA35" s="29" t="s">
        <v>36</v>
      </c>
      <c r="AB35" s="29" t="s">
        <v>36</v>
      </c>
      <c r="AC35" s="29" t="s">
        <v>36</v>
      </c>
      <c r="AD35" s="29" t="s">
        <v>36</v>
      </c>
      <c r="AE35" s="29" t="s">
        <v>36</v>
      </c>
      <c r="AF35" s="4">
        <f t="shared" si="1"/>
        <v>557.95799283310771</v>
      </c>
    </row>
    <row r="36" spans="1:32" ht="15" customHeight="1">
      <c r="A36" s="9">
        <v>29</v>
      </c>
      <c r="B36" s="23" t="s">
        <v>67</v>
      </c>
      <c r="C36" s="28" t="s">
        <v>35</v>
      </c>
      <c r="D36" s="4">
        <f t="shared" si="0"/>
        <v>231.16464559452734</v>
      </c>
      <c r="E36" s="29" t="s">
        <v>36</v>
      </c>
      <c r="F36" s="29" t="s">
        <v>36</v>
      </c>
      <c r="G36" s="29">
        <v>130.81607087296248</v>
      </c>
      <c r="H36" s="29">
        <v>19.89266534078121</v>
      </c>
      <c r="I36" s="29">
        <v>30.936780831575394</v>
      </c>
      <c r="J36" s="5">
        <v>49.519128549208268</v>
      </c>
      <c r="K36" s="30"/>
      <c r="L36" s="29" t="s">
        <v>36</v>
      </c>
      <c r="M36" s="29" t="s">
        <v>36</v>
      </c>
      <c r="N36" s="29" t="s">
        <v>36</v>
      </c>
      <c r="O36" s="29" t="s">
        <v>36</v>
      </c>
      <c r="P36" s="29" t="s">
        <v>36</v>
      </c>
      <c r="Q36" s="5" t="s">
        <v>36</v>
      </c>
      <c r="R36" s="30"/>
      <c r="S36" s="29" t="s">
        <v>36</v>
      </c>
      <c r="T36" s="29" t="s">
        <v>36</v>
      </c>
      <c r="U36" s="29">
        <v>36.235999662429094</v>
      </c>
      <c r="V36" s="29">
        <v>12.437000036239624</v>
      </c>
      <c r="W36" s="29">
        <v>72.553999662399292</v>
      </c>
      <c r="X36" s="29">
        <v>336.83101460337639</v>
      </c>
      <c r="Y36" s="31"/>
      <c r="Z36" s="29" t="s">
        <v>36</v>
      </c>
      <c r="AA36" s="29" t="s">
        <v>36</v>
      </c>
      <c r="AB36" s="29" t="s">
        <v>36</v>
      </c>
      <c r="AC36" s="29" t="s">
        <v>36</v>
      </c>
      <c r="AD36" s="29" t="s">
        <v>36</v>
      </c>
      <c r="AE36" s="29" t="s">
        <v>36</v>
      </c>
      <c r="AF36" s="4">
        <f t="shared" si="1"/>
        <v>458.0580139644444</v>
      </c>
    </row>
    <row r="37" spans="1:32" ht="15" customHeight="1">
      <c r="A37" s="9">
        <v>30</v>
      </c>
      <c r="B37" s="23" t="s">
        <v>68</v>
      </c>
      <c r="C37" s="28" t="s">
        <v>45</v>
      </c>
      <c r="D37" s="4">
        <f t="shared" si="0"/>
        <v>2076.2496643507175</v>
      </c>
      <c r="E37" s="29" t="s">
        <v>36</v>
      </c>
      <c r="F37" s="29">
        <v>302.07316928684713</v>
      </c>
      <c r="G37" s="29">
        <v>101.41621140480042</v>
      </c>
      <c r="H37" s="29">
        <v>172.85771532126142</v>
      </c>
      <c r="I37" s="29">
        <v>62.509943496502935</v>
      </c>
      <c r="J37" s="5">
        <v>120.21687863513687</v>
      </c>
      <c r="K37" s="30"/>
      <c r="L37" s="29" t="s">
        <v>36</v>
      </c>
      <c r="M37" s="29">
        <v>208.12460854530335</v>
      </c>
      <c r="N37" s="29">
        <v>467.81193585298212</v>
      </c>
      <c r="O37" s="29">
        <v>239.39379772464932</v>
      </c>
      <c r="P37" s="29">
        <v>216.05492499075831</v>
      </c>
      <c r="Q37" s="5">
        <v>185.79047909247583</v>
      </c>
      <c r="R37" s="30"/>
      <c r="S37" s="29" t="s">
        <v>36</v>
      </c>
      <c r="T37" s="29">
        <v>39.793000280857086</v>
      </c>
      <c r="U37" s="29">
        <v>16.612999979406595</v>
      </c>
      <c r="V37" s="29">
        <v>50.547000212594867</v>
      </c>
      <c r="W37" s="29">
        <v>76.587999772280455</v>
      </c>
      <c r="X37" s="29">
        <v>545.03800596296787</v>
      </c>
      <c r="Y37" s="31"/>
      <c r="Z37" s="29" t="s">
        <v>36</v>
      </c>
      <c r="AA37" s="29">
        <v>10.212000131607056</v>
      </c>
      <c r="AB37" s="29">
        <v>31.523999944329262</v>
      </c>
      <c r="AC37" s="29">
        <v>28.191000053659081</v>
      </c>
      <c r="AD37" s="29">
        <v>47.134000092744827</v>
      </c>
      <c r="AE37" s="29">
        <v>286.57199638336897</v>
      </c>
      <c r="AF37" s="4">
        <f t="shared" si="1"/>
        <v>1132.2120028138161</v>
      </c>
    </row>
    <row r="38" spans="1:32" ht="15" customHeight="1">
      <c r="A38" s="9">
        <v>31</v>
      </c>
      <c r="B38" s="23" t="s">
        <v>69</v>
      </c>
      <c r="C38" s="28" t="s">
        <v>35</v>
      </c>
      <c r="D38" s="4">
        <f t="shared" si="0"/>
        <v>341.08376750931552</v>
      </c>
      <c r="E38" s="29">
        <v>74.635200595855707</v>
      </c>
      <c r="F38" s="29" t="s">
        <v>36</v>
      </c>
      <c r="G38" s="29">
        <v>94.76826939830184</v>
      </c>
      <c r="H38" s="29">
        <v>84.082909843921655</v>
      </c>
      <c r="I38" s="29">
        <v>30.477389305830002</v>
      </c>
      <c r="J38" s="5">
        <v>57.11999836540631</v>
      </c>
      <c r="K38" s="30"/>
      <c r="L38" s="29" t="s">
        <v>36</v>
      </c>
      <c r="M38" s="29" t="s">
        <v>36</v>
      </c>
      <c r="N38" s="29" t="s">
        <v>36</v>
      </c>
      <c r="O38" s="29" t="s">
        <v>36</v>
      </c>
      <c r="P38" s="29" t="s">
        <v>36</v>
      </c>
      <c r="Q38" s="5" t="s">
        <v>36</v>
      </c>
      <c r="R38" s="30"/>
      <c r="S38" s="29">
        <v>2.628000020980835</v>
      </c>
      <c r="T38" s="29" t="s">
        <v>36</v>
      </c>
      <c r="U38" s="29">
        <v>20.029999990016222</v>
      </c>
      <c r="V38" s="29">
        <v>60.787000514566898</v>
      </c>
      <c r="W38" s="29">
        <v>53.277000427246094</v>
      </c>
      <c r="X38" s="29">
        <v>323.36100386455655</v>
      </c>
      <c r="Y38" s="31"/>
      <c r="Z38" s="29" t="s">
        <v>36</v>
      </c>
      <c r="AA38" s="29" t="s">
        <v>36</v>
      </c>
      <c r="AB38" s="29" t="s">
        <v>36</v>
      </c>
      <c r="AC38" s="29" t="s">
        <v>36</v>
      </c>
      <c r="AD38" s="29" t="s">
        <v>36</v>
      </c>
      <c r="AE38" s="29" t="s">
        <v>36</v>
      </c>
      <c r="AF38" s="4">
        <f t="shared" si="1"/>
        <v>460.0830048173666</v>
      </c>
    </row>
    <row r="39" spans="1:32" ht="15" customHeight="1">
      <c r="A39" s="9">
        <v>32</v>
      </c>
      <c r="B39" s="23" t="s">
        <v>70</v>
      </c>
      <c r="C39" s="28" t="s">
        <v>35</v>
      </c>
      <c r="D39" s="4">
        <f t="shared" si="0"/>
        <v>142.87713299565107</v>
      </c>
      <c r="E39" s="29" t="s">
        <v>36</v>
      </c>
      <c r="F39" s="29" t="s">
        <v>36</v>
      </c>
      <c r="G39" s="29">
        <v>47.662533060371878</v>
      </c>
      <c r="H39" s="29">
        <v>21.22091026878357</v>
      </c>
      <c r="I39" s="29">
        <v>25.9748709731102</v>
      </c>
      <c r="J39" s="5">
        <v>48.018818693385413</v>
      </c>
      <c r="K39" s="30"/>
      <c r="L39" s="29" t="s">
        <v>36</v>
      </c>
      <c r="M39" s="29" t="s">
        <v>36</v>
      </c>
      <c r="N39" s="29" t="s">
        <v>36</v>
      </c>
      <c r="O39" s="29" t="s">
        <v>36</v>
      </c>
      <c r="P39" s="29" t="s">
        <v>36</v>
      </c>
      <c r="Q39" s="5" t="s">
        <v>36</v>
      </c>
      <c r="R39" s="30"/>
      <c r="S39" s="29" t="s">
        <v>36</v>
      </c>
      <c r="T39" s="29" t="s">
        <v>36</v>
      </c>
      <c r="U39" s="29">
        <v>18.89000004529953</v>
      </c>
      <c r="V39" s="29">
        <v>24.823000431060791</v>
      </c>
      <c r="W39" s="29">
        <v>65.9410001039505</v>
      </c>
      <c r="X39" s="29">
        <v>343.20499646198004</v>
      </c>
      <c r="Y39" s="31"/>
      <c r="Z39" s="29" t="s">
        <v>36</v>
      </c>
      <c r="AA39" s="29" t="s">
        <v>36</v>
      </c>
      <c r="AB39" s="29" t="s">
        <v>36</v>
      </c>
      <c r="AC39" s="29" t="s">
        <v>36</v>
      </c>
      <c r="AD39" s="29" t="s">
        <v>36</v>
      </c>
      <c r="AE39" s="29" t="s">
        <v>36</v>
      </c>
      <c r="AF39" s="4">
        <f t="shared" si="1"/>
        <v>452.85899704229087</v>
      </c>
    </row>
    <row r="40" spans="1:32" ht="15" customHeight="1">
      <c r="A40" s="9">
        <v>33</v>
      </c>
      <c r="B40" s="23" t="s">
        <v>71</v>
      </c>
      <c r="C40" s="28" t="s">
        <v>35</v>
      </c>
      <c r="D40" s="4">
        <f t="shared" ref="D40:D71" si="2">SUM(E40:J40)+SUM(L40:Q40)</f>
        <v>360.54487002341267</v>
      </c>
      <c r="E40" s="29" t="s">
        <v>36</v>
      </c>
      <c r="F40" s="29" t="s">
        <v>36</v>
      </c>
      <c r="G40" s="29">
        <v>112.49279362777993</v>
      </c>
      <c r="H40" s="29">
        <v>118.36300367464125</v>
      </c>
      <c r="I40" s="29">
        <v>57.789245674192905</v>
      </c>
      <c r="J40" s="5">
        <v>71.899827046798592</v>
      </c>
      <c r="K40" s="30"/>
      <c r="L40" s="29" t="s">
        <v>36</v>
      </c>
      <c r="M40" s="29" t="s">
        <v>36</v>
      </c>
      <c r="N40" s="29" t="s">
        <v>36</v>
      </c>
      <c r="O40" s="29" t="s">
        <v>36</v>
      </c>
      <c r="P40" s="29" t="s">
        <v>36</v>
      </c>
      <c r="Q40" s="5" t="s">
        <v>36</v>
      </c>
      <c r="R40" s="30"/>
      <c r="S40" s="29" t="s">
        <v>36</v>
      </c>
      <c r="T40" s="29" t="s">
        <v>36</v>
      </c>
      <c r="U40" s="29">
        <v>9.4799998831003904</v>
      </c>
      <c r="V40" s="29">
        <v>51.545999146997929</v>
      </c>
      <c r="W40" s="29">
        <v>62.468999579548836</v>
      </c>
      <c r="X40" s="29">
        <v>301.44199419021606</v>
      </c>
      <c r="Y40" s="31"/>
      <c r="Z40" s="29" t="s">
        <v>36</v>
      </c>
      <c r="AA40" s="29" t="s">
        <v>36</v>
      </c>
      <c r="AB40" s="29" t="s">
        <v>36</v>
      </c>
      <c r="AC40" s="29" t="s">
        <v>36</v>
      </c>
      <c r="AD40" s="29" t="s">
        <v>36</v>
      </c>
      <c r="AE40" s="29" t="s">
        <v>36</v>
      </c>
      <c r="AF40" s="4">
        <f t="shared" ref="AF40:AF71" si="3">SUM(S40:AE40)</f>
        <v>424.93699279986322</v>
      </c>
    </row>
    <row r="41" spans="1:32" ht="15" customHeight="1">
      <c r="A41" s="9">
        <v>34</v>
      </c>
      <c r="B41" s="23" t="s">
        <v>72</v>
      </c>
      <c r="C41" s="28" t="s">
        <v>73</v>
      </c>
      <c r="D41" s="4">
        <f t="shared" si="2"/>
        <v>7474.2884026108186</v>
      </c>
      <c r="E41" s="29">
        <v>1328.2304815015793</v>
      </c>
      <c r="F41" s="29">
        <v>208.19280580282211</v>
      </c>
      <c r="G41" s="29">
        <v>128.84061271941661</v>
      </c>
      <c r="H41" s="29">
        <v>36.652980403304099</v>
      </c>
      <c r="I41" s="29">
        <v>33.088310120180246</v>
      </c>
      <c r="J41" s="5">
        <v>56.469982125020181</v>
      </c>
      <c r="K41" s="30"/>
      <c r="L41" s="29">
        <v>544.99426806902886</v>
      </c>
      <c r="M41" s="29">
        <v>868.42368625497818</v>
      </c>
      <c r="N41" s="29">
        <v>1827.2478506383152</v>
      </c>
      <c r="O41" s="29">
        <v>1345.0460870534741</v>
      </c>
      <c r="P41" s="29">
        <v>663.73633366503009</v>
      </c>
      <c r="Q41" s="5">
        <v>433.36500425766974</v>
      </c>
      <c r="R41" s="30"/>
      <c r="S41" s="29">
        <v>27.51200008392334</v>
      </c>
      <c r="T41" s="29">
        <v>8.4300000220537186</v>
      </c>
      <c r="U41" s="29">
        <v>23.640999764204025</v>
      </c>
      <c r="V41" s="29">
        <v>9.5270000994205475</v>
      </c>
      <c r="W41" s="29">
        <v>13.827000051736832</v>
      </c>
      <c r="X41" s="29">
        <v>130.73700115084648</v>
      </c>
      <c r="Y41" s="31"/>
      <c r="Z41" s="29">
        <v>7.7489997744560242</v>
      </c>
      <c r="AA41" s="29">
        <v>13.763999938964844</v>
      </c>
      <c r="AB41" s="29">
        <v>60.881000055000186</v>
      </c>
      <c r="AC41" s="29">
        <v>89.637999471276999</v>
      </c>
      <c r="AD41" s="29">
        <v>151.08099970500916</v>
      </c>
      <c r="AE41" s="29">
        <v>686.41699014604092</v>
      </c>
      <c r="AF41" s="4">
        <f t="shared" si="3"/>
        <v>1223.2039902629331</v>
      </c>
    </row>
    <row r="42" spans="1:32" ht="15" customHeight="1">
      <c r="A42" s="9">
        <v>35</v>
      </c>
      <c r="B42" s="23" t="s">
        <v>74</v>
      </c>
      <c r="C42" s="28" t="s">
        <v>35</v>
      </c>
      <c r="D42" s="4">
        <f t="shared" si="2"/>
        <v>381.53730773977713</v>
      </c>
      <c r="E42" s="29" t="s">
        <v>36</v>
      </c>
      <c r="F42" s="29">
        <v>16.940040291845797</v>
      </c>
      <c r="G42" s="29">
        <v>144.77921039222554</v>
      </c>
      <c r="H42" s="29">
        <v>99.422966885428878</v>
      </c>
      <c r="I42" s="29">
        <v>45.092832776583734</v>
      </c>
      <c r="J42" s="5">
        <v>75.302257393693196</v>
      </c>
      <c r="K42" s="30"/>
      <c r="L42" s="29" t="s">
        <v>36</v>
      </c>
      <c r="M42" s="29" t="s">
        <v>36</v>
      </c>
      <c r="N42" s="29" t="s">
        <v>36</v>
      </c>
      <c r="O42" s="29" t="s">
        <v>36</v>
      </c>
      <c r="P42" s="29" t="s">
        <v>36</v>
      </c>
      <c r="Q42" s="5" t="s">
        <v>36</v>
      </c>
      <c r="R42" s="30"/>
      <c r="S42" s="29" t="s">
        <v>36</v>
      </c>
      <c r="T42" s="29">
        <v>5.4230000972747803</v>
      </c>
      <c r="U42" s="29">
        <v>34.783000281080604</v>
      </c>
      <c r="V42" s="29">
        <v>44.822999554686248</v>
      </c>
      <c r="W42" s="29">
        <v>69.557000955566764</v>
      </c>
      <c r="X42" s="29">
        <v>394.24200839549303</v>
      </c>
      <c r="Y42" s="31"/>
      <c r="Z42" s="29" t="s">
        <v>36</v>
      </c>
      <c r="AA42" s="29" t="s">
        <v>36</v>
      </c>
      <c r="AB42" s="29" t="s">
        <v>36</v>
      </c>
      <c r="AC42" s="29" t="s">
        <v>36</v>
      </c>
      <c r="AD42" s="29" t="s">
        <v>36</v>
      </c>
      <c r="AE42" s="29" t="s">
        <v>36</v>
      </c>
      <c r="AF42" s="4">
        <f t="shared" si="3"/>
        <v>548.82800928410143</v>
      </c>
    </row>
    <row r="43" spans="1:32" ht="15" customHeight="1">
      <c r="A43" s="9">
        <v>36</v>
      </c>
      <c r="B43" s="23" t="s">
        <v>75</v>
      </c>
      <c r="C43" s="28" t="s">
        <v>35</v>
      </c>
      <c r="D43" s="4">
        <f t="shared" si="2"/>
        <v>1401.463118691611</v>
      </c>
      <c r="E43" s="29" t="s">
        <v>36</v>
      </c>
      <c r="F43" s="29">
        <v>757.98031803903916</v>
      </c>
      <c r="G43" s="29">
        <v>64.088439919590954</v>
      </c>
      <c r="H43" s="29">
        <v>341.6633314590901</v>
      </c>
      <c r="I43" s="29">
        <v>116.56382389783859</v>
      </c>
      <c r="J43" s="5">
        <v>121.16720537605205</v>
      </c>
      <c r="K43" s="30"/>
      <c r="L43" s="29" t="s">
        <v>36</v>
      </c>
      <c r="M43" s="29" t="s">
        <v>36</v>
      </c>
      <c r="N43" s="29" t="s">
        <v>36</v>
      </c>
      <c r="O43" s="29" t="s">
        <v>36</v>
      </c>
      <c r="P43" s="29" t="s">
        <v>36</v>
      </c>
      <c r="Q43" s="5" t="s">
        <v>36</v>
      </c>
      <c r="R43" s="30"/>
      <c r="S43" s="29" t="s">
        <v>36</v>
      </c>
      <c r="T43" s="29">
        <v>52.37900089006871</v>
      </c>
      <c r="U43" s="29">
        <v>6.8019999489188194</v>
      </c>
      <c r="V43" s="29">
        <v>102.82999990135431</v>
      </c>
      <c r="W43" s="29">
        <v>113.11799949407578</v>
      </c>
      <c r="X43" s="29">
        <v>474.88600677251816</v>
      </c>
      <c r="Y43" s="31"/>
      <c r="Z43" s="29" t="s">
        <v>36</v>
      </c>
      <c r="AA43" s="29" t="s">
        <v>36</v>
      </c>
      <c r="AB43" s="29" t="s">
        <v>36</v>
      </c>
      <c r="AC43" s="29" t="s">
        <v>36</v>
      </c>
      <c r="AD43" s="29" t="s">
        <v>36</v>
      </c>
      <c r="AE43" s="29" t="s">
        <v>36</v>
      </c>
      <c r="AF43" s="4">
        <f t="shared" si="3"/>
        <v>750.01500700693578</v>
      </c>
    </row>
    <row r="44" spans="1:32" ht="15" customHeight="1">
      <c r="A44" s="9">
        <v>37</v>
      </c>
      <c r="B44" s="23" t="s">
        <v>76</v>
      </c>
      <c r="C44" s="28" t="s">
        <v>39</v>
      </c>
      <c r="D44" s="4">
        <f t="shared" si="2"/>
        <v>1505.1070287748112</v>
      </c>
      <c r="E44" s="29">
        <v>490.14159043788908</v>
      </c>
      <c r="F44" s="29">
        <v>101.99693746697902</v>
      </c>
      <c r="G44" s="29">
        <v>139.23904750460386</v>
      </c>
      <c r="H44" s="29">
        <v>0.17737600034475326</v>
      </c>
      <c r="I44" s="29">
        <v>64.866270074501628</v>
      </c>
      <c r="J44" s="5">
        <v>43.649682591196772</v>
      </c>
      <c r="K44" s="30"/>
      <c r="L44" s="29" t="s">
        <v>36</v>
      </c>
      <c r="M44" s="29" t="s">
        <v>36</v>
      </c>
      <c r="N44" s="29">
        <v>352.06531008884309</v>
      </c>
      <c r="O44" s="29">
        <v>178.36156096877903</v>
      </c>
      <c r="P44" s="29">
        <v>56.83686234972626</v>
      </c>
      <c r="Q44" s="5">
        <v>77.772391291947926</v>
      </c>
      <c r="R44" s="30"/>
      <c r="S44" s="29">
        <v>13.12799996137619</v>
      </c>
      <c r="T44" s="29">
        <v>5.2499998733401299</v>
      </c>
      <c r="U44" s="29">
        <v>35.945000410079956</v>
      </c>
      <c r="V44" s="29">
        <v>0.18400000035762787</v>
      </c>
      <c r="W44" s="29">
        <v>73.532000415027142</v>
      </c>
      <c r="X44" s="29">
        <v>188.51800127327442</v>
      </c>
      <c r="Y44" s="31"/>
      <c r="Z44" s="29" t="s">
        <v>36</v>
      </c>
      <c r="AA44" s="29" t="s">
        <v>36</v>
      </c>
      <c r="AB44" s="29">
        <v>16.539000101387501</v>
      </c>
      <c r="AC44" s="29">
        <v>16.456000100821257</v>
      </c>
      <c r="AD44" s="29">
        <v>16.166000058874488</v>
      </c>
      <c r="AE44" s="29">
        <v>141.58399990387261</v>
      </c>
      <c r="AF44" s="4">
        <f t="shared" si="3"/>
        <v>507.30200209841132</v>
      </c>
    </row>
    <row r="45" spans="1:32" ht="15" customHeight="1">
      <c r="A45" s="9">
        <v>38</v>
      </c>
      <c r="B45" s="23" t="s">
        <v>77</v>
      </c>
      <c r="C45" s="28" t="s">
        <v>35</v>
      </c>
      <c r="D45" s="4">
        <f t="shared" si="2"/>
        <v>202.20598213728965</v>
      </c>
      <c r="E45" s="29" t="s">
        <v>36</v>
      </c>
      <c r="F45" s="29">
        <v>37.780278198659417</v>
      </c>
      <c r="G45" s="29">
        <v>26.155149430036545</v>
      </c>
      <c r="H45" s="29">
        <v>74.557239004660403</v>
      </c>
      <c r="I45" s="29">
        <v>28.170585124731065</v>
      </c>
      <c r="J45" s="5">
        <v>35.542730379202219</v>
      </c>
      <c r="K45" s="30"/>
      <c r="L45" s="29" t="s">
        <v>36</v>
      </c>
      <c r="M45" s="29" t="s">
        <v>36</v>
      </c>
      <c r="N45" s="29" t="s">
        <v>36</v>
      </c>
      <c r="O45" s="29" t="s">
        <v>36</v>
      </c>
      <c r="P45" s="29" t="s">
        <v>36</v>
      </c>
      <c r="Q45" s="5" t="s">
        <v>36</v>
      </c>
      <c r="R45" s="30"/>
      <c r="S45" s="29" t="s">
        <v>36</v>
      </c>
      <c r="T45" s="29">
        <v>8.1159998625516891</v>
      </c>
      <c r="U45" s="29">
        <v>25.109000325202942</v>
      </c>
      <c r="V45" s="29">
        <v>41.117999838665128</v>
      </c>
      <c r="W45" s="29">
        <v>55.656999811530113</v>
      </c>
      <c r="X45" s="29">
        <v>217.20299713499844</v>
      </c>
      <c r="Y45" s="31"/>
      <c r="Z45" s="29" t="s">
        <v>36</v>
      </c>
      <c r="AA45" s="29" t="s">
        <v>36</v>
      </c>
      <c r="AB45" s="29" t="s">
        <v>36</v>
      </c>
      <c r="AC45" s="29" t="s">
        <v>36</v>
      </c>
      <c r="AD45" s="29" t="s">
        <v>36</v>
      </c>
      <c r="AE45" s="29" t="s">
        <v>36</v>
      </c>
      <c r="AF45" s="4">
        <f t="shared" si="3"/>
        <v>347.20299697294831</v>
      </c>
    </row>
    <row r="46" spans="1:32" ht="15" customHeight="1">
      <c r="A46" s="9">
        <v>39</v>
      </c>
      <c r="B46" s="23" t="s">
        <v>78</v>
      </c>
      <c r="C46" s="28" t="s">
        <v>35</v>
      </c>
      <c r="D46" s="4">
        <f t="shared" si="2"/>
        <v>663.29003547281479</v>
      </c>
      <c r="E46" s="29">
        <v>465.63437872314455</v>
      </c>
      <c r="F46" s="29">
        <v>5.67941890001297</v>
      </c>
      <c r="G46" s="29" t="s">
        <v>36</v>
      </c>
      <c r="H46" s="29">
        <v>146.87527521160246</v>
      </c>
      <c r="I46" s="29">
        <v>21.769829169943929</v>
      </c>
      <c r="J46" s="5">
        <v>23.331133468110799</v>
      </c>
      <c r="K46" s="30"/>
      <c r="L46" s="29" t="s">
        <v>36</v>
      </c>
      <c r="M46" s="29" t="s">
        <v>36</v>
      </c>
      <c r="N46" s="29" t="s">
        <v>36</v>
      </c>
      <c r="O46" s="29" t="s">
        <v>36</v>
      </c>
      <c r="P46" s="29" t="s">
        <v>36</v>
      </c>
      <c r="Q46" s="5" t="s">
        <v>36</v>
      </c>
      <c r="R46" s="30"/>
      <c r="S46" s="29">
        <v>16.457000732421875</v>
      </c>
      <c r="T46" s="29">
        <v>2.0849999636411667</v>
      </c>
      <c r="U46" s="29" t="s">
        <v>36</v>
      </c>
      <c r="V46" s="29">
        <v>42.310999430716038</v>
      </c>
      <c r="W46" s="29">
        <v>23.944000139832497</v>
      </c>
      <c r="X46" s="29">
        <v>98.880998156964779</v>
      </c>
      <c r="Y46" s="31"/>
      <c r="Z46" s="29" t="s">
        <v>36</v>
      </c>
      <c r="AA46" s="29" t="s">
        <v>36</v>
      </c>
      <c r="AB46" s="29" t="s">
        <v>36</v>
      </c>
      <c r="AC46" s="29" t="s">
        <v>36</v>
      </c>
      <c r="AD46" s="29" t="s">
        <v>36</v>
      </c>
      <c r="AE46" s="29" t="s">
        <v>36</v>
      </c>
      <c r="AF46" s="4">
        <f t="shared" si="3"/>
        <v>183.67799842357635</v>
      </c>
    </row>
    <row r="47" spans="1:32" ht="15" customHeight="1">
      <c r="A47" s="9">
        <v>40</v>
      </c>
      <c r="B47" s="23" t="s">
        <v>79</v>
      </c>
      <c r="C47" s="28" t="s">
        <v>35</v>
      </c>
      <c r="D47" s="4">
        <f t="shared" si="2"/>
        <v>394.96307026670905</v>
      </c>
      <c r="E47" s="29" t="s">
        <v>36</v>
      </c>
      <c r="F47" s="29">
        <v>223.99253362739086</v>
      </c>
      <c r="G47" s="29">
        <v>66.646111180372543</v>
      </c>
      <c r="H47" s="29">
        <v>12.492399990558624</v>
      </c>
      <c r="I47" s="29">
        <v>43.173252552449704</v>
      </c>
      <c r="J47" s="5">
        <v>48.658772915937327</v>
      </c>
      <c r="K47" s="30"/>
      <c r="L47" s="29" t="s">
        <v>36</v>
      </c>
      <c r="M47" s="29" t="s">
        <v>36</v>
      </c>
      <c r="N47" s="29" t="s">
        <v>36</v>
      </c>
      <c r="O47" s="29" t="s">
        <v>36</v>
      </c>
      <c r="P47" s="29" t="s">
        <v>36</v>
      </c>
      <c r="Q47" s="5" t="s">
        <v>36</v>
      </c>
      <c r="R47" s="30"/>
      <c r="S47" s="29" t="s">
        <v>36</v>
      </c>
      <c r="T47" s="29">
        <v>18.027000268921256</v>
      </c>
      <c r="U47" s="29">
        <v>27.816000048071146</v>
      </c>
      <c r="V47" s="29">
        <v>8.2739999890327454</v>
      </c>
      <c r="W47" s="29">
        <v>64.980000913143158</v>
      </c>
      <c r="X47" s="29">
        <v>250.87099295854568</v>
      </c>
      <c r="Y47" s="31"/>
      <c r="Z47" s="29" t="s">
        <v>36</v>
      </c>
      <c r="AA47" s="29" t="s">
        <v>36</v>
      </c>
      <c r="AB47" s="29" t="s">
        <v>36</v>
      </c>
      <c r="AC47" s="29" t="s">
        <v>36</v>
      </c>
      <c r="AD47" s="29" t="s">
        <v>36</v>
      </c>
      <c r="AE47" s="29" t="s">
        <v>36</v>
      </c>
      <c r="AF47" s="4">
        <f t="shared" si="3"/>
        <v>369.96799417771399</v>
      </c>
    </row>
    <row r="48" spans="1:32" ht="15" customHeight="1">
      <c r="A48" s="9">
        <v>41</v>
      </c>
      <c r="B48" s="23" t="s">
        <v>80</v>
      </c>
      <c r="C48" s="28" t="s">
        <v>35</v>
      </c>
      <c r="D48" s="4">
        <f t="shared" si="2"/>
        <v>1305.48382146523</v>
      </c>
      <c r="E48" s="29">
        <v>912.63640764999388</v>
      </c>
      <c r="F48" s="29" t="s">
        <v>36</v>
      </c>
      <c r="G48" s="29">
        <v>110.70898658899964</v>
      </c>
      <c r="H48" s="29">
        <v>148.3527946581915</v>
      </c>
      <c r="I48" s="29">
        <v>49.492651215791703</v>
      </c>
      <c r="J48" s="5">
        <v>84.292981352253207</v>
      </c>
      <c r="K48" s="30"/>
      <c r="L48" s="29" t="s">
        <v>36</v>
      </c>
      <c r="M48" s="29" t="s">
        <v>36</v>
      </c>
      <c r="N48" s="29" t="s">
        <v>36</v>
      </c>
      <c r="O48" s="29" t="s">
        <v>36</v>
      </c>
      <c r="P48" s="29" t="s">
        <v>36</v>
      </c>
      <c r="Q48" s="5" t="s">
        <v>36</v>
      </c>
      <c r="R48" s="30"/>
      <c r="S48" s="29">
        <v>23.023999691009521</v>
      </c>
      <c r="T48" s="29" t="s">
        <v>36</v>
      </c>
      <c r="U48" s="29">
        <v>20.592999901622534</v>
      </c>
      <c r="V48" s="29">
        <v>59.918000850826502</v>
      </c>
      <c r="W48" s="29">
        <v>43.413999527692795</v>
      </c>
      <c r="X48" s="29">
        <v>310.15600182116032</v>
      </c>
      <c r="Y48" s="31"/>
      <c r="Z48" s="29" t="s">
        <v>36</v>
      </c>
      <c r="AA48" s="29" t="s">
        <v>36</v>
      </c>
      <c r="AB48" s="29" t="s">
        <v>36</v>
      </c>
      <c r="AC48" s="29" t="s">
        <v>36</v>
      </c>
      <c r="AD48" s="29" t="s">
        <v>36</v>
      </c>
      <c r="AE48" s="29" t="s">
        <v>36</v>
      </c>
      <c r="AF48" s="4">
        <f t="shared" si="3"/>
        <v>457.10500179231167</v>
      </c>
    </row>
    <row r="49" spans="1:32" ht="15" customHeight="1">
      <c r="A49" s="9">
        <v>42</v>
      </c>
      <c r="B49" s="23" t="s">
        <v>81</v>
      </c>
      <c r="C49" s="28" t="s">
        <v>39</v>
      </c>
      <c r="D49" s="4">
        <f t="shared" si="2"/>
        <v>1123.9841722125329</v>
      </c>
      <c r="E49" s="29" t="s">
        <v>36</v>
      </c>
      <c r="F49" s="29">
        <v>347.08482819044588</v>
      </c>
      <c r="G49" s="29">
        <v>52.50707964742184</v>
      </c>
      <c r="H49" s="29">
        <v>202.64198054488747</v>
      </c>
      <c r="I49" s="29">
        <v>110.06097744684666</v>
      </c>
      <c r="J49" s="5">
        <v>132.62097432077022</v>
      </c>
      <c r="K49" s="30"/>
      <c r="L49" s="29" t="s">
        <v>36</v>
      </c>
      <c r="M49" s="29">
        <v>47.135893820524217</v>
      </c>
      <c r="N49" s="29">
        <v>102.56864735565148</v>
      </c>
      <c r="O49" s="29">
        <v>65.282688910212372</v>
      </c>
      <c r="P49" s="29">
        <v>23.557731260642409</v>
      </c>
      <c r="Q49" s="5">
        <v>40.523370715130326</v>
      </c>
      <c r="R49" s="30"/>
      <c r="S49" s="29" t="s">
        <v>36</v>
      </c>
      <c r="T49" s="29">
        <v>42.846000015735626</v>
      </c>
      <c r="U49" s="29">
        <v>18.410999894142151</v>
      </c>
      <c r="V49" s="29">
        <v>107.64299966394901</v>
      </c>
      <c r="W49" s="29">
        <v>182.10500029474497</v>
      </c>
      <c r="X49" s="29">
        <v>725.4299989528954</v>
      </c>
      <c r="Y49" s="31"/>
      <c r="Z49" s="29" t="s">
        <v>36</v>
      </c>
      <c r="AA49" s="29">
        <v>3.7849999070167542</v>
      </c>
      <c r="AB49" s="29">
        <v>11.141000031493604</v>
      </c>
      <c r="AC49" s="29">
        <v>11.386999940499663</v>
      </c>
      <c r="AD49" s="29">
        <v>7.3520000725984573</v>
      </c>
      <c r="AE49" s="29">
        <v>78.176001131534576</v>
      </c>
      <c r="AF49" s="4">
        <f t="shared" si="3"/>
        <v>1188.2759999046102</v>
      </c>
    </row>
    <row r="50" spans="1:32" ht="15" customHeight="1">
      <c r="A50" s="9">
        <v>43</v>
      </c>
      <c r="B50" s="23" t="s">
        <v>82</v>
      </c>
      <c r="C50" s="28" t="s">
        <v>35</v>
      </c>
      <c r="D50" s="4">
        <f t="shared" si="2"/>
        <v>834.11306506352673</v>
      </c>
      <c r="E50" s="29" t="s">
        <v>36</v>
      </c>
      <c r="F50" s="29">
        <v>272.88502256333828</v>
      </c>
      <c r="G50" s="29">
        <v>47.417856277793646</v>
      </c>
      <c r="H50" s="29">
        <v>213.77038029738515</v>
      </c>
      <c r="I50" s="29">
        <v>59.55412775874138</v>
      </c>
      <c r="J50" s="5">
        <v>114.8746702760707</v>
      </c>
      <c r="K50" s="30"/>
      <c r="L50" s="29" t="s">
        <v>36</v>
      </c>
      <c r="M50" s="29" t="s">
        <v>36</v>
      </c>
      <c r="N50" s="29" t="s">
        <v>36</v>
      </c>
      <c r="O50" s="29">
        <v>94.251032342918222</v>
      </c>
      <c r="P50" s="29">
        <v>11.396902641773224</v>
      </c>
      <c r="Q50" s="5">
        <v>19.963072905506152</v>
      </c>
      <c r="R50" s="30"/>
      <c r="S50" s="29" t="s">
        <v>36</v>
      </c>
      <c r="T50" s="29">
        <v>31.215999782085419</v>
      </c>
      <c r="U50" s="29">
        <v>17.721999816596508</v>
      </c>
      <c r="V50" s="29">
        <v>112.59999838098884</v>
      </c>
      <c r="W50" s="29">
        <v>98.851000189781189</v>
      </c>
      <c r="X50" s="29">
        <v>629.60799250006676</v>
      </c>
      <c r="Y50" s="31"/>
      <c r="Z50" s="29" t="s">
        <v>36</v>
      </c>
      <c r="AA50" s="29" t="s">
        <v>36</v>
      </c>
      <c r="AB50" s="29" t="s">
        <v>36</v>
      </c>
      <c r="AC50" s="29">
        <v>10.465999873355031</v>
      </c>
      <c r="AD50" s="29">
        <v>4.6169998645782471</v>
      </c>
      <c r="AE50" s="29">
        <v>45.330001831054687</v>
      </c>
      <c r="AF50" s="4">
        <f t="shared" si="3"/>
        <v>950.40999223850667</v>
      </c>
    </row>
    <row r="51" spans="1:32" ht="15" customHeight="1">
      <c r="A51" s="9">
        <v>44</v>
      </c>
      <c r="B51" s="23" t="s">
        <v>83</v>
      </c>
      <c r="C51" s="28" t="s">
        <v>35</v>
      </c>
      <c r="D51" s="4">
        <f t="shared" si="2"/>
        <v>259.35102704400771</v>
      </c>
      <c r="E51" s="29" t="s">
        <v>36</v>
      </c>
      <c r="F51" s="29">
        <v>2.9849999999999999</v>
      </c>
      <c r="G51" s="29">
        <v>120.45841847234219</v>
      </c>
      <c r="H51" s="29">
        <v>57.263326424002649</v>
      </c>
      <c r="I51" s="29">
        <v>23.122255864501</v>
      </c>
      <c r="J51" s="5">
        <v>55.52202628316185</v>
      </c>
      <c r="K51" s="30"/>
      <c r="L51" s="29" t="s">
        <v>36</v>
      </c>
      <c r="M51" s="29" t="s">
        <v>36</v>
      </c>
      <c r="N51" s="29" t="s">
        <v>36</v>
      </c>
      <c r="O51" s="29" t="s">
        <v>36</v>
      </c>
      <c r="P51" s="29" t="s">
        <v>36</v>
      </c>
      <c r="Q51" s="5" t="s">
        <v>36</v>
      </c>
      <c r="R51" s="30"/>
      <c r="S51" s="29" t="s">
        <v>36</v>
      </c>
      <c r="T51" s="29">
        <v>0.75</v>
      </c>
      <c r="U51" s="29">
        <v>30.800999660044909</v>
      </c>
      <c r="V51" s="29">
        <v>32.70900022983551</v>
      </c>
      <c r="W51" s="29">
        <v>65.6869997382164</v>
      </c>
      <c r="X51" s="29">
        <v>425.7229870967567</v>
      </c>
      <c r="Y51" s="31"/>
      <c r="Z51" s="29" t="s">
        <v>36</v>
      </c>
      <c r="AA51" s="29" t="s">
        <v>36</v>
      </c>
      <c r="AB51" s="29" t="s">
        <v>36</v>
      </c>
      <c r="AC51" s="29" t="s">
        <v>36</v>
      </c>
      <c r="AD51" s="29" t="s">
        <v>36</v>
      </c>
      <c r="AE51" s="29" t="s">
        <v>36</v>
      </c>
      <c r="AF51" s="4">
        <f t="shared" si="3"/>
        <v>555.66998672485352</v>
      </c>
    </row>
    <row r="52" spans="1:32" ht="15" customHeight="1">
      <c r="A52" s="9">
        <v>45</v>
      </c>
      <c r="B52" s="23" t="s">
        <v>84</v>
      </c>
      <c r="C52" s="28" t="s">
        <v>45</v>
      </c>
      <c r="D52" s="4">
        <f t="shared" si="2"/>
        <v>886.42171253263518</v>
      </c>
      <c r="E52" s="29" t="s">
        <v>36</v>
      </c>
      <c r="F52" s="29">
        <v>211.88448952714725</v>
      </c>
      <c r="G52" s="29">
        <v>16.293479629606008</v>
      </c>
      <c r="H52" s="29">
        <v>104.60651627351344</v>
      </c>
      <c r="I52" s="29">
        <v>45.373838026180863</v>
      </c>
      <c r="J52" s="5">
        <v>90.733137056522963</v>
      </c>
      <c r="K52" s="30"/>
      <c r="L52" s="29" t="s">
        <v>36</v>
      </c>
      <c r="M52" s="29" t="s">
        <v>36</v>
      </c>
      <c r="N52" s="29">
        <v>208.46700235626102</v>
      </c>
      <c r="O52" s="29">
        <v>87.822008363738661</v>
      </c>
      <c r="P52" s="29">
        <v>47.646459419272837</v>
      </c>
      <c r="Q52" s="5">
        <v>73.594781880392205</v>
      </c>
      <c r="R52" s="30"/>
      <c r="S52" s="29" t="s">
        <v>36</v>
      </c>
      <c r="T52" s="29">
        <v>44.511999601498246</v>
      </c>
      <c r="U52" s="29">
        <v>1.955999955534935</v>
      </c>
      <c r="V52" s="29">
        <v>59.632999531924725</v>
      </c>
      <c r="W52" s="29">
        <v>73.925999619066715</v>
      </c>
      <c r="X52" s="29">
        <v>491.54700339399278</v>
      </c>
      <c r="Y52" s="31"/>
      <c r="Z52" s="29" t="s">
        <v>36</v>
      </c>
      <c r="AA52" s="29" t="s">
        <v>36</v>
      </c>
      <c r="AB52" s="29">
        <v>11.734000131487846</v>
      </c>
      <c r="AC52" s="29">
        <v>10.643999960273504</v>
      </c>
      <c r="AD52" s="29">
        <v>13.21799984946847</v>
      </c>
      <c r="AE52" s="29">
        <v>131.90600191429257</v>
      </c>
      <c r="AF52" s="4">
        <f t="shared" si="3"/>
        <v>839.0760039575398</v>
      </c>
    </row>
    <row r="53" spans="1:32" ht="15" customHeight="1">
      <c r="A53" s="9">
        <v>46</v>
      </c>
      <c r="B53" s="23" t="s">
        <v>85</v>
      </c>
      <c r="C53" s="28" t="s">
        <v>35</v>
      </c>
      <c r="D53" s="4">
        <f t="shared" si="2"/>
        <v>256.43512826887519</v>
      </c>
      <c r="E53" s="29" t="s">
        <v>36</v>
      </c>
      <c r="F53" s="29">
        <v>155.75867929770052</v>
      </c>
      <c r="G53" s="29" t="s">
        <v>36</v>
      </c>
      <c r="H53" s="29">
        <v>30.046579706370832</v>
      </c>
      <c r="I53" s="29">
        <v>27.797686993822456</v>
      </c>
      <c r="J53" s="5">
        <v>42.83218227098137</v>
      </c>
      <c r="K53" s="30"/>
      <c r="L53" s="29" t="s">
        <v>36</v>
      </c>
      <c r="M53" s="29" t="s">
        <v>36</v>
      </c>
      <c r="N53" s="29" t="s">
        <v>36</v>
      </c>
      <c r="O53" s="29" t="s">
        <v>36</v>
      </c>
      <c r="P53" s="29" t="s">
        <v>36</v>
      </c>
      <c r="Q53" s="5" t="s">
        <v>36</v>
      </c>
      <c r="R53" s="30"/>
      <c r="S53" s="29" t="s">
        <v>36</v>
      </c>
      <c r="T53" s="29">
        <v>18.752999939024448</v>
      </c>
      <c r="U53" s="29" t="s">
        <v>36</v>
      </c>
      <c r="V53" s="29">
        <v>17.431999891996384</v>
      </c>
      <c r="W53" s="29">
        <v>52.85200023651123</v>
      </c>
      <c r="X53" s="29">
        <v>255.54600153118372</v>
      </c>
      <c r="Y53" s="31"/>
      <c r="Z53" s="29" t="s">
        <v>36</v>
      </c>
      <c r="AA53" s="29" t="s">
        <v>36</v>
      </c>
      <c r="AB53" s="29" t="s">
        <v>36</v>
      </c>
      <c r="AC53" s="29" t="s">
        <v>36</v>
      </c>
      <c r="AD53" s="29" t="s">
        <v>36</v>
      </c>
      <c r="AE53" s="29" t="s">
        <v>36</v>
      </c>
      <c r="AF53" s="4">
        <f t="shared" si="3"/>
        <v>344.58300159871578</v>
      </c>
    </row>
    <row r="54" spans="1:32" ht="15" customHeight="1">
      <c r="A54" s="9">
        <v>47</v>
      </c>
      <c r="B54" s="23" t="s">
        <v>86</v>
      </c>
      <c r="C54" s="28" t="s">
        <v>39</v>
      </c>
      <c r="D54" s="4">
        <f t="shared" si="2"/>
        <v>3412.5010014092345</v>
      </c>
      <c r="E54" s="29">
        <v>860.8243775453567</v>
      </c>
      <c r="F54" s="29">
        <v>340.04249926543235</v>
      </c>
      <c r="G54" s="29">
        <v>92.348123241901391</v>
      </c>
      <c r="H54" s="29">
        <v>242.93075457149743</v>
      </c>
      <c r="I54" s="29">
        <v>128.99421665584669</v>
      </c>
      <c r="J54" s="5">
        <v>170.55023267558198</v>
      </c>
      <c r="K54" s="30"/>
      <c r="L54" s="29">
        <v>149.53299440389873</v>
      </c>
      <c r="M54" s="29">
        <v>24.728098994493486</v>
      </c>
      <c r="N54" s="29">
        <v>565.93895502883197</v>
      </c>
      <c r="O54" s="29">
        <v>516.12944664327154</v>
      </c>
      <c r="P54" s="29">
        <v>123.92096229237318</v>
      </c>
      <c r="Q54" s="5">
        <v>196.56034009074895</v>
      </c>
      <c r="R54" s="30"/>
      <c r="S54" s="29">
        <v>21.57099974155426</v>
      </c>
      <c r="T54" s="29">
        <v>29.01600044965744</v>
      </c>
      <c r="U54" s="29">
        <v>17.690999984741211</v>
      </c>
      <c r="V54" s="29">
        <v>83.937000408768654</v>
      </c>
      <c r="W54" s="29">
        <v>112.03000032715499</v>
      </c>
      <c r="X54" s="29">
        <v>623.64700810890645</v>
      </c>
      <c r="Y54" s="31"/>
      <c r="Z54" s="29">
        <v>3.0759998857975006</v>
      </c>
      <c r="AA54" s="29">
        <v>0.97999995946884155</v>
      </c>
      <c r="AB54" s="29">
        <v>23.358999729156494</v>
      </c>
      <c r="AC54" s="29">
        <v>51.691000118386</v>
      </c>
      <c r="AD54" s="29">
        <v>35.247000066563487</v>
      </c>
      <c r="AE54" s="29">
        <v>357.83900859951973</v>
      </c>
      <c r="AF54" s="4">
        <f t="shared" si="3"/>
        <v>1360.0840173796751</v>
      </c>
    </row>
    <row r="55" spans="1:32" ht="15" customHeight="1">
      <c r="A55" s="9">
        <v>48</v>
      </c>
      <c r="B55" s="23" t="s">
        <v>87</v>
      </c>
      <c r="C55" s="28" t="s">
        <v>35</v>
      </c>
      <c r="D55" s="4">
        <f t="shared" si="2"/>
        <v>747.24964214107035</v>
      </c>
      <c r="E55" s="29" t="s">
        <v>36</v>
      </c>
      <c r="F55" s="29">
        <v>241.04609976857157</v>
      </c>
      <c r="G55" s="29">
        <v>176.49175674223156</v>
      </c>
      <c r="H55" s="29">
        <v>139.10031846057996</v>
      </c>
      <c r="I55" s="29">
        <v>88.763175068646675</v>
      </c>
      <c r="J55" s="5">
        <v>101.84829210104067</v>
      </c>
      <c r="K55" s="30"/>
      <c r="L55" s="29" t="s">
        <v>36</v>
      </c>
      <c r="M55" s="29" t="s">
        <v>36</v>
      </c>
      <c r="N55" s="29" t="s">
        <v>36</v>
      </c>
      <c r="O55" s="29" t="s">
        <v>36</v>
      </c>
      <c r="P55" s="29" t="s">
        <v>36</v>
      </c>
      <c r="Q55" s="5" t="s">
        <v>36</v>
      </c>
      <c r="R55" s="30"/>
      <c r="S55" s="29" t="s">
        <v>36</v>
      </c>
      <c r="T55" s="29">
        <v>39.181999005377293</v>
      </c>
      <c r="U55" s="29">
        <v>38.640999849885702</v>
      </c>
      <c r="V55" s="29">
        <v>59.861001882702112</v>
      </c>
      <c r="W55" s="29">
        <v>76.63800098747015</v>
      </c>
      <c r="X55" s="29">
        <v>371.06100315600634</v>
      </c>
      <c r="Y55" s="31"/>
      <c r="Z55" s="29" t="s">
        <v>36</v>
      </c>
      <c r="AA55" s="29" t="s">
        <v>36</v>
      </c>
      <c r="AB55" s="29" t="s">
        <v>36</v>
      </c>
      <c r="AC55" s="29" t="s">
        <v>36</v>
      </c>
      <c r="AD55" s="29" t="s">
        <v>36</v>
      </c>
      <c r="AE55" s="29" t="s">
        <v>36</v>
      </c>
      <c r="AF55" s="4">
        <f t="shared" si="3"/>
        <v>585.38300488144159</v>
      </c>
    </row>
    <row r="56" spans="1:32" ht="15" customHeight="1">
      <c r="A56" s="9">
        <v>49</v>
      </c>
      <c r="B56" s="23" t="s">
        <v>88</v>
      </c>
      <c r="C56" s="28" t="s">
        <v>39</v>
      </c>
      <c r="D56" s="4">
        <f t="shared" si="2"/>
        <v>383.0197066400242</v>
      </c>
      <c r="E56" s="29" t="s">
        <v>36</v>
      </c>
      <c r="F56" s="29">
        <v>59.264332767441871</v>
      </c>
      <c r="G56" s="29">
        <v>54.836170885562893</v>
      </c>
      <c r="H56" s="29">
        <v>71.597847573518749</v>
      </c>
      <c r="I56" s="29">
        <v>48.07767367863655</v>
      </c>
      <c r="J56" s="5">
        <v>62.524158752785269</v>
      </c>
      <c r="K56" s="30"/>
      <c r="L56" s="29" t="s">
        <v>36</v>
      </c>
      <c r="M56" s="29" t="s">
        <v>36</v>
      </c>
      <c r="N56" s="29">
        <v>32.013143704891206</v>
      </c>
      <c r="O56" s="29">
        <v>18.695510751448573</v>
      </c>
      <c r="P56" s="29">
        <v>20.552794692382218</v>
      </c>
      <c r="Q56" s="5">
        <v>15.458073833356849</v>
      </c>
      <c r="R56" s="30"/>
      <c r="S56" s="29" t="s">
        <v>36</v>
      </c>
      <c r="T56" s="29">
        <v>16.966999605298042</v>
      </c>
      <c r="U56" s="29">
        <v>9.16100013256073</v>
      </c>
      <c r="V56" s="29">
        <v>39.180000469088554</v>
      </c>
      <c r="W56" s="29">
        <v>71.916999518871307</v>
      </c>
      <c r="X56" s="29">
        <v>321.11801432166249</v>
      </c>
      <c r="Y56" s="31"/>
      <c r="Z56" s="29" t="s">
        <v>36</v>
      </c>
      <c r="AA56" s="29" t="s">
        <v>36</v>
      </c>
      <c r="AB56" s="29">
        <v>2.4490000456571579</v>
      </c>
      <c r="AC56" s="29">
        <v>3.4119999557733536</v>
      </c>
      <c r="AD56" s="29">
        <v>6.2309999093413353</v>
      </c>
      <c r="AE56" s="29">
        <v>29.285999238491058</v>
      </c>
      <c r="AF56" s="4">
        <f t="shared" si="3"/>
        <v>499.72101319674402</v>
      </c>
    </row>
    <row r="57" spans="1:32" ht="15" customHeight="1">
      <c r="A57" s="9">
        <v>50</v>
      </c>
      <c r="B57" s="23" t="s">
        <v>89</v>
      </c>
      <c r="C57" s="28" t="s">
        <v>35</v>
      </c>
      <c r="D57" s="4">
        <f t="shared" si="2"/>
        <v>1073.1467100507211</v>
      </c>
      <c r="E57" s="29">
        <v>681.88314372825619</v>
      </c>
      <c r="F57" s="29" t="s">
        <v>36</v>
      </c>
      <c r="G57" s="29" t="s">
        <v>36</v>
      </c>
      <c r="H57" s="29">
        <v>256.9374661331475</v>
      </c>
      <c r="I57" s="29">
        <v>55.317709838822481</v>
      </c>
      <c r="J57" s="5">
        <v>79.008390350494921</v>
      </c>
      <c r="K57" s="30"/>
      <c r="L57" s="29" t="s">
        <v>36</v>
      </c>
      <c r="M57" s="29" t="s">
        <v>36</v>
      </c>
      <c r="N57" s="29" t="s">
        <v>36</v>
      </c>
      <c r="O57" s="29" t="s">
        <v>36</v>
      </c>
      <c r="P57" s="29" t="s">
        <v>36</v>
      </c>
      <c r="Q57" s="5" t="s">
        <v>36</v>
      </c>
      <c r="R57" s="30"/>
      <c r="S57" s="29">
        <v>20.665999889373779</v>
      </c>
      <c r="T57" s="29" t="s">
        <v>36</v>
      </c>
      <c r="U57" s="29" t="s">
        <v>36</v>
      </c>
      <c r="V57" s="29">
        <v>113.73399945348501</v>
      </c>
      <c r="W57" s="29">
        <v>112.01800023019314</v>
      </c>
      <c r="X57" s="29">
        <v>490.31300491839647</v>
      </c>
      <c r="Y57" s="31"/>
      <c r="Z57" s="29" t="s">
        <v>36</v>
      </c>
      <c r="AA57" s="29" t="s">
        <v>36</v>
      </c>
      <c r="AB57" s="29" t="s">
        <v>36</v>
      </c>
      <c r="AC57" s="29" t="s">
        <v>36</v>
      </c>
      <c r="AD57" s="29" t="s">
        <v>36</v>
      </c>
      <c r="AE57" s="29" t="s">
        <v>36</v>
      </c>
      <c r="AF57" s="4">
        <f t="shared" si="3"/>
        <v>736.7310044914484</v>
      </c>
    </row>
    <row r="58" spans="1:32" ht="15" customHeight="1">
      <c r="A58" s="9">
        <v>51</v>
      </c>
      <c r="B58" s="23" t="s">
        <v>90</v>
      </c>
      <c r="C58" s="28" t="s">
        <v>45</v>
      </c>
      <c r="D58" s="4">
        <f t="shared" si="2"/>
        <v>1435.5403656203164</v>
      </c>
      <c r="E58" s="29" t="s">
        <v>36</v>
      </c>
      <c r="F58" s="29">
        <v>327.2844341044426</v>
      </c>
      <c r="G58" s="29">
        <v>112.86787811946868</v>
      </c>
      <c r="H58" s="29">
        <v>87.906807550609116</v>
      </c>
      <c r="I58" s="29">
        <v>52.949138570666314</v>
      </c>
      <c r="J58" s="5">
        <v>95.440587054013264</v>
      </c>
      <c r="K58" s="30"/>
      <c r="L58" s="29" t="s">
        <v>36</v>
      </c>
      <c r="M58" s="29">
        <v>111.9703420162797</v>
      </c>
      <c r="N58" s="29">
        <v>435.50837792392076</v>
      </c>
      <c r="O58" s="29">
        <v>111.6262748952806</v>
      </c>
      <c r="P58" s="29">
        <v>39.220272198274735</v>
      </c>
      <c r="Q58" s="5">
        <v>60.766253187360633</v>
      </c>
      <c r="R58" s="30"/>
      <c r="S58" s="29" t="s">
        <v>36</v>
      </c>
      <c r="T58" s="29">
        <v>34.059000372886658</v>
      </c>
      <c r="U58" s="29">
        <v>24.147999778389931</v>
      </c>
      <c r="V58" s="29">
        <v>29.076000034809113</v>
      </c>
      <c r="W58" s="29">
        <v>77.488999485969543</v>
      </c>
      <c r="X58" s="29">
        <v>483.51501599699259</v>
      </c>
      <c r="Y58" s="31"/>
      <c r="Z58" s="29" t="s">
        <v>36</v>
      </c>
      <c r="AA58" s="29">
        <v>4.6260000616312027</v>
      </c>
      <c r="AB58" s="29">
        <v>21.602999910712242</v>
      </c>
      <c r="AC58" s="29">
        <v>18.392999812960625</v>
      </c>
      <c r="AD58" s="29">
        <v>14.043000087141991</v>
      </c>
      <c r="AE58" s="29">
        <v>127.73699555546045</v>
      </c>
      <c r="AF58" s="4">
        <f t="shared" si="3"/>
        <v>834.68901109695435</v>
      </c>
    </row>
    <row r="59" spans="1:32" ht="15" customHeight="1">
      <c r="A59" s="9">
        <v>52</v>
      </c>
      <c r="B59" s="23" t="s">
        <v>91</v>
      </c>
      <c r="C59" s="28" t="s">
        <v>35</v>
      </c>
      <c r="D59" s="4">
        <f t="shared" si="2"/>
        <v>702.22140871118893</v>
      </c>
      <c r="E59" s="29">
        <v>388.351253426075</v>
      </c>
      <c r="F59" s="29" t="s">
        <v>36</v>
      </c>
      <c r="G59" s="29">
        <v>100.90272393158078</v>
      </c>
      <c r="H59" s="29">
        <v>103.98317105776071</v>
      </c>
      <c r="I59" s="29">
        <v>61.008054598882794</v>
      </c>
      <c r="J59" s="5">
        <v>47.976205696889608</v>
      </c>
      <c r="K59" s="30"/>
      <c r="L59" s="29" t="s">
        <v>36</v>
      </c>
      <c r="M59" s="29" t="s">
        <v>36</v>
      </c>
      <c r="N59" s="29" t="s">
        <v>36</v>
      </c>
      <c r="O59" s="29" t="s">
        <v>36</v>
      </c>
      <c r="P59" s="29" t="s">
        <v>36</v>
      </c>
      <c r="Q59" s="5" t="s">
        <v>36</v>
      </c>
      <c r="R59" s="30"/>
      <c r="S59" s="29">
        <v>13.358999967575073</v>
      </c>
      <c r="T59" s="29" t="s">
        <v>36</v>
      </c>
      <c r="U59" s="29">
        <v>29.564999943599105</v>
      </c>
      <c r="V59" s="29">
        <v>51.885000616312027</v>
      </c>
      <c r="W59" s="29">
        <v>98.241999551653862</v>
      </c>
      <c r="X59" s="29">
        <v>258.01799431443214</v>
      </c>
      <c r="Y59" s="31"/>
      <c r="Z59" s="29" t="s">
        <v>36</v>
      </c>
      <c r="AA59" s="29" t="s">
        <v>36</v>
      </c>
      <c r="AB59" s="29" t="s">
        <v>36</v>
      </c>
      <c r="AC59" s="29" t="s">
        <v>36</v>
      </c>
      <c r="AD59" s="29" t="s">
        <v>36</v>
      </c>
      <c r="AE59" s="29" t="s">
        <v>36</v>
      </c>
      <c r="AF59" s="4">
        <f t="shared" si="3"/>
        <v>451.06899439357221</v>
      </c>
    </row>
    <row r="60" spans="1:32" ht="15" customHeight="1">
      <c r="A60" s="9">
        <v>53</v>
      </c>
      <c r="B60" s="23" t="s">
        <v>92</v>
      </c>
      <c r="C60" s="28" t="s">
        <v>35</v>
      </c>
      <c r="D60" s="4">
        <f t="shared" si="2"/>
        <v>175.54585330825233</v>
      </c>
      <c r="E60" s="29" t="s">
        <v>36</v>
      </c>
      <c r="F60" s="29">
        <v>75.630691621139647</v>
      </c>
      <c r="G60" s="29">
        <v>9.3599559413939719</v>
      </c>
      <c r="H60" s="29">
        <v>46.153538494165986</v>
      </c>
      <c r="I60" s="29">
        <v>13.21428117135167</v>
      </c>
      <c r="J60" s="5">
        <v>31.187386080201051</v>
      </c>
      <c r="K60" s="30"/>
      <c r="L60" s="29" t="s">
        <v>36</v>
      </c>
      <c r="M60" s="29" t="s">
        <v>36</v>
      </c>
      <c r="N60" s="29" t="s">
        <v>36</v>
      </c>
      <c r="O60" s="29" t="s">
        <v>36</v>
      </c>
      <c r="P60" s="29" t="s">
        <v>36</v>
      </c>
      <c r="Q60" s="5" t="s">
        <v>36</v>
      </c>
      <c r="R60" s="30"/>
      <c r="S60" s="29" t="s">
        <v>36</v>
      </c>
      <c r="T60" s="29">
        <v>20.013000655919313</v>
      </c>
      <c r="U60" s="29">
        <v>18.376999661326408</v>
      </c>
      <c r="V60" s="29">
        <v>46.561000388115644</v>
      </c>
      <c r="W60" s="29">
        <v>48.85600058734417</v>
      </c>
      <c r="X60" s="29">
        <v>281.92500767111778</v>
      </c>
      <c r="Y60" s="31"/>
      <c r="Z60" s="29" t="s">
        <v>36</v>
      </c>
      <c r="AA60" s="29" t="s">
        <v>36</v>
      </c>
      <c r="AB60" s="29" t="s">
        <v>36</v>
      </c>
      <c r="AC60" s="29" t="s">
        <v>36</v>
      </c>
      <c r="AD60" s="29" t="s">
        <v>36</v>
      </c>
      <c r="AE60" s="29" t="s">
        <v>36</v>
      </c>
      <c r="AF60" s="4">
        <f t="shared" si="3"/>
        <v>415.73200896382332</v>
      </c>
    </row>
    <row r="61" spans="1:32" ht="15" customHeight="1">
      <c r="A61" s="9">
        <v>54</v>
      </c>
      <c r="B61" s="23" t="s">
        <v>93</v>
      </c>
      <c r="C61" s="28" t="s">
        <v>39</v>
      </c>
      <c r="D61" s="4">
        <f t="shared" si="2"/>
        <v>1646.1033849295748</v>
      </c>
      <c r="E61" s="29" t="s">
        <v>36</v>
      </c>
      <c r="F61" s="29">
        <v>583.22414712786679</v>
      </c>
      <c r="G61" s="29">
        <v>88.619471567541368</v>
      </c>
      <c r="H61" s="29">
        <v>278.80804762547092</v>
      </c>
      <c r="I61" s="29">
        <v>115.1232633212842</v>
      </c>
      <c r="J61" s="5">
        <v>168.64625086732238</v>
      </c>
      <c r="K61" s="30"/>
      <c r="L61" s="29" t="s">
        <v>36</v>
      </c>
      <c r="M61" s="29">
        <v>51.269923789858815</v>
      </c>
      <c r="N61" s="29" t="s">
        <v>36</v>
      </c>
      <c r="O61" s="29">
        <v>213.43891233830155</v>
      </c>
      <c r="P61" s="29">
        <v>73.094559996590021</v>
      </c>
      <c r="Q61" s="5">
        <v>73.878808295338771</v>
      </c>
      <c r="R61" s="30"/>
      <c r="S61" s="29" t="s">
        <v>36</v>
      </c>
      <c r="T61" s="29">
        <v>46.648999154567719</v>
      </c>
      <c r="U61" s="29">
        <v>16.130000121891499</v>
      </c>
      <c r="V61" s="29">
        <v>93.298999458551407</v>
      </c>
      <c r="W61" s="29">
        <v>100.11100072786212</v>
      </c>
      <c r="X61" s="29">
        <v>617.17701016739011</v>
      </c>
      <c r="Y61" s="31"/>
      <c r="Z61" s="29" t="s">
        <v>36</v>
      </c>
      <c r="AA61" s="29">
        <v>1.9190000295639038</v>
      </c>
      <c r="AB61" s="29" t="s">
        <v>36</v>
      </c>
      <c r="AC61" s="29">
        <v>18.038000170141459</v>
      </c>
      <c r="AD61" s="29">
        <v>18.059999950230122</v>
      </c>
      <c r="AE61" s="29">
        <v>123.17099903523922</v>
      </c>
      <c r="AF61" s="4">
        <f t="shared" si="3"/>
        <v>1034.5540088154376</v>
      </c>
    </row>
    <row r="62" spans="1:32" ht="15" customHeight="1">
      <c r="A62" s="9">
        <v>55</v>
      </c>
      <c r="B62" s="23" t="s">
        <v>94</v>
      </c>
      <c r="C62" s="28" t="s">
        <v>35</v>
      </c>
      <c r="D62" s="4">
        <f t="shared" si="2"/>
        <v>309.41162067832215</v>
      </c>
      <c r="E62" s="29" t="s">
        <v>36</v>
      </c>
      <c r="F62" s="29" t="s">
        <v>36</v>
      </c>
      <c r="G62" s="29">
        <v>169.14564782000332</v>
      </c>
      <c r="H62" s="29">
        <v>35.733770867500454</v>
      </c>
      <c r="I62" s="29">
        <v>37.267509917035696</v>
      </c>
      <c r="J62" s="5">
        <v>67.264692073782655</v>
      </c>
      <c r="K62" s="30"/>
      <c r="L62" s="29" t="s">
        <v>36</v>
      </c>
      <c r="M62" s="29" t="s">
        <v>36</v>
      </c>
      <c r="N62" s="29" t="s">
        <v>36</v>
      </c>
      <c r="O62" s="29" t="s">
        <v>36</v>
      </c>
      <c r="P62" s="29" t="s">
        <v>36</v>
      </c>
      <c r="Q62" s="5" t="s">
        <v>36</v>
      </c>
      <c r="R62" s="30"/>
      <c r="S62" s="29" t="s">
        <v>36</v>
      </c>
      <c r="T62" s="29" t="s">
        <v>36</v>
      </c>
      <c r="U62" s="29">
        <v>42.107999674975872</v>
      </c>
      <c r="V62" s="29">
        <v>33.358000375330448</v>
      </c>
      <c r="W62" s="29">
        <v>93.38299997150898</v>
      </c>
      <c r="X62" s="29">
        <v>476.85901062935591</v>
      </c>
      <c r="Y62" s="31"/>
      <c r="Z62" s="29" t="s">
        <v>36</v>
      </c>
      <c r="AA62" s="29" t="s">
        <v>36</v>
      </c>
      <c r="AB62" s="29" t="s">
        <v>36</v>
      </c>
      <c r="AC62" s="29" t="s">
        <v>36</v>
      </c>
      <c r="AD62" s="29" t="s">
        <v>36</v>
      </c>
      <c r="AE62" s="29" t="s">
        <v>36</v>
      </c>
      <c r="AF62" s="4">
        <f t="shared" si="3"/>
        <v>645.70801065117121</v>
      </c>
    </row>
    <row r="63" spans="1:32" ht="15" customHeight="1">
      <c r="A63" s="9">
        <v>56</v>
      </c>
      <c r="B63" s="23" t="s">
        <v>95</v>
      </c>
      <c r="C63" s="28" t="s">
        <v>45</v>
      </c>
      <c r="D63" s="4">
        <f t="shared" si="2"/>
        <v>19199.256152857801</v>
      </c>
      <c r="E63" s="29">
        <v>268.54080448150637</v>
      </c>
      <c r="F63" s="29">
        <v>131.45560052377729</v>
      </c>
      <c r="G63" s="29">
        <v>93.193340875506408</v>
      </c>
      <c r="H63" s="29">
        <v>1.1773800593614578</v>
      </c>
      <c r="I63" s="29">
        <v>15.778597685488872</v>
      </c>
      <c r="J63" s="5">
        <v>43.300853763791842</v>
      </c>
      <c r="K63" s="30"/>
      <c r="L63" s="29">
        <v>8349.9363477321858</v>
      </c>
      <c r="M63" s="29">
        <v>535.96914986872673</v>
      </c>
      <c r="N63" s="29">
        <v>4142.5733688621931</v>
      </c>
      <c r="O63" s="29">
        <v>2433.7171098049098</v>
      </c>
      <c r="P63" s="29">
        <v>1354.4338001902113</v>
      </c>
      <c r="Q63" s="5">
        <v>1829.179799010139</v>
      </c>
      <c r="R63" s="30"/>
      <c r="S63" s="29">
        <v>5.0860000848770142</v>
      </c>
      <c r="T63" s="29">
        <v>4.8140000309795141</v>
      </c>
      <c r="U63" s="29">
        <v>7.8870000056922436</v>
      </c>
      <c r="V63" s="29">
        <v>0.55800002813339233</v>
      </c>
      <c r="W63" s="29">
        <v>9.6579997902736068</v>
      </c>
      <c r="X63" s="29">
        <v>127.24700152873993</v>
      </c>
      <c r="Y63" s="31"/>
      <c r="Z63" s="29">
        <v>91.745000019669533</v>
      </c>
      <c r="AA63" s="29">
        <v>13.650999993085861</v>
      </c>
      <c r="AB63" s="29">
        <v>173.49199996702373</v>
      </c>
      <c r="AC63" s="29">
        <v>207.49799978826195</v>
      </c>
      <c r="AD63" s="29">
        <v>228.93500012066215</v>
      </c>
      <c r="AE63" s="29">
        <v>2405.6311068255454</v>
      </c>
      <c r="AF63" s="4">
        <f t="shared" si="3"/>
        <v>3276.2021081829444</v>
      </c>
    </row>
    <row r="64" spans="1:32" ht="15" customHeight="1">
      <c r="A64" s="9">
        <v>57</v>
      </c>
      <c r="B64" s="23" t="s">
        <v>96</v>
      </c>
      <c r="C64" s="28" t="s">
        <v>53</v>
      </c>
      <c r="D64" s="4">
        <f t="shared" si="2"/>
        <v>931.54162884402069</v>
      </c>
      <c r="E64" s="29" t="s">
        <v>36</v>
      </c>
      <c r="F64" s="29">
        <v>197.82390879917145</v>
      </c>
      <c r="G64" s="29">
        <v>82.81704023951292</v>
      </c>
      <c r="H64" s="29">
        <v>75.150125463224953</v>
      </c>
      <c r="I64" s="29">
        <v>55.093887597687541</v>
      </c>
      <c r="J64" s="5">
        <v>45.38304383523905</v>
      </c>
      <c r="K64" s="30"/>
      <c r="L64" s="29" t="s">
        <v>36</v>
      </c>
      <c r="M64" s="29" t="s">
        <v>36</v>
      </c>
      <c r="N64" s="29">
        <v>242.12845854650439</v>
      </c>
      <c r="O64" s="29">
        <v>133.4118920297511</v>
      </c>
      <c r="P64" s="29">
        <v>39.031681532308461</v>
      </c>
      <c r="Q64" s="5">
        <v>60.701590800620835</v>
      </c>
      <c r="R64" s="30"/>
      <c r="S64" s="29" t="s">
        <v>36</v>
      </c>
      <c r="T64" s="29">
        <v>8.5430001020431519</v>
      </c>
      <c r="U64" s="29">
        <v>11.32499997317791</v>
      </c>
      <c r="V64" s="29">
        <v>24.679000087082386</v>
      </c>
      <c r="W64" s="29">
        <v>51.82700059004128</v>
      </c>
      <c r="X64" s="29">
        <v>174.44300497323275</v>
      </c>
      <c r="Y64" s="31"/>
      <c r="Z64" s="29" t="s">
        <v>36</v>
      </c>
      <c r="AA64" s="29" t="s">
        <v>36</v>
      </c>
      <c r="AB64" s="29">
        <v>8.0049998760223389</v>
      </c>
      <c r="AC64" s="29">
        <v>12.183000111952424</v>
      </c>
      <c r="AD64" s="29">
        <v>10.869999893009663</v>
      </c>
      <c r="AE64" s="29">
        <v>109.06000238656998</v>
      </c>
      <c r="AF64" s="4">
        <f t="shared" si="3"/>
        <v>410.93500799313188</v>
      </c>
    </row>
    <row r="65" spans="1:32" ht="15" customHeight="1">
      <c r="A65" s="9">
        <v>58</v>
      </c>
      <c r="B65" s="23" t="s">
        <v>97</v>
      </c>
      <c r="C65" s="28" t="s">
        <v>35</v>
      </c>
      <c r="D65" s="4">
        <f t="shared" si="2"/>
        <v>631.74422402463097</v>
      </c>
      <c r="E65" s="29" t="s">
        <v>36</v>
      </c>
      <c r="F65" s="29">
        <v>263.65763723314552</v>
      </c>
      <c r="G65" s="29">
        <v>86.20366155183315</v>
      </c>
      <c r="H65" s="29">
        <v>154.35160128623247</v>
      </c>
      <c r="I65" s="29">
        <v>60.747529130332175</v>
      </c>
      <c r="J65" s="5">
        <v>66.78379482308759</v>
      </c>
      <c r="K65" s="30"/>
      <c r="L65" s="29" t="s">
        <v>36</v>
      </c>
      <c r="M65" s="29" t="s">
        <v>36</v>
      </c>
      <c r="N65" s="29" t="s">
        <v>36</v>
      </c>
      <c r="O65" s="29" t="s">
        <v>36</v>
      </c>
      <c r="P65" s="29" t="s">
        <v>36</v>
      </c>
      <c r="Q65" s="5" t="s">
        <v>36</v>
      </c>
      <c r="R65" s="30"/>
      <c r="S65" s="29" t="s">
        <v>36</v>
      </c>
      <c r="T65" s="29">
        <v>29.315000344067812</v>
      </c>
      <c r="U65" s="29">
        <v>9.5620000064373016</v>
      </c>
      <c r="V65" s="29">
        <v>49.334000810980797</v>
      </c>
      <c r="W65" s="29">
        <v>83.977000165730715</v>
      </c>
      <c r="X65" s="29">
        <v>326.50100482068956</v>
      </c>
      <c r="Y65" s="31"/>
      <c r="Z65" s="29" t="s">
        <v>36</v>
      </c>
      <c r="AA65" s="29" t="s">
        <v>36</v>
      </c>
      <c r="AB65" s="29" t="s">
        <v>36</v>
      </c>
      <c r="AC65" s="29" t="s">
        <v>36</v>
      </c>
      <c r="AD65" s="29" t="s">
        <v>36</v>
      </c>
      <c r="AE65" s="29" t="s">
        <v>36</v>
      </c>
      <c r="AF65" s="4">
        <f t="shared" si="3"/>
        <v>498.68900614790618</v>
      </c>
    </row>
    <row r="66" spans="1:32" ht="15" customHeight="1">
      <c r="A66" s="9">
        <v>59</v>
      </c>
      <c r="B66" s="23" t="s">
        <v>98</v>
      </c>
      <c r="C66" s="28" t="s">
        <v>45</v>
      </c>
      <c r="D66" s="4">
        <f t="shared" si="2"/>
        <v>3855.8115729428437</v>
      </c>
      <c r="E66" s="29">
        <v>161.97600603103638</v>
      </c>
      <c r="F66" s="29" t="s">
        <v>36</v>
      </c>
      <c r="G66" s="29" t="s">
        <v>36</v>
      </c>
      <c r="H66" s="29">
        <v>102.18212892888114</v>
      </c>
      <c r="I66" s="29">
        <v>9.5711060036420825</v>
      </c>
      <c r="J66" s="5">
        <v>16.539641807519768</v>
      </c>
      <c r="K66" s="30"/>
      <c r="L66" s="29">
        <v>2018.968423085928</v>
      </c>
      <c r="M66" s="29" t="s">
        <v>36</v>
      </c>
      <c r="N66" s="29">
        <v>478.11671438580845</v>
      </c>
      <c r="O66" s="29">
        <v>451.62760826385022</v>
      </c>
      <c r="P66" s="29">
        <v>309.10514643886688</v>
      </c>
      <c r="Q66" s="5">
        <v>307.72479799731093</v>
      </c>
      <c r="R66" s="30"/>
      <c r="S66" s="29">
        <v>3.1760001182556152</v>
      </c>
      <c r="T66" s="29" t="s">
        <v>36</v>
      </c>
      <c r="U66" s="29" t="s">
        <v>36</v>
      </c>
      <c r="V66" s="29">
        <v>37.502999713644385</v>
      </c>
      <c r="W66" s="29">
        <v>16.433999925851822</v>
      </c>
      <c r="X66" s="29">
        <v>92.589999973773956</v>
      </c>
      <c r="Y66" s="31"/>
      <c r="Z66" s="29">
        <v>16.248000383377075</v>
      </c>
      <c r="AA66" s="29" t="s">
        <v>36</v>
      </c>
      <c r="AB66" s="29">
        <v>32.30099991010502</v>
      </c>
      <c r="AC66" s="29">
        <v>38.934999629855156</v>
      </c>
      <c r="AD66" s="29">
        <v>65.340999998152256</v>
      </c>
      <c r="AE66" s="29">
        <v>465.39199735224247</v>
      </c>
      <c r="AF66" s="4">
        <f t="shared" si="3"/>
        <v>767.91999700525776</v>
      </c>
    </row>
    <row r="67" spans="1:32" ht="15" customHeight="1">
      <c r="A67" s="9">
        <v>60</v>
      </c>
      <c r="B67" s="23" t="s">
        <v>99</v>
      </c>
      <c r="C67" s="28" t="s">
        <v>35</v>
      </c>
      <c r="D67" s="4">
        <f t="shared" si="2"/>
        <v>530.16052381761062</v>
      </c>
      <c r="E67" s="29" t="s">
        <v>36</v>
      </c>
      <c r="F67" s="29">
        <v>190.74526038837433</v>
      </c>
      <c r="G67" s="29">
        <v>74.306420778334143</v>
      </c>
      <c r="H67" s="29">
        <v>140.49008766826987</v>
      </c>
      <c r="I67" s="29">
        <v>71.326531141519553</v>
      </c>
      <c r="J67" s="5">
        <v>53.292223841112673</v>
      </c>
      <c r="K67" s="30"/>
      <c r="L67" s="29" t="s">
        <v>36</v>
      </c>
      <c r="M67" s="29" t="s">
        <v>36</v>
      </c>
      <c r="N67" s="29" t="s">
        <v>36</v>
      </c>
      <c r="O67" s="29" t="s">
        <v>36</v>
      </c>
      <c r="P67" s="29" t="s">
        <v>36</v>
      </c>
      <c r="Q67" s="5" t="s">
        <v>36</v>
      </c>
      <c r="R67" s="30"/>
      <c r="S67" s="29" t="s">
        <v>36</v>
      </c>
      <c r="T67" s="29">
        <v>29.421999573707581</v>
      </c>
      <c r="U67" s="29">
        <v>12.468000158667564</v>
      </c>
      <c r="V67" s="29">
        <v>69.541000887751579</v>
      </c>
      <c r="W67" s="29">
        <v>88.344000101089478</v>
      </c>
      <c r="X67" s="29">
        <v>243.25999844074249</v>
      </c>
      <c r="Y67" s="31"/>
      <c r="Z67" s="29" t="s">
        <v>36</v>
      </c>
      <c r="AA67" s="29" t="s">
        <v>36</v>
      </c>
      <c r="AB67" s="29" t="s">
        <v>36</v>
      </c>
      <c r="AC67" s="29" t="s">
        <v>36</v>
      </c>
      <c r="AD67" s="29" t="s">
        <v>36</v>
      </c>
      <c r="AE67" s="29" t="s">
        <v>36</v>
      </c>
      <c r="AF67" s="4">
        <f t="shared" si="3"/>
        <v>443.03499916195869</v>
      </c>
    </row>
    <row r="68" spans="1:32" ht="15" customHeight="1">
      <c r="A68" s="9">
        <v>61</v>
      </c>
      <c r="B68" s="23" t="s">
        <v>100</v>
      </c>
      <c r="C68" s="28" t="s">
        <v>39</v>
      </c>
      <c r="D68" s="4">
        <f t="shared" si="2"/>
        <v>848.06764985190648</v>
      </c>
      <c r="E68" s="29" t="s">
        <v>36</v>
      </c>
      <c r="F68" s="29">
        <v>471.80970960807798</v>
      </c>
      <c r="G68" s="29" t="s">
        <v>36</v>
      </c>
      <c r="H68" s="29">
        <v>114.99989120274782</v>
      </c>
      <c r="I68" s="29">
        <v>97.236520464211708</v>
      </c>
      <c r="J68" s="5">
        <v>121.98657436557927</v>
      </c>
      <c r="K68" s="30"/>
      <c r="L68" s="29" t="s">
        <v>36</v>
      </c>
      <c r="M68" s="29" t="s">
        <v>36</v>
      </c>
      <c r="N68" s="29">
        <v>14.786772103309632</v>
      </c>
      <c r="O68" s="29">
        <v>18.090879911422729</v>
      </c>
      <c r="P68" s="29">
        <v>4.8276120792012662</v>
      </c>
      <c r="Q68" s="5">
        <v>4.3296901173560061</v>
      </c>
      <c r="R68" s="30"/>
      <c r="S68" s="29" t="s">
        <v>36</v>
      </c>
      <c r="T68" s="29">
        <v>29.561000347137451</v>
      </c>
      <c r="U68" s="29" t="s">
        <v>36</v>
      </c>
      <c r="V68" s="29">
        <v>53.834000214934349</v>
      </c>
      <c r="W68" s="29">
        <v>97.360001310706139</v>
      </c>
      <c r="X68" s="29">
        <v>487.53199256956577</v>
      </c>
      <c r="Y68" s="31"/>
      <c r="Z68" s="29" t="s">
        <v>36</v>
      </c>
      <c r="AA68" s="29" t="s">
        <v>36</v>
      </c>
      <c r="AB68" s="29">
        <v>0.54600000381469727</v>
      </c>
      <c r="AC68" s="29">
        <v>1.3129999935626984</v>
      </c>
      <c r="AD68" s="29">
        <v>2.4290000218898058</v>
      </c>
      <c r="AE68" s="29">
        <v>11.256999969482422</v>
      </c>
      <c r="AF68" s="4">
        <f t="shared" si="3"/>
        <v>683.83199443109334</v>
      </c>
    </row>
    <row r="69" spans="1:32" ht="15" customHeight="1">
      <c r="A69" s="9">
        <v>62</v>
      </c>
      <c r="B69" s="23" t="s">
        <v>101</v>
      </c>
      <c r="C69" s="28" t="s">
        <v>35</v>
      </c>
      <c r="D69" s="4">
        <f t="shared" si="2"/>
        <v>501.1634910564099</v>
      </c>
      <c r="E69" s="29">
        <v>134.07460613965989</v>
      </c>
      <c r="F69" s="29">
        <v>109.25276315230131</v>
      </c>
      <c r="G69" s="29">
        <v>86.20042008375377</v>
      </c>
      <c r="H69" s="29">
        <v>81.268263313941659</v>
      </c>
      <c r="I69" s="29">
        <v>30.268559899687766</v>
      </c>
      <c r="J69" s="5">
        <v>60.098878467065482</v>
      </c>
      <c r="K69" s="30"/>
      <c r="L69" s="29" t="s">
        <v>36</v>
      </c>
      <c r="M69" s="29" t="s">
        <v>36</v>
      </c>
      <c r="N69" s="29" t="s">
        <v>36</v>
      </c>
      <c r="O69" s="29" t="s">
        <v>36</v>
      </c>
      <c r="P69" s="29" t="s">
        <v>36</v>
      </c>
      <c r="Q69" s="5" t="s">
        <v>36</v>
      </c>
      <c r="R69" s="30"/>
      <c r="S69" s="29">
        <v>4.0390000343322754</v>
      </c>
      <c r="T69" s="29">
        <v>16.254000216722488</v>
      </c>
      <c r="U69" s="29">
        <v>21.756000190973282</v>
      </c>
      <c r="V69" s="29">
        <v>37.75200042873621</v>
      </c>
      <c r="W69" s="29">
        <v>49.060999810695648</v>
      </c>
      <c r="X69" s="29">
        <v>324.53499527275562</v>
      </c>
      <c r="Y69" s="31"/>
      <c r="Z69" s="29" t="s">
        <v>36</v>
      </c>
      <c r="AA69" s="29" t="s">
        <v>36</v>
      </c>
      <c r="AB69" s="29" t="s">
        <v>36</v>
      </c>
      <c r="AC69" s="29" t="s">
        <v>36</v>
      </c>
      <c r="AD69" s="29" t="s">
        <v>36</v>
      </c>
      <c r="AE69" s="29" t="s">
        <v>36</v>
      </c>
      <c r="AF69" s="4">
        <f t="shared" si="3"/>
        <v>453.39699595421553</v>
      </c>
    </row>
    <row r="70" spans="1:32" ht="15" customHeight="1">
      <c r="A70" s="9">
        <v>63</v>
      </c>
      <c r="B70" s="23" t="s">
        <v>102</v>
      </c>
      <c r="C70" s="28" t="s">
        <v>39</v>
      </c>
      <c r="D70" s="4">
        <f t="shared" si="2"/>
        <v>2201.1196725582454</v>
      </c>
      <c r="E70" s="29">
        <v>656.40228456568718</v>
      </c>
      <c r="F70" s="29">
        <v>151.60145299148559</v>
      </c>
      <c r="G70" s="29">
        <v>56.85181201079488</v>
      </c>
      <c r="H70" s="29">
        <v>386.84695724092421</v>
      </c>
      <c r="I70" s="29">
        <v>109.95305807876586</v>
      </c>
      <c r="J70" s="5">
        <v>222.40979468129893</v>
      </c>
      <c r="K70" s="30"/>
      <c r="L70" s="29">
        <v>136.12305349206923</v>
      </c>
      <c r="M70" s="29" t="s">
        <v>36</v>
      </c>
      <c r="N70" s="29">
        <v>219.08654326184094</v>
      </c>
      <c r="O70" s="29">
        <v>188.35356902017443</v>
      </c>
      <c r="P70" s="29">
        <v>34.403490466445682</v>
      </c>
      <c r="Q70" s="5">
        <v>39.08765674875842</v>
      </c>
      <c r="R70" s="30"/>
      <c r="S70" s="29">
        <v>19.266000658273697</v>
      </c>
      <c r="T70" s="29">
        <v>16.234999656677246</v>
      </c>
      <c r="U70" s="29">
        <v>11.140000209212303</v>
      </c>
      <c r="V70" s="29">
        <v>88.33900024369359</v>
      </c>
      <c r="W70" s="29">
        <v>87.019000023603439</v>
      </c>
      <c r="X70" s="29">
        <v>767.40598381496966</v>
      </c>
      <c r="Y70" s="31"/>
      <c r="Z70" s="29">
        <v>3.5580000877380371</v>
      </c>
      <c r="AA70" s="29" t="s">
        <v>36</v>
      </c>
      <c r="AB70" s="29">
        <v>11.405999931506813</v>
      </c>
      <c r="AC70" s="29">
        <v>15.920999880880117</v>
      </c>
      <c r="AD70" s="29">
        <v>10.101999871432781</v>
      </c>
      <c r="AE70" s="29">
        <v>72.589002072811127</v>
      </c>
      <c r="AF70" s="4">
        <f t="shared" si="3"/>
        <v>1102.9809864507988</v>
      </c>
    </row>
    <row r="71" spans="1:32" ht="15" customHeight="1">
      <c r="A71" s="9">
        <v>64</v>
      </c>
      <c r="B71" s="23" t="s">
        <v>103</v>
      </c>
      <c r="C71" s="28" t="s">
        <v>35</v>
      </c>
      <c r="D71" s="4">
        <f t="shared" si="2"/>
        <v>525.96674080124865</v>
      </c>
      <c r="E71" s="29" t="s">
        <v>36</v>
      </c>
      <c r="F71" s="29">
        <v>290.23186490466446</v>
      </c>
      <c r="G71" s="29">
        <v>27.973829793035986</v>
      </c>
      <c r="H71" s="29">
        <v>115.69895236829296</v>
      </c>
      <c r="I71" s="29">
        <v>29.17964743718505</v>
      </c>
      <c r="J71" s="5">
        <v>62.882446298070143</v>
      </c>
      <c r="K71" s="30"/>
      <c r="L71" s="29" t="s">
        <v>36</v>
      </c>
      <c r="M71" s="29" t="s">
        <v>36</v>
      </c>
      <c r="N71" s="29" t="s">
        <v>36</v>
      </c>
      <c r="O71" s="29" t="s">
        <v>36</v>
      </c>
      <c r="P71" s="29" t="s">
        <v>36</v>
      </c>
      <c r="Q71" s="5" t="s">
        <v>36</v>
      </c>
      <c r="R71" s="30"/>
      <c r="S71" s="29" t="s">
        <v>36</v>
      </c>
      <c r="T71" s="29">
        <v>34.273999679833651</v>
      </c>
      <c r="U71" s="29">
        <v>4.607999911531806</v>
      </c>
      <c r="V71" s="29">
        <v>97.208000702783465</v>
      </c>
      <c r="W71" s="29">
        <v>67.958000749349594</v>
      </c>
      <c r="X71" s="29">
        <v>425.87099388241768</v>
      </c>
      <c r="Y71" s="31"/>
      <c r="Z71" s="29" t="s">
        <v>36</v>
      </c>
      <c r="AA71" s="29" t="s">
        <v>36</v>
      </c>
      <c r="AB71" s="29" t="s">
        <v>36</v>
      </c>
      <c r="AC71" s="29" t="s">
        <v>36</v>
      </c>
      <c r="AD71" s="29" t="s">
        <v>36</v>
      </c>
      <c r="AE71" s="29" t="s">
        <v>36</v>
      </c>
      <c r="AF71" s="4">
        <f t="shared" si="3"/>
        <v>629.91899492591619</v>
      </c>
    </row>
    <row r="72" spans="1:32" ht="15" customHeight="1">
      <c r="A72" s="9">
        <v>65</v>
      </c>
      <c r="B72" s="23" t="s">
        <v>104</v>
      </c>
      <c r="C72" s="28" t="s">
        <v>35</v>
      </c>
      <c r="D72" s="4">
        <f t="shared" ref="D72:D103" si="4">SUM(E72:J72)+SUM(L72:Q72)</f>
        <v>186.0713159919938</v>
      </c>
      <c r="E72" s="29" t="s">
        <v>36</v>
      </c>
      <c r="F72" s="29" t="s">
        <v>36</v>
      </c>
      <c r="G72" s="29">
        <v>60.460462430208921</v>
      </c>
      <c r="H72" s="29">
        <v>56.723185103148225</v>
      </c>
      <c r="I72" s="29">
        <v>21.245643937587737</v>
      </c>
      <c r="J72" s="5">
        <v>47.642024521048896</v>
      </c>
      <c r="K72" s="30"/>
      <c r="L72" s="29" t="s">
        <v>36</v>
      </c>
      <c r="M72" s="29" t="s">
        <v>36</v>
      </c>
      <c r="N72" s="29" t="s">
        <v>36</v>
      </c>
      <c r="O72" s="29" t="s">
        <v>36</v>
      </c>
      <c r="P72" s="29" t="s">
        <v>36</v>
      </c>
      <c r="Q72" s="5" t="s">
        <v>36</v>
      </c>
      <c r="R72" s="30"/>
      <c r="S72" s="29" t="s">
        <v>36</v>
      </c>
      <c r="T72" s="29" t="s">
        <v>36</v>
      </c>
      <c r="U72" s="29">
        <v>14.845000192523003</v>
      </c>
      <c r="V72" s="29">
        <v>39.197999253869057</v>
      </c>
      <c r="W72" s="29">
        <v>47.784999966621399</v>
      </c>
      <c r="X72" s="29">
        <v>315.70399655401707</v>
      </c>
      <c r="Y72" s="31"/>
      <c r="Z72" s="29" t="s">
        <v>36</v>
      </c>
      <c r="AA72" s="29" t="s">
        <v>36</v>
      </c>
      <c r="AB72" s="29" t="s">
        <v>36</v>
      </c>
      <c r="AC72" s="29" t="s">
        <v>36</v>
      </c>
      <c r="AD72" s="29" t="s">
        <v>36</v>
      </c>
      <c r="AE72" s="29" t="s">
        <v>36</v>
      </c>
      <c r="AF72" s="4">
        <f t="shared" ref="AF72:AF103" si="5">SUM(S72:AE72)</f>
        <v>417.53199596703053</v>
      </c>
    </row>
    <row r="73" spans="1:32" ht="15" customHeight="1">
      <c r="A73" s="9">
        <v>66</v>
      </c>
      <c r="B73" s="23" t="s">
        <v>105</v>
      </c>
      <c r="C73" s="28" t="s">
        <v>35</v>
      </c>
      <c r="D73" s="4">
        <f t="shared" si="4"/>
        <v>360.9225353940376</v>
      </c>
      <c r="E73" s="29" t="s">
        <v>36</v>
      </c>
      <c r="F73" s="29">
        <v>79.414691492080692</v>
      </c>
      <c r="G73" s="29">
        <v>93.959357256874441</v>
      </c>
      <c r="H73" s="29">
        <v>97.045179403305056</v>
      </c>
      <c r="I73" s="29">
        <v>31.870010799884795</v>
      </c>
      <c r="J73" s="5">
        <v>58.633296441892668</v>
      </c>
      <c r="K73" s="30"/>
      <c r="L73" s="29" t="s">
        <v>36</v>
      </c>
      <c r="M73" s="29" t="s">
        <v>36</v>
      </c>
      <c r="N73" s="29" t="s">
        <v>36</v>
      </c>
      <c r="O73" s="29" t="s">
        <v>36</v>
      </c>
      <c r="P73" s="29" t="s">
        <v>36</v>
      </c>
      <c r="Q73" s="5" t="s">
        <v>36</v>
      </c>
      <c r="R73" s="30"/>
      <c r="S73" s="29" t="s">
        <v>36</v>
      </c>
      <c r="T73" s="29">
        <v>15.096999883651733</v>
      </c>
      <c r="U73" s="29">
        <v>26.036999765783548</v>
      </c>
      <c r="V73" s="29">
        <v>56.483000516891479</v>
      </c>
      <c r="W73" s="29">
        <v>63.987999707460403</v>
      </c>
      <c r="X73" s="29">
        <v>361.93300540745258</v>
      </c>
      <c r="Y73" s="31"/>
      <c r="Z73" s="29" t="s">
        <v>36</v>
      </c>
      <c r="AA73" s="29" t="s">
        <v>36</v>
      </c>
      <c r="AB73" s="29" t="s">
        <v>36</v>
      </c>
      <c r="AC73" s="29" t="s">
        <v>36</v>
      </c>
      <c r="AD73" s="29" t="s">
        <v>36</v>
      </c>
      <c r="AE73" s="29" t="s">
        <v>36</v>
      </c>
      <c r="AF73" s="4">
        <f t="shared" si="5"/>
        <v>523.53800528123975</v>
      </c>
    </row>
    <row r="74" spans="1:32" ht="15" customHeight="1">
      <c r="A74" s="9">
        <v>67</v>
      </c>
      <c r="B74" s="23" t="s">
        <v>106</v>
      </c>
      <c r="C74" s="28" t="s">
        <v>35</v>
      </c>
      <c r="D74" s="4">
        <f t="shared" si="4"/>
        <v>665.51265463577738</v>
      </c>
      <c r="E74" s="29" t="s">
        <v>36</v>
      </c>
      <c r="F74" s="29">
        <v>278.36208557400852</v>
      </c>
      <c r="G74" s="29" t="s">
        <v>36</v>
      </c>
      <c r="H74" s="29">
        <v>232.9755823057443</v>
      </c>
      <c r="I74" s="29">
        <v>53.539574412465093</v>
      </c>
      <c r="J74" s="5">
        <v>100.63541234355949</v>
      </c>
      <c r="K74" s="30"/>
      <c r="L74" s="29" t="s">
        <v>36</v>
      </c>
      <c r="M74" s="29" t="s">
        <v>36</v>
      </c>
      <c r="N74" s="29" t="s">
        <v>36</v>
      </c>
      <c r="O74" s="29" t="s">
        <v>36</v>
      </c>
      <c r="P74" s="29" t="s">
        <v>36</v>
      </c>
      <c r="Q74" s="5" t="s">
        <v>36</v>
      </c>
      <c r="R74" s="30"/>
      <c r="S74" s="29" t="s">
        <v>36</v>
      </c>
      <c r="T74" s="29">
        <v>46.879000026732683</v>
      </c>
      <c r="U74" s="29" t="s">
        <v>36</v>
      </c>
      <c r="V74" s="29">
        <v>97.565999895334244</v>
      </c>
      <c r="W74" s="29">
        <v>66.830999404191971</v>
      </c>
      <c r="X74" s="29">
        <v>461.60200779139996</v>
      </c>
      <c r="Y74" s="31"/>
      <c r="Z74" s="29" t="s">
        <v>36</v>
      </c>
      <c r="AA74" s="29" t="s">
        <v>36</v>
      </c>
      <c r="AB74" s="29" t="s">
        <v>36</v>
      </c>
      <c r="AC74" s="29" t="s">
        <v>36</v>
      </c>
      <c r="AD74" s="29" t="s">
        <v>36</v>
      </c>
      <c r="AE74" s="29" t="s">
        <v>36</v>
      </c>
      <c r="AF74" s="4">
        <f t="shared" si="5"/>
        <v>672.87800711765885</v>
      </c>
    </row>
    <row r="75" spans="1:32" ht="15" customHeight="1">
      <c r="A75" s="9">
        <v>68</v>
      </c>
      <c r="B75" s="23" t="s">
        <v>107</v>
      </c>
      <c r="C75" s="28" t="s">
        <v>35</v>
      </c>
      <c r="D75" s="4">
        <f t="shared" si="4"/>
        <v>430.56048732142159</v>
      </c>
      <c r="E75" s="29" t="s">
        <v>36</v>
      </c>
      <c r="F75" s="29">
        <v>206.00497181040794</v>
      </c>
      <c r="G75" s="29">
        <v>28.486789530515672</v>
      </c>
      <c r="H75" s="29">
        <v>77.340659046747717</v>
      </c>
      <c r="I75" s="29">
        <v>52.513313337922099</v>
      </c>
      <c r="J75" s="5">
        <v>66.214753595828157</v>
      </c>
      <c r="K75" s="30"/>
      <c r="L75" s="29" t="s">
        <v>36</v>
      </c>
      <c r="M75" s="29" t="s">
        <v>36</v>
      </c>
      <c r="N75" s="29" t="s">
        <v>36</v>
      </c>
      <c r="O75" s="29" t="s">
        <v>36</v>
      </c>
      <c r="P75" s="29" t="s">
        <v>36</v>
      </c>
      <c r="Q75" s="5" t="s">
        <v>36</v>
      </c>
      <c r="R75" s="30"/>
      <c r="S75" s="29" t="s">
        <v>36</v>
      </c>
      <c r="T75" s="29">
        <v>44.263999994844198</v>
      </c>
      <c r="U75" s="29">
        <v>8.4619998633861542</v>
      </c>
      <c r="V75" s="29">
        <v>53.114000131376088</v>
      </c>
      <c r="W75" s="29">
        <v>88.643000029027462</v>
      </c>
      <c r="X75" s="29">
        <v>366.74601322412491</v>
      </c>
      <c r="Y75" s="31"/>
      <c r="Z75" s="29" t="s">
        <v>36</v>
      </c>
      <c r="AA75" s="29" t="s">
        <v>36</v>
      </c>
      <c r="AB75" s="29" t="s">
        <v>36</v>
      </c>
      <c r="AC75" s="29" t="s">
        <v>36</v>
      </c>
      <c r="AD75" s="29" t="s">
        <v>36</v>
      </c>
      <c r="AE75" s="29" t="s">
        <v>36</v>
      </c>
      <c r="AF75" s="4">
        <f t="shared" si="5"/>
        <v>561.22901324275881</v>
      </c>
    </row>
    <row r="76" spans="1:32" ht="15" customHeight="1">
      <c r="A76" s="9">
        <v>69</v>
      </c>
      <c r="B76" s="23" t="s">
        <v>108</v>
      </c>
      <c r="C76" s="28" t="s">
        <v>35</v>
      </c>
      <c r="D76" s="4">
        <f t="shared" si="4"/>
        <v>658.35543056612948</v>
      </c>
      <c r="E76" s="29" t="s">
        <v>36</v>
      </c>
      <c r="F76" s="29">
        <v>347.92179992938043</v>
      </c>
      <c r="G76" s="29">
        <v>59.662478716611865</v>
      </c>
      <c r="H76" s="29">
        <v>71.526334239155048</v>
      </c>
      <c r="I76" s="29">
        <v>83.686090364336962</v>
      </c>
      <c r="J76" s="5">
        <v>95.558727316645147</v>
      </c>
      <c r="K76" s="30"/>
      <c r="L76" s="29" t="s">
        <v>36</v>
      </c>
      <c r="M76" s="29" t="s">
        <v>36</v>
      </c>
      <c r="N76" s="29" t="s">
        <v>36</v>
      </c>
      <c r="O76" s="29" t="s">
        <v>36</v>
      </c>
      <c r="P76" s="29" t="s">
        <v>36</v>
      </c>
      <c r="Q76" s="5" t="s">
        <v>36</v>
      </c>
      <c r="R76" s="30"/>
      <c r="S76" s="29" t="s">
        <v>36</v>
      </c>
      <c r="T76" s="29">
        <v>38.13500027358532</v>
      </c>
      <c r="U76" s="29">
        <v>13.212999731302261</v>
      </c>
      <c r="V76" s="29">
        <v>34.560999400913715</v>
      </c>
      <c r="W76" s="29">
        <v>106.31500035524368</v>
      </c>
      <c r="X76" s="29">
        <v>443.15900510549545</v>
      </c>
      <c r="Y76" s="31"/>
      <c r="Z76" s="29" t="s">
        <v>36</v>
      </c>
      <c r="AA76" s="29" t="s">
        <v>36</v>
      </c>
      <c r="AB76" s="29" t="s">
        <v>36</v>
      </c>
      <c r="AC76" s="29" t="s">
        <v>36</v>
      </c>
      <c r="AD76" s="29" t="s">
        <v>36</v>
      </c>
      <c r="AE76" s="29" t="s">
        <v>36</v>
      </c>
      <c r="AF76" s="4">
        <f t="shared" si="5"/>
        <v>635.38300486654043</v>
      </c>
    </row>
    <row r="77" spans="1:32" ht="15" customHeight="1">
      <c r="A77" s="9">
        <v>70</v>
      </c>
      <c r="B77" s="23" t="s">
        <v>109</v>
      </c>
      <c r="C77" s="28" t="s">
        <v>35</v>
      </c>
      <c r="D77" s="4">
        <f t="shared" si="4"/>
        <v>391.52515689125312</v>
      </c>
      <c r="E77" s="29">
        <v>113.83391693115234</v>
      </c>
      <c r="F77" s="29">
        <v>138.62919666540623</v>
      </c>
      <c r="G77" s="29">
        <v>18.66279476559162</v>
      </c>
      <c r="H77" s="29">
        <v>39.515364140629771</v>
      </c>
      <c r="I77" s="29">
        <v>33.067276029407978</v>
      </c>
      <c r="J77" s="5">
        <v>47.816608359065143</v>
      </c>
      <c r="K77" s="30"/>
      <c r="L77" s="29" t="s">
        <v>36</v>
      </c>
      <c r="M77" s="29" t="s">
        <v>36</v>
      </c>
      <c r="N77" s="29" t="s">
        <v>36</v>
      </c>
      <c r="O77" s="29" t="s">
        <v>36</v>
      </c>
      <c r="P77" s="29" t="s">
        <v>36</v>
      </c>
      <c r="Q77" s="5" t="s">
        <v>36</v>
      </c>
      <c r="R77" s="30"/>
      <c r="S77" s="29">
        <v>4.5279998779296875</v>
      </c>
      <c r="T77" s="29">
        <v>29.05899965763092</v>
      </c>
      <c r="U77" s="29">
        <v>2.8539999648928642</v>
      </c>
      <c r="V77" s="29">
        <v>15.64100007712841</v>
      </c>
      <c r="W77" s="29">
        <v>90.264000222086906</v>
      </c>
      <c r="X77" s="29">
        <v>357.61099330708385</v>
      </c>
      <c r="Y77" s="31"/>
      <c r="Z77" s="29" t="s">
        <v>36</v>
      </c>
      <c r="AA77" s="29" t="s">
        <v>36</v>
      </c>
      <c r="AB77" s="29" t="s">
        <v>36</v>
      </c>
      <c r="AC77" s="29" t="s">
        <v>36</v>
      </c>
      <c r="AD77" s="29" t="s">
        <v>36</v>
      </c>
      <c r="AE77" s="29" t="s">
        <v>36</v>
      </c>
      <c r="AF77" s="4">
        <f t="shared" si="5"/>
        <v>499.95699310675263</v>
      </c>
    </row>
    <row r="78" spans="1:32" ht="15" customHeight="1">
      <c r="A78" s="9">
        <v>71</v>
      </c>
      <c r="B78" s="23" t="s">
        <v>110</v>
      </c>
      <c r="C78" s="28" t="s">
        <v>39</v>
      </c>
      <c r="D78" s="4">
        <f t="shared" si="4"/>
        <v>839.04460606225621</v>
      </c>
      <c r="E78" s="29" t="s">
        <v>36</v>
      </c>
      <c r="F78" s="29">
        <v>262.27681740370394</v>
      </c>
      <c r="G78" s="29">
        <v>82.418562250107527</v>
      </c>
      <c r="H78" s="29">
        <v>80.633167019590729</v>
      </c>
      <c r="I78" s="29">
        <v>105.65637857648358</v>
      </c>
      <c r="J78" s="5">
        <v>142.50041408152501</v>
      </c>
      <c r="K78" s="30"/>
      <c r="L78" s="29" t="s">
        <v>36</v>
      </c>
      <c r="M78" s="29" t="s">
        <v>36</v>
      </c>
      <c r="N78" s="29">
        <v>92.982241969913247</v>
      </c>
      <c r="O78" s="29">
        <v>47.750233984932301</v>
      </c>
      <c r="P78" s="29">
        <v>7.1055369241088631</v>
      </c>
      <c r="Q78" s="5">
        <v>17.721253851890904</v>
      </c>
      <c r="R78" s="30"/>
      <c r="S78" s="29" t="s">
        <v>36</v>
      </c>
      <c r="T78" s="29">
        <v>38.237000167369843</v>
      </c>
      <c r="U78" s="29">
        <v>21.779000326991081</v>
      </c>
      <c r="V78" s="29">
        <v>46.463001020252705</v>
      </c>
      <c r="W78" s="29">
        <v>127.54400054551661</v>
      </c>
      <c r="X78" s="29">
        <v>640.10200628638268</v>
      </c>
      <c r="Y78" s="31"/>
      <c r="Z78" s="29" t="s">
        <v>36</v>
      </c>
      <c r="AA78" s="29" t="s">
        <v>36</v>
      </c>
      <c r="AB78" s="29">
        <v>13.679999805986881</v>
      </c>
      <c r="AC78" s="29">
        <v>7.5769999697804451</v>
      </c>
      <c r="AD78" s="29">
        <v>4.7129999250173569</v>
      </c>
      <c r="AE78" s="29">
        <v>54.757001489400864</v>
      </c>
      <c r="AF78" s="4">
        <f t="shared" si="5"/>
        <v>954.85200953669846</v>
      </c>
    </row>
    <row r="79" spans="1:32" ht="15" customHeight="1">
      <c r="A79" s="9">
        <v>72</v>
      </c>
      <c r="B79" s="23" t="s">
        <v>111</v>
      </c>
      <c r="C79" s="28" t="s">
        <v>35</v>
      </c>
      <c r="D79" s="4">
        <f t="shared" si="4"/>
        <v>634.59896206262408</v>
      </c>
      <c r="E79" s="29">
        <v>379.98275680637357</v>
      </c>
      <c r="F79" s="29">
        <v>60.196700943469999</v>
      </c>
      <c r="G79" s="29">
        <v>64.864597118180242</v>
      </c>
      <c r="H79" s="29">
        <v>58.124369791418317</v>
      </c>
      <c r="I79" s="29">
        <v>21.955024869307877</v>
      </c>
      <c r="J79" s="5">
        <v>49.47551253387401</v>
      </c>
      <c r="K79" s="30"/>
      <c r="L79" s="29" t="s">
        <v>36</v>
      </c>
      <c r="M79" s="29" t="s">
        <v>36</v>
      </c>
      <c r="N79" s="29" t="s">
        <v>36</v>
      </c>
      <c r="O79" s="29" t="s">
        <v>36</v>
      </c>
      <c r="P79" s="29" t="s">
        <v>36</v>
      </c>
      <c r="Q79" s="5" t="s">
        <v>36</v>
      </c>
      <c r="R79" s="30"/>
      <c r="S79" s="29">
        <v>20.962000131607056</v>
      </c>
      <c r="T79" s="29">
        <v>11.324999809265137</v>
      </c>
      <c r="U79" s="29">
        <v>10.465000180527568</v>
      </c>
      <c r="V79" s="29">
        <v>41.73499983549118</v>
      </c>
      <c r="W79" s="29">
        <v>50.498999610543251</v>
      </c>
      <c r="X79" s="29">
        <v>332.47400633990765</v>
      </c>
      <c r="Y79" s="31"/>
      <c r="Z79" s="29" t="s">
        <v>36</v>
      </c>
      <c r="AA79" s="29" t="s">
        <v>36</v>
      </c>
      <c r="AB79" s="29" t="s">
        <v>36</v>
      </c>
      <c r="AC79" s="29" t="s">
        <v>36</v>
      </c>
      <c r="AD79" s="29" t="s">
        <v>36</v>
      </c>
      <c r="AE79" s="29" t="s">
        <v>36</v>
      </c>
      <c r="AF79" s="4">
        <f t="shared" si="5"/>
        <v>467.46000590734184</v>
      </c>
    </row>
    <row r="80" spans="1:32" ht="15" customHeight="1">
      <c r="A80" s="9">
        <v>73</v>
      </c>
      <c r="B80" s="23" t="s">
        <v>112</v>
      </c>
      <c r="C80" s="28" t="s">
        <v>39</v>
      </c>
      <c r="D80" s="4">
        <f t="shared" si="4"/>
        <v>2060.3786603789422</v>
      </c>
      <c r="E80" s="29">
        <v>107.15629093408585</v>
      </c>
      <c r="F80" s="29">
        <v>183.68733137973399</v>
      </c>
      <c r="G80" s="29">
        <v>7.2656399742141362</v>
      </c>
      <c r="H80" s="29">
        <v>128.83660828334092</v>
      </c>
      <c r="I80" s="29">
        <v>91.61031149820424</v>
      </c>
      <c r="J80" s="5">
        <v>73.239643420818965</v>
      </c>
      <c r="K80" s="30"/>
      <c r="L80" s="29">
        <v>461.22817524337768</v>
      </c>
      <c r="M80" s="29" t="s">
        <v>36</v>
      </c>
      <c r="N80" s="29">
        <v>452.51078329758718</v>
      </c>
      <c r="O80" s="29">
        <v>340.95441113578528</v>
      </c>
      <c r="P80" s="29">
        <v>70.942773760970454</v>
      </c>
      <c r="Q80" s="5">
        <v>142.94669145082392</v>
      </c>
      <c r="R80" s="30"/>
      <c r="S80" s="29">
        <v>4.0089998841285706</v>
      </c>
      <c r="T80" s="29">
        <v>16.707000028342009</v>
      </c>
      <c r="U80" s="29">
        <v>1.2679999954998493</v>
      </c>
      <c r="V80" s="29">
        <v>52.727000549435616</v>
      </c>
      <c r="W80" s="29">
        <v>73.430999512784183</v>
      </c>
      <c r="X80" s="29">
        <v>254.72500402946025</v>
      </c>
      <c r="Y80" s="31"/>
      <c r="Z80" s="29">
        <v>13.311000287532806</v>
      </c>
      <c r="AA80" s="29" t="s">
        <v>36</v>
      </c>
      <c r="AB80" s="29">
        <v>27.586000001057982</v>
      </c>
      <c r="AC80" s="29">
        <v>54.633000032044947</v>
      </c>
      <c r="AD80" s="29">
        <v>24.604000020539388</v>
      </c>
      <c r="AE80" s="29">
        <v>294.56000486388803</v>
      </c>
      <c r="AF80" s="4">
        <f t="shared" si="5"/>
        <v>817.56100920471363</v>
      </c>
    </row>
    <row r="81" spans="1:32" ht="15" customHeight="1">
      <c r="A81" s="9">
        <v>74</v>
      </c>
      <c r="B81" s="23" t="s">
        <v>113</v>
      </c>
      <c r="C81" s="28" t="s">
        <v>35</v>
      </c>
      <c r="D81" s="4">
        <f t="shared" si="4"/>
        <v>489.13829156242628</v>
      </c>
      <c r="E81" s="29" t="s">
        <v>36</v>
      </c>
      <c r="F81" s="29">
        <v>197.72514734852314</v>
      </c>
      <c r="G81" s="29">
        <v>18.026019609570504</v>
      </c>
      <c r="H81" s="29">
        <v>63.176937347412107</v>
      </c>
      <c r="I81" s="29">
        <v>94.062009791061286</v>
      </c>
      <c r="J81" s="5">
        <v>116.14817746585926</v>
      </c>
      <c r="K81" s="30"/>
      <c r="L81" s="29" t="s">
        <v>36</v>
      </c>
      <c r="M81" s="29" t="s">
        <v>36</v>
      </c>
      <c r="N81" s="29" t="s">
        <v>36</v>
      </c>
      <c r="O81" s="29" t="s">
        <v>36</v>
      </c>
      <c r="P81" s="29" t="s">
        <v>36</v>
      </c>
      <c r="Q81" s="5" t="s">
        <v>36</v>
      </c>
      <c r="R81" s="30"/>
      <c r="S81" s="29" t="s">
        <v>36</v>
      </c>
      <c r="T81" s="29">
        <v>22.251999862492085</v>
      </c>
      <c r="U81" s="29">
        <v>11.919999748468399</v>
      </c>
      <c r="V81" s="29">
        <v>25.737000107765198</v>
      </c>
      <c r="W81" s="29">
        <v>107.56599923223257</v>
      </c>
      <c r="X81" s="29">
        <v>504.38300213217735</v>
      </c>
      <c r="Y81" s="31"/>
      <c r="Z81" s="29" t="s">
        <v>36</v>
      </c>
      <c r="AA81" s="29" t="s">
        <v>36</v>
      </c>
      <c r="AB81" s="29" t="s">
        <v>36</v>
      </c>
      <c r="AC81" s="29" t="s">
        <v>36</v>
      </c>
      <c r="AD81" s="29" t="s">
        <v>36</v>
      </c>
      <c r="AE81" s="29" t="s">
        <v>36</v>
      </c>
      <c r="AF81" s="4">
        <f t="shared" si="5"/>
        <v>671.8580010831356</v>
      </c>
    </row>
    <row r="82" spans="1:32" ht="15" customHeight="1">
      <c r="A82" s="9">
        <v>75</v>
      </c>
      <c r="B82" s="23" t="s">
        <v>114</v>
      </c>
      <c r="C82" s="28" t="s">
        <v>35</v>
      </c>
      <c r="D82" s="4">
        <f t="shared" si="4"/>
        <v>301.12564588044569</v>
      </c>
      <c r="E82" s="29" t="s">
        <v>36</v>
      </c>
      <c r="F82" s="29">
        <v>64.322803919196133</v>
      </c>
      <c r="G82" s="29" t="s">
        <v>36</v>
      </c>
      <c r="H82" s="29">
        <v>150.57896217072755</v>
      </c>
      <c r="I82" s="29">
        <v>34.019246132373809</v>
      </c>
      <c r="J82" s="5">
        <v>52.204633658148175</v>
      </c>
      <c r="K82" s="30"/>
      <c r="L82" s="29" t="s">
        <v>36</v>
      </c>
      <c r="M82" s="29" t="s">
        <v>36</v>
      </c>
      <c r="N82" s="29" t="s">
        <v>36</v>
      </c>
      <c r="O82" s="29" t="s">
        <v>36</v>
      </c>
      <c r="P82" s="29" t="s">
        <v>36</v>
      </c>
      <c r="Q82" s="5" t="s">
        <v>36</v>
      </c>
      <c r="R82" s="30"/>
      <c r="S82" s="29" t="s">
        <v>36</v>
      </c>
      <c r="T82" s="29">
        <v>11.572999957948923</v>
      </c>
      <c r="U82" s="29" t="s">
        <v>36</v>
      </c>
      <c r="V82" s="29">
        <v>68.653999973088503</v>
      </c>
      <c r="W82" s="29">
        <v>59.315000295639038</v>
      </c>
      <c r="X82" s="29">
        <v>295.05799735337496</v>
      </c>
      <c r="Y82" s="31"/>
      <c r="Z82" s="29" t="s">
        <v>36</v>
      </c>
      <c r="AA82" s="29" t="s">
        <v>36</v>
      </c>
      <c r="AB82" s="29" t="s">
        <v>36</v>
      </c>
      <c r="AC82" s="29" t="s">
        <v>36</v>
      </c>
      <c r="AD82" s="29" t="s">
        <v>36</v>
      </c>
      <c r="AE82" s="29" t="s">
        <v>36</v>
      </c>
      <c r="AF82" s="4">
        <f t="shared" si="5"/>
        <v>434.59999758005142</v>
      </c>
    </row>
    <row r="83" spans="1:32" ht="15" customHeight="1">
      <c r="A83" s="9">
        <v>76</v>
      </c>
      <c r="B83" s="23" t="s">
        <v>115</v>
      </c>
      <c r="C83" s="28" t="s">
        <v>39</v>
      </c>
      <c r="D83" s="4">
        <f t="shared" si="4"/>
        <v>2702.8631035640919</v>
      </c>
      <c r="E83" s="29">
        <v>815.29493085861202</v>
      </c>
      <c r="F83" s="29">
        <v>50.570479017019274</v>
      </c>
      <c r="G83" s="29">
        <v>284.4786248716116</v>
      </c>
      <c r="H83" s="29">
        <v>84.583233814250676</v>
      </c>
      <c r="I83" s="29">
        <v>116.10848332392239</v>
      </c>
      <c r="J83" s="5">
        <v>138.81337652300746</v>
      </c>
      <c r="K83" s="30"/>
      <c r="L83" s="29">
        <v>412.26961307287218</v>
      </c>
      <c r="M83" s="29" t="s">
        <v>36</v>
      </c>
      <c r="N83" s="29">
        <v>350.52908652057499</v>
      </c>
      <c r="O83" s="29">
        <v>220.02018807836623</v>
      </c>
      <c r="P83" s="29">
        <v>90.418975456774234</v>
      </c>
      <c r="Q83" s="5">
        <v>139.77611202708064</v>
      </c>
      <c r="R83" s="30"/>
      <c r="S83" s="29">
        <v>15.44599986076355</v>
      </c>
      <c r="T83" s="29">
        <v>6.0740001201629639</v>
      </c>
      <c r="U83" s="29">
        <v>36.913999930024147</v>
      </c>
      <c r="V83" s="29">
        <v>35.071000485680997</v>
      </c>
      <c r="W83" s="29">
        <v>87.878000755794346</v>
      </c>
      <c r="X83" s="29">
        <v>465.78700572252274</v>
      </c>
      <c r="Y83" s="31"/>
      <c r="Z83" s="29">
        <v>8.8489998579025269</v>
      </c>
      <c r="AA83" s="29" t="s">
        <v>36</v>
      </c>
      <c r="AB83" s="29">
        <v>19.310000048484653</v>
      </c>
      <c r="AC83" s="29">
        <v>22.042999995872378</v>
      </c>
      <c r="AD83" s="29">
        <v>18.06699993647635</v>
      </c>
      <c r="AE83" s="29">
        <v>204.0850009676069</v>
      </c>
      <c r="AF83" s="4">
        <f t="shared" si="5"/>
        <v>919.52400768129155</v>
      </c>
    </row>
    <row r="84" spans="1:32" ht="15" customHeight="1">
      <c r="A84" s="9">
        <v>77</v>
      </c>
      <c r="B84" s="23" t="s">
        <v>116</v>
      </c>
      <c r="C84" s="28" t="s">
        <v>35</v>
      </c>
      <c r="D84" s="4">
        <f t="shared" si="4"/>
        <v>383.47280875915965</v>
      </c>
      <c r="E84" s="29" t="s">
        <v>36</v>
      </c>
      <c r="F84" s="29">
        <v>153.29942767732589</v>
      </c>
      <c r="G84" s="29">
        <v>45.319758676856758</v>
      </c>
      <c r="H84" s="29">
        <v>92.263758311837918</v>
      </c>
      <c r="I84" s="29">
        <v>36.711392812728882</v>
      </c>
      <c r="J84" s="5">
        <v>55.878471280410139</v>
      </c>
      <c r="K84" s="30"/>
      <c r="L84" s="29" t="s">
        <v>36</v>
      </c>
      <c r="M84" s="29" t="s">
        <v>36</v>
      </c>
      <c r="N84" s="29" t="s">
        <v>36</v>
      </c>
      <c r="O84" s="29" t="s">
        <v>36</v>
      </c>
      <c r="P84" s="29" t="s">
        <v>36</v>
      </c>
      <c r="Q84" s="5" t="s">
        <v>36</v>
      </c>
      <c r="R84" s="30"/>
      <c r="S84" s="29" t="s">
        <v>36</v>
      </c>
      <c r="T84" s="29">
        <v>25.448999579995871</v>
      </c>
      <c r="U84" s="29">
        <v>12.546000517904758</v>
      </c>
      <c r="V84" s="29">
        <v>64.92800135910511</v>
      </c>
      <c r="W84" s="29">
        <v>68.567000091075897</v>
      </c>
      <c r="X84" s="29">
        <v>329.69199423491955</v>
      </c>
      <c r="Y84" s="31"/>
      <c r="Z84" s="29" t="s">
        <v>36</v>
      </c>
      <c r="AA84" s="29" t="s">
        <v>36</v>
      </c>
      <c r="AB84" s="29" t="s">
        <v>36</v>
      </c>
      <c r="AC84" s="29" t="s">
        <v>36</v>
      </c>
      <c r="AD84" s="29" t="s">
        <v>36</v>
      </c>
      <c r="AE84" s="29" t="s">
        <v>36</v>
      </c>
      <c r="AF84" s="4">
        <f t="shared" si="5"/>
        <v>501.18199578300118</v>
      </c>
    </row>
    <row r="85" spans="1:32" ht="15" customHeight="1">
      <c r="A85" s="9">
        <v>78</v>
      </c>
      <c r="B85" s="23" t="s">
        <v>117</v>
      </c>
      <c r="C85" s="28" t="s">
        <v>39</v>
      </c>
      <c r="D85" s="4">
        <f t="shared" si="4"/>
        <v>459.63912354185447</v>
      </c>
      <c r="E85" s="29" t="s">
        <v>36</v>
      </c>
      <c r="F85" s="29">
        <v>92.205190275861412</v>
      </c>
      <c r="G85" s="29">
        <v>41.447404572099444</v>
      </c>
      <c r="H85" s="29">
        <v>95.149468488816169</v>
      </c>
      <c r="I85" s="29">
        <v>61.793658179476857</v>
      </c>
      <c r="J85" s="5">
        <v>62.40785768086284</v>
      </c>
      <c r="K85" s="30"/>
      <c r="L85" s="29" t="s">
        <v>36</v>
      </c>
      <c r="M85" s="29" t="s">
        <v>36</v>
      </c>
      <c r="N85" s="29">
        <v>43.319662264838811</v>
      </c>
      <c r="O85" s="29">
        <v>43.974747853800658</v>
      </c>
      <c r="P85" s="29">
        <v>8.8728569111377009</v>
      </c>
      <c r="Q85" s="5">
        <v>10.468277314960607</v>
      </c>
      <c r="R85" s="30"/>
      <c r="S85" s="29" t="s">
        <v>36</v>
      </c>
      <c r="T85" s="29">
        <v>12.174000050639734</v>
      </c>
      <c r="U85" s="29">
        <v>10.660000130534172</v>
      </c>
      <c r="V85" s="29">
        <v>56.963999962434173</v>
      </c>
      <c r="W85" s="29">
        <v>81.732000183314085</v>
      </c>
      <c r="X85" s="29">
        <v>296.80201274901628</v>
      </c>
      <c r="Y85" s="31"/>
      <c r="Z85" s="29" t="s">
        <v>36</v>
      </c>
      <c r="AA85" s="29" t="s">
        <v>36</v>
      </c>
      <c r="AB85" s="29">
        <v>3.3379999473690987</v>
      </c>
      <c r="AC85" s="29">
        <v>7.3329999800771475</v>
      </c>
      <c r="AD85" s="29">
        <v>4.1289999783039093</v>
      </c>
      <c r="AE85" s="29">
        <v>25.921000361442566</v>
      </c>
      <c r="AF85" s="4">
        <f t="shared" si="5"/>
        <v>499.05301334313117</v>
      </c>
    </row>
    <row r="86" spans="1:32" ht="15" customHeight="1">
      <c r="A86" s="9">
        <v>79</v>
      </c>
      <c r="B86" s="23" t="s">
        <v>118</v>
      </c>
      <c r="C86" s="28" t="s">
        <v>35</v>
      </c>
      <c r="D86" s="4">
        <f t="shared" si="4"/>
        <v>1214.5785178236554</v>
      </c>
      <c r="E86" s="29">
        <v>313.06899088096617</v>
      </c>
      <c r="F86" s="29">
        <v>492.41960403286663</v>
      </c>
      <c r="G86" s="29">
        <v>77.549429279446599</v>
      </c>
      <c r="H86" s="29">
        <v>162.69667005815728</v>
      </c>
      <c r="I86" s="29">
        <v>33.292298033714296</v>
      </c>
      <c r="J86" s="5">
        <v>135.55152553850442</v>
      </c>
      <c r="K86" s="30"/>
      <c r="L86" s="29" t="s">
        <v>36</v>
      </c>
      <c r="M86" s="29" t="s">
        <v>36</v>
      </c>
      <c r="N86" s="29" t="s">
        <v>36</v>
      </c>
      <c r="O86" s="29" t="s">
        <v>36</v>
      </c>
      <c r="P86" s="29" t="s">
        <v>36</v>
      </c>
      <c r="Q86" s="5" t="s">
        <v>36</v>
      </c>
      <c r="R86" s="30"/>
      <c r="S86" s="29">
        <v>12.032000303268433</v>
      </c>
      <c r="T86" s="29">
        <v>72.069000370800495</v>
      </c>
      <c r="U86" s="29">
        <v>21.682000339031219</v>
      </c>
      <c r="V86" s="29">
        <v>48.277999790385365</v>
      </c>
      <c r="W86" s="29">
        <v>43.143000364303589</v>
      </c>
      <c r="X86" s="29">
        <v>636.47701082378626</v>
      </c>
      <c r="Y86" s="31"/>
      <c r="Z86" s="29" t="s">
        <v>36</v>
      </c>
      <c r="AA86" s="29" t="s">
        <v>36</v>
      </c>
      <c r="AB86" s="29" t="s">
        <v>36</v>
      </c>
      <c r="AC86" s="29" t="s">
        <v>36</v>
      </c>
      <c r="AD86" s="29" t="s">
        <v>36</v>
      </c>
      <c r="AE86" s="29" t="s">
        <v>36</v>
      </c>
      <c r="AF86" s="4">
        <f t="shared" si="5"/>
        <v>833.68101199157536</v>
      </c>
    </row>
    <row r="87" spans="1:32" ht="15" customHeight="1">
      <c r="A87" s="9">
        <v>80</v>
      </c>
      <c r="B87" s="23" t="s">
        <v>119</v>
      </c>
      <c r="C87" s="28" t="s">
        <v>35</v>
      </c>
      <c r="D87" s="4">
        <f t="shared" si="4"/>
        <v>325.37302699606323</v>
      </c>
      <c r="E87" s="29" t="s">
        <v>36</v>
      </c>
      <c r="F87" s="29">
        <v>84.0502754547</v>
      </c>
      <c r="G87" s="29">
        <v>72.499780976891515</v>
      </c>
      <c r="H87" s="29">
        <v>75.228031565517185</v>
      </c>
      <c r="I87" s="29">
        <v>51.379250303745273</v>
      </c>
      <c r="J87" s="5">
        <v>42.215688695209259</v>
      </c>
      <c r="K87" s="30"/>
      <c r="L87" s="29" t="s">
        <v>36</v>
      </c>
      <c r="M87" s="29" t="s">
        <v>36</v>
      </c>
      <c r="N87" s="29" t="s">
        <v>36</v>
      </c>
      <c r="O87" s="29" t="s">
        <v>36</v>
      </c>
      <c r="P87" s="29" t="s">
        <v>36</v>
      </c>
      <c r="Q87" s="5" t="s">
        <v>36</v>
      </c>
      <c r="R87" s="30"/>
      <c r="S87" s="29" t="s">
        <v>36</v>
      </c>
      <c r="T87" s="29">
        <v>17.714000076055527</v>
      </c>
      <c r="U87" s="29">
        <v>10.260000139474869</v>
      </c>
      <c r="V87" s="29">
        <v>44.532999649643898</v>
      </c>
      <c r="W87" s="29">
        <v>42.863999366760254</v>
      </c>
      <c r="X87" s="29">
        <v>150.54000136069953</v>
      </c>
      <c r="Y87" s="31"/>
      <c r="Z87" s="29" t="s">
        <v>36</v>
      </c>
      <c r="AA87" s="29" t="s">
        <v>36</v>
      </c>
      <c r="AB87" s="29" t="s">
        <v>36</v>
      </c>
      <c r="AC87" s="29" t="s">
        <v>36</v>
      </c>
      <c r="AD87" s="29" t="s">
        <v>36</v>
      </c>
      <c r="AE87" s="29" t="s">
        <v>36</v>
      </c>
      <c r="AF87" s="4">
        <f t="shared" si="5"/>
        <v>265.91100059263408</v>
      </c>
    </row>
    <row r="88" spans="1:32" ht="15" customHeight="1">
      <c r="A88" s="9">
        <v>81</v>
      </c>
      <c r="B88" s="23" t="s">
        <v>120</v>
      </c>
      <c r="C88" s="28" t="s">
        <v>39</v>
      </c>
      <c r="D88" s="4">
        <f t="shared" si="4"/>
        <v>616.78937808594696</v>
      </c>
      <c r="E88" s="29" t="s">
        <v>36</v>
      </c>
      <c r="F88" s="29">
        <v>165.86971311855316</v>
      </c>
      <c r="G88" s="29">
        <v>52.75708100423217</v>
      </c>
      <c r="H88" s="29">
        <v>41.027034292429683</v>
      </c>
      <c r="I88" s="29">
        <v>34.434085925074179</v>
      </c>
      <c r="J88" s="5">
        <v>32.039171107156605</v>
      </c>
      <c r="K88" s="30"/>
      <c r="L88" s="29" t="s">
        <v>36</v>
      </c>
      <c r="M88" s="29" t="s">
        <v>36</v>
      </c>
      <c r="N88" s="29">
        <v>156.14537645788863</v>
      </c>
      <c r="O88" s="29">
        <v>95.00679447585344</v>
      </c>
      <c r="P88" s="29">
        <v>11.041383841611445</v>
      </c>
      <c r="Q88" s="5">
        <v>28.46873786314768</v>
      </c>
      <c r="R88" s="30"/>
      <c r="S88" s="29" t="s">
        <v>36</v>
      </c>
      <c r="T88" s="29">
        <v>24.510999858379364</v>
      </c>
      <c r="U88" s="29">
        <v>8.3669998794794083</v>
      </c>
      <c r="V88" s="29">
        <v>29.753999602049589</v>
      </c>
      <c r="W88" s="29">
        <v>71.309999776887707</v>
      </c>
      <c r="X88" s="29">
        <v>201.63500521145761</v>
      </c>
      <c r="Y88" s="31"/>
      <c r="Z88" s="29" t="s">
        <v>36</v>
      </c>
      <c r="AA88" s="29" t="s">
        <v>36</v>
      </c>
      <c r="AB88" s="29">
        <v>12.78300004824996</v>
      </c>
      <c r="AC88" s="29">
        <v>15.755999905988574</v>
      </c>
      <c r="AD88" s="29">
        <v>5.400999940931797</v>
      </c>
      <c r="AE88" s="29">
        <v>72.724996238946915</v>
      </c>
      <c r="AF88" s="4">
        <f t="shared" si="5"/>
        <v>442.24200046237092</v>
      </c>
    </row>
    <row r="89" spans="1:32" ht="15" customHeight="1">
      <c r="A89" s="9">
        <v>82</v>
      </c>
      <c r="B89" s="23" t="s">
        <v>121</v>
      </c>
      <c r="C89" s="28" t="s">
        <v>39</v>
      </c>
      <c r="D89" s="4">
        <f t="shared" si="4"/>
        <v>630.99165213385322</v>
      </c>
      <c r="E89" s="29" t="s">
        <v>36</v>
      </c>
      <c r="F89" s="29">
        <v>80.444460273399955</v>
      </c>
      <c r="G89" s="29">
        <v>124.14928031080962</v>
      </c>
      <c r="H89" s="29">
        <v>193.01788420319184</v>
      </c>
      <c r="I89" s="29">
        <v>69.158397941321141</v>
      </c>
      <c r="J89" s="5">
        <v>83.701908514897752</v>
      </c>
      <c r="K89" s="30"/>
      <c r="L89" s="29" t="s">
        <v>36</v>
      </c>
      <c r="M89" s="29" t="s">
        <v>36</v>
      </c>
      <c r="N89" s="29">
        <v>71.072889534488326</v>
      </c>
      <c r="O89" s="29" t="s">
        <v>36</v>
      </c>
      <c r="P89" s="29" t="s">
        <v>36</v>
      </c>
      <c r="Q89" s="32">
        <v>9.4468313557446404</v>
      </c>
      <c r="R89" s="30"/>
      <c r="S89" s="29" t="s">
        <v>36</v>
      </c>
      <c r="T89" s="29">
        <v>14.077000044286251</v>
      </c>
      <c r="U89" s="29">
        <v>20.447000034153461</v>
      </c>
      <c r="V89" s="29">
        <v>61.463000187650323</v>
      </c>
      <c r="W89" s="29">
        <v>77.335000425577164</v>
      </c>
      <c r="X89" s="29">
        <v>358.43000067770481</v>
      </c>
      <c r="Y89" s="31"/>
      <c r="Z89" s="29" t="s">
        <v>36</v>
      </c>
      <c r="AA89" s="29" t="s">
        <v>36</v>
      </c>
      <c r="AB89" s="29">
        <v>4.3969999775290489</v>
      </c>
      <c r="AC89" s="29" t="s">
        <v>36</v>
      </c>
      <c r="AD89" s="29" t="s">
        <v>36</v>
      </c>
      <c r="AE89" s="29">
        <v>17.198000192642212</v>
      </c>
      <c r="AF89" s="4">
        <f t="shared" si="5"/>
        <v>553.34700153954327</v>
      </c>
    </row>
    <row r="90" spans="1:32" ht="15" customHeight="1">
      <c r="A90" s="9">
        <v>83</v>
      </c>
      <c r="B90" s="23" t="s">
        <v>122</v>
      </c>
      <c r="C90" s="28" t="s">
        <v>35</v>
      </c>
      <c r="D90" s="4">
        <f t="shared" si="4"/>
        <v>148.56775649658749</v>
      </c>
      <c r="E90" s="29" t="s">
        <v>36</v>
      </c>
      <c r="F90" s="29" t="s">
        <v>36</v>
      </c>
      <c r="G90" s="29">
        <v>62.536837186768651</v>
      </c>
      <c r="H90" s="29">
        <v>37.291646630525591</v>
      </c>
      <c r="I90" s="29">
        <v>19.596693805932997</v>
      </c>
      <c r="J90" s="5">
        <v>29.142578873360247</v>
      </c>
      <c r="K90" s="30"/>
      <c r="L90" s="29" t="s">
        <v>36</v>
      </c>
      <c r="M90" s="29" t="s">
        <v>36</v>
      </c>
      <c r="N90" s="29" t="s">
        <v>36</v>
      </c>
      <c r="O90" s="29" t="s">
        <v>36</v>
      </c>
      <c r="P90" s="29" t="s">
        <v>36</v>
      </c>
      <c r="Q90" s="5" t="s">
        <v>36</v>
      </c>
      <c r="R90" s="30"/>
      <c r="S90" s="29" t="s">
        <v>36</v>
      </c>
      <c r="T90" s="29" t="s">
        <v>36</v>
      </c>
      <c r="U90" s="29">
        <v>19.386000037193298</v>
      </c>
      <c r="V90" s="29">
        <v>42.014000177383423</v>
      </c>
      <c r="W90" s="29">
        <v>40.396000146865845</v>
      </c>
      <c r="X90" s="29">
        <v>182.87700137495995</v>
      </c>
      <c r="Y90" s="31"/>
      <c r="Z90" s="29" t="s">
        <v>36</v>
      </c>
      <c r="AA90" s="29" t="s">
        <v>36</v>
      </c>
      <c r="AB90" s="29" t="s">
        <v>36</v>
      </c>
      <c r="AC90" s="29" t="s">
        <v>36</v>
      </c>
      <c r="AD90" s="29" t="s">
        <v>36</v>
      </c>
      <c r="AE90" s="29" t="s">
        <v>36</v>
      </c>
      <c r="AF90" s="4">
        <f t="shared" si="5"/>
        <v>284.67300173640251</v>
      </c>
    </row>
    <row r="91" spans="1:32" ht="15" customHeight="1">
      <c r="A91" s="9">
        <v>84</v>
      </c>
      <c r="B91" s="23" t="s">
        <v>123</v>
      </c>
      <c r="C91" s="28" t="s">
        <v>39</v>
      </c>
      <c r="D91" s="4">
        <f t="shared" si="4"/>
        <v>578.93583427310386</v>
      </c>
      <c r="E91" s="29" t="s">
        <v>36</v>
      </c>
      <c r="F91" s="29">
        <v>267.64746911370753</v>
      </c>
      <c r="G91" s="29">
        <v>47.632432581707832</v>
      </c>
      <c r="H91" s="29">
        <v>48.978392967797816</v>
      </c>
      <c r="I91" s="29">
        <v>31.046926398009063</v>
      </c>
      <c r="J91" s="5">
        <v>54.398191065293894</v>
      </c>
      <c r="K91" s="30"/>
      <c r="L91" s="29" t="s">
        <v>36</v>
      </c>
      <c r="M91" s="29" t="s">
        <v>36</v>
      </c>
      <c r="N91" s="29">
        <v>75.31309058587253</v>
      </c>
      <c r="O91" s="29">
        <v>9.7887800793349751</v>
      </c>
      <c r="P91" s="29">
        <v>21.039321954444052</v>
      </c>
      <c r="Q91" s="5">
        <v>23.0912295269362</v>
      </c>
      <c r="R91" s="30"/>
      <c r="S91" s="29" t="s">
        <v>36</v>
      </c>
      <c r="T91" s="29">
        <v>21.650999695062637</v>
      </c>
      <c r="U91" s="29">
        <v>17.755000246688724</v>
      </c>
      <c r="V91" s="29">
        <v>24.517999988049269</v>
      </c>
      <c r="W91" s="29">
        <v>46.753000684082508</v>
      </c>
      <c r="X91" s="29">
        <v>280.55300009995699</v>
      </c>
      <c r="Y91" s="31"/>
      <c r="Z91" s="29" t="s">
        <v>36</v>
      </c>
      <c r="AA91" s="29" t="s">
        <v>36</v>
      </c>
      <c r="AB91" s="29">
        <v>5.3810000326484442</v>
      </c>
      <c r="AC91" s="29">
        <v>2.5760000199079514</v>
      </c>
      <c r="AD91" s="29">
        <v>6.6699999794363976</v>
      </c>
      <c r="AE91" s="29">
        <v>44.985998690128326</v>
      </c>
      <c r="AF91" s="4">
        <f t="shared" si="5"/>
        <v>450.84299943596125</v>
      </c>
    </row>
    <row r="92" spans="1:32" ht="15" customHeight="1">
      <c r="A92" s="9">
        <v>85</v>
      </c>
      <c r="B92" s="23" t="s">
        <v>124</v>
      </c>
      <c r="C92" s="28" t="s">
        <v>35</v>
      </c>
      <c r="D92" s="4">
        <f t="shared" si="4"/>
        <v>326.18106290875596</v>
      </c>
      <c r="E92" s="29" t="s">
        <v>36</v>
      </c>
      <c r="F92" s="29">
        <v>65.875330343246461</v>
      </c>
      <c r="G92" s="29">
        <v>41.80592970084399</v>
      </c>
      <c r="H92" s="29">
        <v>115.0390982144326</v>
      </c>
      <c r="I92" s="29">
        <v>35.321655874311922</v>
      </c>
      <c r="J92" s="5">
        <v>68.139048775920955</v>
      </c>
      <c r="K92" s="30"/>
      <c r="L92" s="29" t="s">
        <v>36</v>
      </c>
      <c r="M92" s="29" t="s">
        <v>36</v>
      </c>
      <c r="N92" s="29" t="s">
        <v>36</v>
      </c>
      <c r="O92" s="29" t="s">
        <v>36</v>
      </c>
      <c r="P92" s="29" t="s">
        <v>36</v>
      </c>
      <c r="Q92" s="5" t="s">
        <v>36</v>
      </c>
      <c r="R92" s="30"/>
      <c r="S92" s="29" t="s">
        <v>36</v>
      </c>
      <c r="T92" s="29">
        <v>13.802000045776367</v>
      </c>
      <c r="U92" s="29">
        <v>11.718999862670898</v>
      </c>
      <c r="V92" s="29">
        <v>53.730999708175659</v>
      </c>
      <c r="W92" s="29">
        <v>70.313999518752098</v>
      </c>
      <c r="X92" s="29">
        <v>418.36799301207066</v>
      </c>
      <c r="Y92" s="31"/>
      <c r="Z92" s="29" t="s">
        <v>36</v>
      </c>
      <c r="AA92" s="29" t="s">
        <v>36</v>
      </c>
      <c r="AB92" s="29" t="s">
        <v>36</v>
      </c>
      <c r="AC92" s="29" t="s">
        <v>36</v>
      </c>
      <c r="AD92" s="29" t="s">
        <v>36</v>
      </c>
      <c r="AE92" s="29" t="s">
        <v>36</v>
      </c>
      <c r="AF92" s="4">
        <f t="shared" si="5"/>
        <v>567.93399214744568</v>
      </c>
    </row>
    <row r="93" spans="1:32" ht="15" customHeight="1">
      <c r="A93" s="9">
        <v>86</v>
      </c>
      <c r="B93" s="23" t="s">
        <v>125</v>
      </c>
      <c r="C93" s="28" t="s">
        <v>35</v>
      </c>
      <c r="D93" s="4">
        <f t="shared" si="4"/>
        <v>311.29557644115175</v>
      </c>
      <c r="E93" s="29" t="s">
        <v>36</v>
      </c>
      <c r="F93" s="29" t="s">
        <v>36</v>
      </c>
      <c r="G93" s="29" t="s">
        <v>36</v>
      </c>
      <c r="H93" s="29">
        <v>129.24267501419783</v>
      </c>
      <c r="I93" s="29">
        <v>79.635220208048821</v>
      </c>
      <c r="J93" s="5">
        <v>102.41768121890509</v>
      </c>
      <c r="K93" s="30"/>
      <c r="L93" s="29" t="s">
        <v>36</v>
      </c>
      <c r="M93" s="29" t="s">
        <v>36</v>
      </c>
      <c r="N93" s="29" t="s">
        <v>36</v>
      </c>
      <c r="O93" s="29" t="s">
        <v>36</v>
      </c>
      <c r="P93" s="29" t="s">
        <v>36</v>
      </c>
      <c r="Q93" s="5" t="s">
        <v>36</v>
      </c>
      <c r="R93" s="30"/>
      <c r="S93" s="29" t="s">
        <v>36</v>
      </c>
      <c r="T93" s="29" t="s">
        <v>36</v>
      </c>
      <c r="U93" s="29" t="s">
        <v>36</v>
      </c>
      <c r="V93" s="29">
        <v>46.907999958842993</v>
      </c>
      <c r="W93" s="29">
        <v>94.809001326560974</v>
      </c>
      <c r="X93" s="29">
        <v>456.08600956294686</v>
      </c>
      <c r="Y93" s="31"/>
      <c r="Z93" s="29" t="s">
        <v>36</v>
      </c>
      <c r="AA93" s="29" t="s">
        <v>36</v>
      </c>
      <c r="AB93" s="29" t="s">
        <v>36</v>
      </c>
      <c r="AC93" s="29" t="s">
        <v>36</v>
      </c>
      <c r="AD93" s="29" t="s">
        <v>36</v>
      </c>
      <c r="AE93" s="29" t="s">
        <v>36</v>
      </c>
      <c r="AF93" s="4">
        <f t="shared" si="5"/>
        <v>597.80301084835082</v>
      </c>
    </row>
    <row r="94" spans="1:32" ht="15" customHeight="1">
      <c r="A94" s="9">
        <v>87</v>
      </c>
      <c r="B94" s="23" t="s">
        <v>126</v>
      </c>
      <c r="C94" s="28" t="s">
        <v>39</v>
      </c>
      <c r="D94" s="4">
        <f t="shared" si="4"/>
        <v>755.79730179567423</v>
      </c>
      <c r="E94" s="29">
        <v>255.15159368538858</v>
      </c>
      <c r="F94" s="29" t="s">
        <v>36</v>
      </c>
      <c r="G94" s="29">
        <v>186.67214601145312</v>
      </c>
      <c r="H94" s="29">
        <v>51.152482794970275</v>
      </c>
      <c r="I94" s="29">
        <v>28.003128698110579</v>
      </c>
      <c r="J94" s="5">
        <v>40.646311317043761</v>
      </c>
      <c r="K94" s="30"/>
      <c r="L94" s="29" t="s">
        <v>36</v>
      </c>
      <c r="M94" s="29" t="s">
        <v>36</v>
      </c>
      <c r="N94" s="29">
        <v>69.030419548898934</v>
      </c>
      <c r="O94" s="29">
        <v>91.667060273218894</v>
      </c>
      <c r="P94" s="29">
        <v>14.796776976324617</v>
      </c>
      <c r="Q94" s="5">
        <v>18.677382490265401</v>
      </c>
      <c r="R94" s="30"/>
      <c r="S94" s="29">
        <v>11.386999845504761</v>
      </c>
      <c r="T94" s="29" t="s">
        <v>36</v>
      </c>
      <c r="U94" s="29">
        <v>32.951999796554446</v>
      </c>
      <c r="V94" s="29">
        <v>21.264999829232693</v>
      </c>
      <c r="W94" s="29">
        <v>31.960999846458435</v>
      </c>
      <c r="X94" s="29">
        <v>176.29500216245651</v>
      </c>
      <c r="Y94" s="31"/>
      <c r="Z94" s="29" t="s">
        <v>36</v>
      </c>
      <c r="AA94" s="29" t="s">
        <v>36</v>
      </c>
      <c r="AB94" s="29">
        <v>4.4709999784827232</v>
      </c>
      <c r="AC94" s="29">
        <v>12.076999790035188</v>
      </c>
      <c r="AD94" s="29">
        <v>8.0459999851882458</v>
      </c>
      <c r="AE94" s="29">
        <v>50.973999574780464</v>
      </c>
      <c r="AF94" s="4">
        <f t="shared" si="5"/>
        <v>349.42800080869347</v>
      </c>
    </row>
    <row r="95" spans="1:32" ht="15" customHeight="1">
      <c r="A95" s="9">
        <v>88</v>
      </c>
      <c r="B95" s="23" t="s">
        <v>127</v>
      </c>
      <c r="C95" s="28" t="s">
        <v>35</v>
      </c>
      <c r="D95" s="4">
        <f t="shared" si="4"/>
        <v>388.68408276620721</v>
      </c>
      <c r="E95" s="29" t="s">
        <v>36</v>
      </c>
      <c r="F95" s="29">
        <v>27.771419372558594</v>
      </c>
      <c r="G95" s="29">
        <v>178.63668872483075</v>
      </c>
      <c r="H95" s="29">
        <v>56.617951476126912</v>
      </c>
      <c r="I95" s="29">
        <v>54.395881715893744</v>
      </c>
      <c r="J95" s="5">
        <v>71.262141476797211</v>
      </c>
      <c r="K95" s="30"/>
      <c r="L95" s="29" t="s">
        <v>36</v>
      </c>
      <c r="M95" s="29" t="s">
        <v>36</v>
      </c>
      <c r="N95" s="29" t="s">
        <v>36</v>
      </c>
      <c r="O95" s="29" t="s">
        <v>36</v>
      </c>
      <c r="P95" s="29" t="s">
        <v>36</v>
      </c>
      <c r="Q95" s="5" t="s">
        <v>36</v>
      </c>
      <c r="R95" s="30"/>
      <c r="S95" s="29" t="s">
        <v>36</v>
      </c>
      <c r="T95" s="29">
        <v>5.4029998779296875</v>
      </c>
      <c r="U95" s="29">
        <v>57.373999238014221</v>
      </c>
      <c r="V95" s="29">
        <v>45.938000231981277</v>
      </c>
      <c r="W95" s="29">
        <v>97.032000005245209</v>
      </c>
      <c r="X95" s="29">
        <v>408.55301464349031</v>
      </c>
      <c r="Y95" s="31"/>
      <c r="Z95" s="29" t="s">
        <v>36</v>
      </c>
      <c r="AA95" s="29" t="s">
        <v>36</v>
      </c>
      <c r="AB95" s="29" t="s">
        <v>36</v>
      </c>
      <c r="AC95" s="29" t="s">
        <v>36</v>
      </c>
      <c r="AD95" s="29" t="s">
        <v>36</v>
      </c>
      <c r="AE95" s="29" t="s">
        <v>36</v>
      </c>
      <c r="AF95" s="4">
        <f t="shared" si="5"/>
        <v>614.30001399666071</v>
      </c>
    </row>
    <row r="96" spans="1:32" ht="15" customHeight="1">
      <c r="A96" s="9">
        <v>89</v>
      </c>
      <c r="B96" s="23" t="s">
        <v>128</v>
      </c>
      <c r="C96" s="28" t="s">
        <v>35</v>
      </c>
      <c r="D96" s="4">
        <f t="shared" si="4"/>
        <v>1009.4734340174895</v>
      </c>
      <c r="E96" s="29" t="s">
        <v>36</v>
      </c>
      <c r="F96" s="29">
        <v>338.82081896138192</v>
      </c>
      <c r="G96" s="29" t="s">
        <v>36</v>
      </c>
      <c r="H96" s="29">
        <v>298.76247218669204</v>
      </c>
      <c r="I96" s="29">
        <v>112.54581672257186</v>
      </c>
      <c r="J96" s="5">
        <v>156.40513807670095</v>
      </c>
      <c r="K96" s="30"/>
      <c r="L96" s="29" t="s">
        <v>36</v>
      </c>
      <c r="M96" s="29" t="s">
        <v>36</v>
      </c>
      <c r="N96" s="29">
        <v>18.00613990034908</v>
      </c>
      <c r="O96" s="29">
        <v>57.346240862235426</v>
      </c>
      <c r="P96" s="29">
        <v>10.799872777163982</v>
      </c>
      <c r="Q96" s="5">
        <v>16.786934530394223</v>
      </c>
      <c r="R96" s="30"/>
      <c r="S96" s="29" t="s">
        <v>36</v>
      </c>
      <c r="T96" s="29">
        <v>46.826999127864838</v>
      </c>
      <c r="U96" s="29" t="s">
        <v>36</v>
      </c>
      <c r="V96" s="29">
        <v>85.768000304698944</v>
      </c>
      <c r="W96" s="29">
        <v>97.066998586058617</v>
      </c>
      <c r="X96" s="29">
        <v>569.44199040532112</v>
      </c>
      <c r="Y96" s="31"/>
      <c r="Z96" s="29" t="s">
        <v>36</v>
      </c>
      <c r="AA96" s="29" t="s">
        <v>36</v>
      </c>
      <c r="AB96" s="29">
        <v>3.203000009059906</v>
      </c>
      <c r="AC96" s="29">
        <v>9.0850001499056816</v>
      </c>
      <c r="AD96" s="29">
        <v>4.0929999351501465</v>
      </c>
      <c r="AE96" s="29">
        <v>36.563000395894051</v>
      </c>
      <c r="AF96" s="4">
        <f t="shared" si="5"/>
        <v>852.0479889139533</v>
      </c>
    </row>
    <row r="97" spans="1:32" ht="15" customHeight="1">
      <c r="A97" s="9">
        <v>90</v>
      </c>
      <c r="B97" s="23" t="s">
        <v>129</v>
      </c>
      <c r="C97" s="28" t="s">
        <v>39</v>
      </c>
      <c r="D97" s="4">
        <f t="shared" si="4"/>
        <v>1144.8288492373672</v>
      </c>
      <c r="E97" s="29" t="s">
        <v>36</v>
      </c>
      <c r="F97" s="29">
        <v>294.85260516166687</v>
      </c>
      <c r="G97" s="29">
        <v>323.71992569532989</v>
      </c>
      <c r="H97" s="29">
        <v>179.98341263199598</v>
      </c>
      <c r="I97" s="29">
        <v>66.667494055584072</v>
      </c>
      <c r="J97" s="5">
        <v>88.797978014783013</v>
      </c>
      <c r="K97" s="30"/>
      <c r="L97" s="29" t="s">
        <v>36</v>
      </c>
      <c r="M97" s="29" t="s">
        <v>36</v>
      </c>
      <c r="N97" s="29">
        <v>124.97211134234816</v>
      </c>
      <c r="O97" s="29">
        <v>40.163041059026497</v>
      </c>
      <c r="P97" s="29">
        <v>5.912659917622805</v>
      </c>
      <c r="Q97" s="5">
        <v>19.759621359010048</v>
      </c>
      <c r="R97" s="30"/>
      <c r="S97" s="29" t="s">
        <v>36</v>
      </c>
      <c r="T97" s="29">
        <v>30.429999589920044</v>
      </c>
      <c r="U97" s="29">
        <v>40.848000276833773</v>
      </c>
      <c r="V97" s="29">
        <v>83.022999772801995</v>
      </c>
      <c r="W97" s="29">
        <v>83.011999182403088</v>
      </c>
      <c r="X97" s="29">
        <v>406.67498937994242</v>
      </c>
      <c r="Y97" s="31"/>
      <c r="Z97" s="29" t="s">
        <v>36</v>
      </c>
      <c r="AA97" s="29" t="s">
        <v>36</v>
      </c>
      <c r="AB97" s="29">
        <v>8.4650000426918268</v>
      </c>
      <c r="AC97" s="29">
        <v>4.4660000074654818</v>
      </c>
      <c r="AD97" s="29">
        <v>4.0289999544620514</v>
      </c>
      <c r="AE97" s="29">
        <v>62.092998199164867</v>
      </c>
      <c r="AF97" s="4">
        <f t="shared" si="5"/>
        <v>723.04098640568554</v>
      </c>
    </row>
    <row r="98" spans="1:32" ht="15" customHeight="1">
      <c r="A98" s="9">
        <v>91</v>
      </c>
      <c r="B98" s="23" t="s">
        <v>130</v>
      </c>
      <c r="C98" s="28" t="s">
        <v>35</v>
      </c>
      <c r="D98" s="4">
        <f t="shared" si="4"/>
        <v>162.65865667902639</v>
      </c>
      <c r="E98" s="29" t="s">
        <v>36</v>
      </c>
      <c r="F98" s="29">
        <v>53.688803941726682</v>
      </c>
      <c r="G98" s="29" t="s">
        <v>36</v>
      </c>
      <c r="H98" s="29">
        <v>57.896318275433032</v>
      </c>
      <c r="I98" s="29">
        <v>18.001764830320607</v>
      </c>
      <c r="J98" s="5">
        <v>33.071769631546069</v>
      </c>
      <c r="K98" s="30"/>
      <c r="L98" s="29" t="s">
        <v>36</v>
      </c>
      <c r="M98" s="29" t="s">
        <v>36</v>
      </c>
      <c r="N98" s="29" t="s">
        <v>36</v>
      </c>
      <c r="O98" s="29" t="s">
        <v>36</v>
      </c>
      <c r="P98" s="29" t="s">
        <v>36</v>
      </c>
      <c r="Q98" s="5" t="s">
        <v>36</v>
      </c>
      <c r="R98" s="30"/>
      <c r="S98" s="29" t="s">
        <v>36</v>
      </c>
      <c r="T98" s="29">
        <v>12.131999969482422</v>
      </c>
      <c r="U98" s="29" t="s">
        <v>36</v>
      </c>
      <c r="V98" s="29">
        <v>30.864000054076314</v>
      </c>
      <c r="W98" s="29">
        <v>44.344999769236892</v>
      </c>
      <c r="X98" s="29">
        <v>231.97000405192375</v>
      </c>
      <c r="Y98" s="31"/>
      <c r="Z98" s="29" t="s">
        <v>36</v>
      </c>
      <c r="AA98" s="29" t="s">
        <v>36</v>
      </c>
      <c r="AB98" s="29" t="s">
        <v>36</v>
      </c>
      <c r="AC98" s="29" t="s">
        <v>36</v>
      </c>
      <c r="AD98" s="29" t="s">
        <v>36</v>
      </c>
      <c r="AE98" s="29" t="s">
        <v>36</v>
      </c>
      <c r="AF98" s="4">
        <f t="shared" si="5"/>
        <v>319.31100384471938</v>
      </c>
    </row>
    <row r="99" spans="1:32" ht="15" customHeight="1">
      <c r="A99" s="9">
        <v>92</v>
      </c>
      <c r="B99" s="23" t="s">
        <v>131</v>
      </c>
      <c r="C99" s="28" t="s">
        <v>35</v>
      </c>
      <c r="D99" s="4">
        <f t="shared" si="4"/>
        <v>881.18998936974049</v>
      </c>
      <c r="E99" s="29" t="s">
        <v>36</v>
      </c>
      <c r="F99" s="29">
        <v>305.13717390680313</v>
      </c>
      <c r="G99" s="29">
        <v>91.271699711382382</v>
      </c>
      <c r="H99" s="29">
        <v>301.51196189318597</v>
      </c>
      <c r="I99" s="29">
        <v>56.491530223369601</v>
      </c>
      <c r="J99" s="5">
        <v>126.77762363499933</v>
      </c>
      <c r="K99" s="30"/>
      <c r="L99" s="29" t="s">
        <v>36</v>
      </c>
      <c r="M99" s="29" t="s">
        <v>36</v>
      </c>
      <c r="N99" s="29" t="s">
        <v>36</v>
      </c>
      <c r="O99" s="29" t="s">
        <v>36</v>
      </c>
      <c r="P99" s="29" t="s">
        <v>36</v>
      </c>
      <c r="Q99" s="5" t="s">
        <v>36</v>
      </c>
      <c r="R99" s="30"/>
      <c r="S99" s="29" t="s">
        <v>36</v>
      </c>
      <c r="T99" s="29">
        <v>46.278999805450439</v>
      </c>
      <c r="U99" s="29">
        <v>7.6689999252557755</v>
      </c>
      <c r="V99" s="29">
        <v>112.11499985307455</v>
      </c>
      <c r="W99" s="29">
        <v>91.527999520301819</v>
      </c>
      <c r="X99" s="29">
        <v>684.43002966046333</v>
      </c>
      <c r="Y99" s="31"/>
      <c r="Z99" s="29" t="s">
        <v>36</v>
      </c>
      <c r="AA99" s="29" t="s">
        <v>36</v>
      </c>
      <c r="AB99" s="29" t="s">
        <v>36</v>
      </c>
      <c r="AC99" s="29" t="s">
        <v>36</v>
      </c>
      <c r="AD99" s="29" t="s">
        <v>36</v>
      </c>
      <c r="AE99" s="29" t="s">
        <v>36</v>
      </c>
      <c r="AF99" s="4">
        <f t="shared" si="5"/>
        <v>942.02102876454592</v>
      </c>
    </row>
    <row r="100" spans="1:32" ht="15" customHeight="1">
      <c r="A100" s="9">
        <v>93</v>
      </c>
      <c r="B100" s="23" t="s">
        <v>132</v>
      </c>
      <c r="C100" s="28" t="s">
        <v>45</v>
      </c>
      <c r="D100" s="4">
        <f t="shared" si="4"/>
        <v>1330.6503701135559</v>
      </c>
      <c r="E100" s="29">
        <v>98.02939932942391</v>
      </c>
      <c r="F100" s="29">
        <v>32.401443927049634</v>
      </c>
      <c r="G100" s="29">
        <v>93.3420303041935</v>
      </c>
      <c r="H100" s="29">
        <v>19.87975478580594</v>
      </c>
      <c r="I100" s="29">
        <v>46.943798312187198</v>
      </c>
      <c r="J100" s="5">
        <v>51.354832609623379</v>
      </c>
      <c r="K100" s="30"/>
      <c r="L100" s="29">
        <v>568.08799239873883</v>
      </c>
      <c r="M100" s="29" t="s">
        <v>36</v>
      </c>
      <c r="N100" s="29">
        <v>45.02612431266904</v>
      </c>
      <c r="O100" s="29">
        <v>214.23449865741657</v>
      </c>
      <c r="P100" s="29">
        <v>57.690924446903168</v>
      </c>
      <c r="Q100" s="5">
        <v>103.65957102954478</v>
      </c>
      <c r="R100" s="30"/>
      <c r="S100" s="29">
        <v>2.8579999804496765</v>
      </c>
      <c r="T100" s="29">
        <v>3.3379999846220016</v>
      </c>
      <c r="U100" s="29">
        <v>30.238999828696251</v>
      </c>
      <c r="V100" s="29">
        <v>9.7439999431371689</v>
      </c>
      <c r="W100" s="29">
        <v>36.341000199317932</v>
      </c>
      <c r="X100" s="29">
        <v>174.76800513267517</v>
      </c>
      <c r="Y100" s="31"/>
      <c r="Z100" s="29">
        <v>10.55400013923645</v>
      </c>
      <c r="AA100" s="29" t="s">
        <v>36</v>
      </c>
      <c r="AB100" s="29">
        <v>3.8270000480115414</v>
      </c>
      <c r="AC100" s="29">
        <v>22.041000345721841</v>
      </c>
      <c r="AD100" s="29">
        <v>15.915000146254897</v>
      </c>
      <c r="AE100" s="29">
        <v>185.14200137555599</v>
      </c>
      <c r="AF100" s="4">
        <f t="shared" si="5"/>
        <v>494.76700712367892</v>
      </c>
    </row>
    <row r="101" spans="1:32" ht="15" customHeight="1">
      <c r="A101" s="9">
        <v>94</v>
      </c>
      <c r="B101" s="23" t="s">
        <v>133</v>
      </c>
      <c r="C101" s="28" t="s">
        <v>35</v>
      </c>
      <c r="D101" s="4">
        <f t="shared" si="4"/>
        <v>243.17476930222392</v>
      </c>
      <c r="E101" s="29" t="s">
        <v>36</v>
      </c>
      <c r="F101" s="29">
        <v>91.35215589894355</v>
      </c>
      <c r="G101" s="29">
        <v>19.700498907506464</v>
      </c>
      <c r="H101" s="29">
        <v>66.985159448303278</v>
      </c>
      <c r="I101" s="29">
        <v>18.505509294748308</v>
      </c>
      <c r="J101" s="5">
        <v>46.631445752722314</v>
      </c>
      <c r="K101" s="30"/>
      <c r="L101" s="29" t="s">
        <v>36</v>
      </c>
      <c r="M101" s="29" t="s">
        <v>36</v>
      </c>
      <c r="N101" s="29" t="s">
        <v>36</v>
      </c>
      <c r="O101" s="29" t="s">
        <v>36</v>
      </c>
      <c r="P101" s="29" t="s">
        <v>36</v>
      </c>
      <c r="Q101" s="5" t="s">
        <v>36</v>
      </c>
      <c r="R101" s="30"/>
      <c r="S101" s="29" t="s">
        <v>36</v>
      </c>
      <c r="T101" s="29">
        <v>27.110999651253223</v>
      </c>
      <c r="U101" s="29">
        <v>9.0929999500513077</v>
      </c>
      <c r="V101" s="29">
        <v>85.156999297440052</v>
      </c>
      <c r="W101" s="29">
        <v>41.949000597000122</v>
      </c>
      <c r="X101" s="29">
        <v>310.52200052887201</v>
      </c>
      <c r="Y101" s="31"/>
      <c r="Z101" s="29" t="s">
        <v>36</v>
      </c>
      <c r="AA101" s="29" t="s">
        <v>36</v>
      </c>
      <c r="AB101" s="29" t="s">
        <v>36</v>
      </c>
      <c r="AC101" s="29" t="s">
        <v>36</v>
      </c>
      <c r="AD101" s="29" t="s">
        <v>36</v>
      </c>
      <c r="AE101" s="29" t="s">
        <v>36</v>
      </c>
      <c r="AF101" s="4">
        <f t="shared" si="5"/>
        <v>473.83200002461672</v>
      </c>
    </row>
    <row r="102" spans="1:32" ht="15" customHeight="1">
      <c r="A102" s="9">
        <v>95</v>
      </c>
      <c r="B102" s="23" t="s">
        <v>134</v>
      </c>
      <c r="C102" s="28" t="s">
        <v>35</v>
      </c>
      <c r="D102" s="4">
        <f t="shared" si="4"/>
        <v>122.21264878104299</v>
      </c>
      <c r="E102" s="29" t="s">
        <v>36</v>
      </c>
      <c r="F102" s="29" t="s">
        <v>36</v>
      </c>
      <c r="G102" s="29">
        <v>18.394480065107345</v>
      </c>
      <c r="H102" s="29">
        <v>57.367513468466697</v>
      </c>
      <c r="I102" s="29">
        <v>14.688434008181096</v>
      </c>
      <c r="J102" s="5">
        <v>31.762221239287847</v>
      </c>
      <c r="K102" s="30"/>
      <c r="L102" s="29" t="s">
        <v>36</v>
      </c>
      <c r="M102" s="29" t="s">
        <v>36</v>
      </c>
      <c r="N102" s="29" t="s">
        <v>36</v>
      </c>
      <c r="O102" s="29" t="s">
        <v>36</v>
      </c>
      <c r="P102" s="29" t="s">
        <v>36</v>
      </c>
      <c r="Q102" s="5" t="s">
        <v>36</v>
      </c>
      <c r="R102" s="30"/>
      <c r="S102" s="29" t="s">
        <v>36</v>
      </c>
      <c r="T102" s="29" t="s">
        <v>36</v>
      </c>
      <c r="U102" s="29">
        <v>5.3300000429153442</v>
      </c>
      <c r="V102" s="29">
        <v>50.129000267013907</v>
      </c>
      <c r="W102" s="29">
        <v>42.994000047445297</v>
      </c>
      <c r="X102" s="29">
        <v>248.13299715518951</v>
      </c>
      <c r="Y102" s="31"/>
      <c r="Z102" s="29" t="s">
        <v>36</v>
      </c>
      <c r="AA102" s="29" t="s">
        <v>36</v>
      </c>
      <c r="AB102" s="29" t="s">
        <v>36</v>
      </c>
      <c r="AC102" s="29" t="s">
        <v>36</v>
      </c>
      <c r="AD102" s="29" t="s">
        <v>36</v>
      </c>
      <c r="AE102" s="29" t="s">
        <v>36</v>
      </c>
      <c r="AF102" s="4">
        <f t="shared" si="5"/>
        <v>346.58599751256406</v>
      </c>
    </row>
    <row r="103" spans="1:32" ht="15" customHeight="1">
      <c r="A103" s="9">
        <v>96</v>
      </c>
      <c r="B103" s="23" t="s">
        <v>135</v>
      </c>
      <c r="C103" s="28" t="s">
        <v>35</v>
      </c>
      <c r="D103" s="4">
        <f t="shared" si="4"/>
        <v>333.521766619652</v>
      </c>
      <c r="E103" s="29" t="s">
        <v>36</v>
      </c>
      <c r="F103" s="29">
        <v>156.38181832069159</v>
      </c>
      <c r="G103" s="29">
        <v>8.4889348125457769</v>
      </c>
      <c r="H103" s="29">
        <v>38.890732414484027</v>
      </c>
      <c r="I103" s="29">
        <v>58.117368372790516</v>
      </c>
      <c r="J103" s="5">
        <v>71.642912699140098</v>
      </c>
      <c r="K103" s="30"/>
      <c r="L103" s="29" t="s">
        <v>36</v>
      </c>
      <c r="M103" s="29" t="s">
        <v>36</v>
      </c>
      <c r="N103" s="29" t="s">
        <v>36</v>
      </c>
      <c r="O103" s="29" t="s">
        <v>36</v>
      </c>
      <c r="P103" s="29" t="s">
        <v>36</v>
      </c>
      <c r="Q103" s="5" t="s">
        <v>36</v>
      </c>
      <c r="R103" s="30"/>
      <c r="S103" s="29" t="s">
        <v>36</v>
      </c>
      <c r="T103" s="29">
        <v>23.678999811410904</v>
      </c>
      <c r="U103" s="29">
        <v>10.364999771118164</v>
      </c>
      <c r="V103" s="29">
        <v>31.414000391960144</v>
      </c>
      <c r="W103" s="29">
        <v>71.472000457346439</v>
      </c>
      <c r="X103" s="29">
        <v>325.57101620733738</v>
      </c>
      <c r="Y103" s="31"/>
      <c r="Z103" s="29" t="s">
        <v>36</v>
      </c>
      <c r="AA103" s="29" t="s">
        <v>36</v>
      </c>
      <c r="AB103" s="29" t="s">
        <v>36</v>
      </c>
      <c r="AC103" s="29" t="s">
        <v>36</v>
      </c>
      <c r="AD103" s="29" t="s">
        <v>36</v>
      </c>
      <c r="AE103" s="29" t="s">
        <v>36</v>
      </c>
      <c r="AF103" s="4">
        <f t="shared" si="5"/>
        <v>462.50101663917303</v>
      </c>
    </row>
    <row r="104" spans="1:32" ht="15" customHeight="1">
      <c r="A104" s="9">
        <v>97</v>
      </c>
      <c r="B104" s="23" t="s">
        <v>136</v>
      </c>
      <c r="C104" s="28" t="s">
        <v>39</v>
      </c>
      <c r="D104" s="4">
        <f t="shared" ref="D104:D127" si="6">SUM(E104:J104)+SUM(L104:Q104)</f>
        <v>942.36949980564123</v>
      </c>
      <c r="E104" s="29" t="s">
        <v>36</v>
      </c>
      <c r="F104" s="29">
        <v>449.01367590537666</v>
      </c>
      <c r="G104" s="29">
        <v>52.393578153446313</v>
      </c>
      <c r="H104" s="29">
        <v>245.16376320320367</v>
      </c>
      <c r="I104" s="29">
        <v>71.102489070951933</v>
      </c>
      <c r="J104" s="5">
        <v>124.69599347266256</v>
      </c>
      <c r="K104" s="30"/>
      <c r="L104" s="29" t="s">
        <v>36</v>
      </c>
      <c r="M104" s="29" t="s">
        <v>36</v>
      </c>
      <c r="N104" s="29" t="s">
        <v>36</v>
      </c>
      <c r="O104" s="29" t="s">
        <v>36</v>
      </c>
      <c r="P104" s="29" t="s">
        <v>36</v>
      </c>
      <c r="Q104" s="5" t="s">
        <v>36</v>
      </c>
      <c r="R104" s="30"/>
      <c r="S104" s="29" t="s">
        <v>36</v>
      </c>
      <c r="T104" s="29">
        <v>41.192999720573425</v>
      </c>
      <c r="U104" s="29">
        <v>7.3969999924302101</v>
      </c>
      <c r="V104" s="29">
        <v>92.13900027051568</v>
      </c>
      <c r="W104" s="29">
        <v>72.610000193119049</v>
      </c>
      <c r="X104" s="29">
        <v>504.53600849956274</v>
      </c>
      <c r="Y104" s="31"/>
      <c r="Z104" s="29" t="s">
        <v>36</v>
      </c>
      <c r="AA104" s="29" t="s">
        <v>36</v>
      </c>
      <c r="AB104" s="29" t="s">
        <v>36</v>
      </c>
      <c r="AC104" s="29" t="s">
        <v>36</v>
      </c>
      <c r="AD104" s="29" t="s">
        <v>36</v>
      </c>
      <c r="AE104" s="29" t="s">
        <v>36</v>
      </c>
      <c r="AF104" s="4">
        <f t="shared" ref="AF104:AF127" si="7">SUM(S104:AE104)</f>
        <v>717.87500867620111</v>
      </c>
    </row>
    <row r="105" spans="1:32" ht="15" customHeight="1">
      <c r="A105" s="9">
        <v>98</v>
      </c>
      <c r="B105" s="23" t="s">
        <v>137</v>
      </c>
      <c r="C105" s="28" t="s">
        <v>39</v>
      </c>
      <c r="D105" s="4">
        <f t="shared" si="6"/>
        <v>2143.4755269638681</v>
      </c>
      <c r="E105" s="29" t="s">
        <v>36</v>
      </c>
      <c r="F105" s="29">
        <v>800.1784419820309</v>
      </c>
      <c r="G105" s="29">
        <v>91.84873637209833</v>
      </c>
      <c r="H105" s="29">
        <v>355.99557961862536</v>
      </c>
      <c r="I105" s="29">
        <v>208.87759470820427</v>
      </c>
      <c r="J105" s="5">
        <v>238.87046209701825</v>
      </c>
      <c r="K105" s="30"/>
      <c r="L105" s="29" t="s">
        <v>36</v>
      </c>
      <c r="M105" s="29" t="s">
        <v>36</v>
      </c>
      <c r="N105" s="29">
        <v>297.35935469213126</v>
      </c>
      <c r="O105" s="29">
        <v>80.160135142967107</v>
      </c>
      <c r="P105" s="29">
        <v>28.772419791221619</v>
      </c>
      <c r="Q105" s="5">
        <v>41.41280255957129</v>
      </c>
      <c r="R105" s="30"/>
      <c r="S105" s="29" t="s">
        <v>36</v>
      </c>
      <c r="T105" s="29">
        <v>74.798000067472458</v>
      </c>
      <c r="U105" s="29">
        <v>23.892000027000904</v>
      </c>
      <c r="V105" s="29">
        <v>134.29700049385428</v>
      </c>
      <c r="W105" s="29">
        <v>160.65400016307831</v>
      </c>
      <c r="X105" s="29">
        <v>809.62101436685771</v>
      </c>
      <c r="Y105" s="31"/>
      <c r="Z105" s="29" t="s">
        <v>36</v>
      </c>
      <c r="AA105" s="29" t="s">
        <v>36</v>
      </c>
      <c r="AB105" s="29">
        <v>10.917000167071819</v>
      </c>
      <c r="AC105" s="29">
        <v>10.194000139832497</v>
      </c>
      <c r="AD105" s="29">
        <v>5.6969999894499779</v>
      </c>
      <c r="AE105" s="29">
        <v>60.123001098632812</v>
      </c>
      <c r="AF105" s="4">
        <f t="shared" si="7"/>
        <v>1290.1930165132508</v>
      </c>
    </row>
    <row r="106" spans="1:32" ht="15" customHeight="1">
      <c r="A106" s="9">
        <v>99</v>
      </c>
      <c r="B106" s="23" t="s">
        <v>138</v>
      </c>
      <c r="C106" s="28" t="s">
        <v>35</v>
      </c>
      <c r="D106" s="4">
        <f t="shared" si="6"/>
        <v>496.39689198515111</v>
      </c>
      <c r="E106" s="29" t="s">
        <v>36</v>
      </c>
      <c r="F106" s="29">
        <v>261.22351384162903</v>
      </c>
      <c r="G106" s="29">
        <v>71.77343398147822</v>
      </c>
      <c r="H106" s="29">
        <v>89.348219537071884</v>
      </c>
      <c r="I106" s="29">
        <v>34.750469161763789</v>
      </c>
      <c r="J106" s="5">
        <v>39.301255463208243</v>
      </c>
      <c r="K106" s="30"/>
      <c r="L106" s="29" t="s">
        <v>36</v>
      </c>
      <c r="M106" s="29" t="s">
        <v>36</v>
      </c>
      <c r="N106" s="29" t="s">
        <v>36</v>
      </c>
      <c r="O106" s="29" t="s">
        <v>36</v>
      </c>
      <c r="P106" s="29" t="s">
        <v>36</v>
      </c>
      <c r="Q106" s="5" t="s">
        <v>36</v>
      </c>
      <c r="R106" s="30"/>
      <c r="S106" s="29" t="s">
        <v>36</v>
      </c>
      <c r="T106" s="29">
        <v>24.086999893188477</v>
      </c>
      <c r="U106" s="29">
        <v>13.834999710321426</v>
      </c>
      <c r="V106" s="29">
        <v>39.218000158667564</v>
      </c>
      <c r="W106" s="29">
        <v>52.176000099629164</v>
      </c>
      <c r="X106" s="29">
        <v>202.31899516284466</v>
      </c>
      <c r="Y106" s="31"/>
      <c r="Z106" s="29" t="s">
        <v>36</v>
      </c>
      <c r="AA106" s="29" t="s">
        <v>36</v>
      </c>
      <c r="AB106" s="29" t="s">
        <v>36</v>
      </c>
      <c r="AC106" s="29" t="s">
        <v>36</v>
      </c>
      <c r="AD106" s="29" t="s">
        <v>36</v>
      </c>
      <c r="AE106" s="29" t="s">
        <v>36</v>
      </c>
      <c r="AF106" s="4">
        <f t="shared" si="7"/>
        <v>331.63499502465129</v>
      </c>
    </row>
    <row r="107" spans="1:32" ht="15" customHeight="1">
      <c r="A107" s="9">
        <v>100</v>
      </c>
      <c r="B107" s="23" t="s">
        <v>139</v>
      </c>
      <c r="C107" s="28" t="s">
        <v>39</v>
      </c>
      <c r="D107" s="4">
        <f t="shared" si="6"/>
        <v>1893.5884560740487</v>
      </c>
      <c r="E107" s="29" t="s">
        <v>36</v>
      </c>
      <c r="F107" s="29">
        <v>661.70590651733801</v>
      </c>
      <c r="G107" s="29">
        <v>52.848927489757536</v>
      </c>
      <c r="H107" s="29">
        <v>233.93318118797242</v>
      </c>
      <c r="I107" s="29">
        <v>140.74953781214356</v>
      </c>
      <c r="J107" s="5">
        <v>301.56011083094029</v>
      </c>
      <c r="K107" s="30"/>
      <c r="L107" s="29" t="s">
        <v>36</v>
      </c>
      <c r="M107" s="29">
        <v>10.405150365829467</v>
      </c>
      <c r="N107" s="29">
        <v>272.91627924093603</v>
      </c>
      <c r="O107" s="29">
        <v>105.85639734265953</v>
      </c>
      <c r="P107" s="29">
        <v>41.537160027079281</v>
      </c>
      <c r="Q107" s="5">
        <v>72.075805259392411</v>
      </c>
      <c r="R107" s="30"/>
      <c r="S107" s="29" t="s">
        <v>36</v>
      </c>
      <c r="T107" s="29">
        <v>71.969999460503459</v>
      </c>
      <c r="U107" s="29">
        <v>5.4870001077651978</v>
      </c>
      <c r="V107" s="29">
        <v>81.953999690711498</v>
      </c>
      <c r="W107" s="29">
        <v>143.79499971866608</v>
      </c>
      <c r="X107" s="29">
        <v>1220.4760399833322</v>
      </c>
      <c r="Y107" s="31"/>
      <c r="Z107" s="29" t="s">
        <v>36</v>
      </c>
      <c r="AA107" s="29">
        <v>1.0850000381469727</v>
      </c>
      <c r="AB107" s="29">
        <v>10.507000062614679</v>
      </c>
      <c r="AC107" s="29">
        <v>15.27900006622076</v>
      </c>
      <c r="AD107" s="29">
        <v>8.690000019967556</v>
      </c>
      <c r="AE107" s="29">
        <v>108.30199741572142</v>
      </c>
      <c r="AF107" s="4">
        <f t="shared" si="7"/>
        <v>1667.5450365636498</v>
      </c>
    </row>
    <row r="108" spans="1:32" ht="15" customHeight="1">
      <c r="A108" s="9">
        <v>101</v>
      </c>
      <c r="B108" s="23" t="s">
        <v>140</v>
      </c>
      <c r="C108" s="28" t="s">
        <v>35</v>
      </c>
      <c r="D108" s="4">
        <f t="shared" si="6"/>
        <v>42.39183728406293</v>
      </c>
      <c r="E108" s="29" t="s">
        <v>36</v>
      </c>
      <c r="F108" s="29">
        <v>4.2826919789314273</v>
      </c>
      <c r="G108" s="29" t="s">
        <v>36</v>
      </c>
      <c r="H108" s="29">
        <v>21.014227035284044</v>
      </c>
      <c r="I108" s="29">
        <v>5.4609779931306841</v>
      </c>
      <c r="J108" s="5">
        <v>11.633940276716778</v>
      </c>
      <c r="K108" s="30"/>
      <c r="L108" s="29" t="s">
        <v>36</v>
      </c>
      <c r="M108" s="29" t="s">
        <v>36</v>
      </c>
      <c r="N108" s="29" t="s">
        <v>36</v>
      </c>
      <c r="O108" s="29" t="s">
        <v>36</v>
      </c>
      <c r="P108" s="29" t="s">
        <v>36</v>
      </c>
      <c r="Q108" s="5" t="s">
        <v>36</v>
      </c>
      <c r="R108" s="30"/>
      <c r="S108" s="29" t="s">
        <v>36</v>
      </c>
      <c r="T108" s="29">
        <v>1.3569999933242798</v>
      </c>
      <c r="U108" s="29" t="s">
        <v>36</v>
      </c>
      <c r="V108" s="29">
        <v>25.38400012254715</v>
      </c>
      <c r="W108" s="29">
        <v>20.01600007712841</v>
      </c>
      <c r="X108" s="29">
        <v>104.59899687767029</v>
      </c>
      <c r="Y108" s="31"/>
      <c r="Z108" s="29" t="s">
        <v>36</v>
      </c>
      <c r="AA108" s="29" t="s">
        <v>36</v>
      </c>
      <c r="AB108" s="29" t="s">
        <v>36</v>
      </c>
      <c r="AC108" s="29" t="s">
        <v>36</v>
      </c>
      <c r="AD108" s="29" t="s">
        <v>36</v>
      </c>
      <c r="AE108" s="29" t="s">
        <v>36</v>
      </c>
      <c r="AF108" s="4">
        <f t="shared" si="7"/>
        <v>151.35599707067013</v>
      </c>
    </row>
    <row r="109" spans="1:32" ht="15" customHeight="1">
      <c r="A109" s="9">
        <v>102</v>
      </c>
      <c r="B109" s="23" t="s">
        <v>141</v>
      </c>
      <c r="C109" s="28" t="s">
        <v>35</v>
      </c>
      <c r="D109" s="4">
        <f t="shared" si="6"/>
        <v>1181.4187257922827</v>
      </c>
      <c r="E109" s="29">
        <v>790.07912273406987</v>
      </c>
      <c r="F109" s="29">
        <v>83.680900769889348</v>
      </c>
      <c r="G109" s="29">
        <v>93.775014829579746</v>
      </c>
      <c r="H109" s="29">
        <v>77.951423275142915</v>
      </c>
      <c r="I109" s="29">
        <v>54.506172992613166</v>
      </c>
      <c r="J109" s="5">
        <v>81.42609119098789</v>
      </c>
      <c r="K109" s="30"/>
      <c r="L109" s="29" t="s">
        <v>36</v>
      </c>
      <c r="M109" s="29" t="s">
        <v>36</v>
      </c>
      <c r="N109" s="29" t="s">
        <v>36</v>
      </c>
      <c r="O109" s="29" t="s">
        <v>36</v>
      </c>
      <c r="P109" s="29" t="s">
        <v>36</v>
      </c>
      <c r="Q109" s="5" t="s">
        <v>36</v>
      </c>
      <c r="R109" s="30"/>
      <c r="S109" s="29">
        <v>22.641000628471375</v>
      </c>
      <c r="T109" s="29">
        <v>10.295999817550182</v>
      </c>
      <c r="U109" s="29">
        <v>14.328999973833561</v>
      </c>
      <c r="V109" s="29">
        <v>29.391000509262085</v>
      </c>
      <c r="W109" s="29">
        <v>94.246999058872461</v>
      </c>
      <c r="X109" s="29">
        <v>457.82699002698064</v>
      </c>
      <c r="Y109" s="31"/>
      <c r="Z109" s="29" t="s">
        <v>36</v>
      </c>
      <c r="AA109" s="29" t="s">
        <v>36</v>
      </c>
      <c r="AB109" s="29" t="s">
        <v>36</v>
      </c>
      <c r="AC109" s="29" t="s">
        <v>36</v>
      </c>
      <c r="AD109" s="29" t="s">
        <v>36</v>
      </c>
      <c r="AE109" s="29" t="s">
        <v>36</v>
      </c>
      <c r="AF109" s="4">
        <f t="shared" si="7"/>
        <v>628.7309900149703</v>
      </c>
    </row>
    <row r="110" spans="1:32" ht="15" customHeight="1">
      <c r="A110" s="9">
        <v>103</v>
      </c>
      <c r="B110" s="23" t="s">
        <v>142</v>
      </c>
      <c r="C110" s="28" t="s">
        <v>39</v>
      </c>
      <c r="D110" s="4">
        <f t="shared" si="6"/>
        <v>898.5398287410801</v>
      </c>
      <c r="E110" s="29">
        <v>303.96760588073732</v>
      </c>
      <c r="F110" s="29" t="s">
        <v>36</v>
      </c>
      <c r="G110" s="29">
        <v>104.68549648028612</v>
      </c>
      <c r="H110" s="29">
        <v>189.57576646544877</v>
      </c>
      <c r="I110" s="29">
        <v>38.821246597379449</v>
      </c>
      <c r="J110" s="5">
        <v>89.489412002784945</v>
      </c>
      <c r="K110" s="30"/>
      <c r="L110" s="29" t="s">
        <v>36</v>
      </c>
      <c r="M110" s="29" t="s">
        <v>36</v>
      </c>
      <c r="N110" s="29">
        <v>81.917637224100531</v>
      </c>
      <c r="O110" s="29">
        <v>56.461687519848347</v>
      </c>
      <c r="P110" s="29">
        <v>4.1289809608459471</v>
      </c>
      <c r="Q110" s="5">
        <v>29.49199560964874</v>
      </c>
      <c r="R110" s="30"/>
      <c r="S110" s="29">
        <v>19.709999084472656</v>
      </c>
      <c r="T110" s="29" t="s">
        <v>36</v>
      </c>
      <c r="U110" s="29">
        <v>15.250000029802322</v>
      </c>
      <c r="V110" s="29">
        <v>64.47999958274886</v>
      </c>
      <c r="W110" s="29">
        <v>37.392000451683998</v>
      </c>
      <c r="X110" s="29">
        <v>349.09199965000153</v>
      </c>
      <c r="Y110" s="31"/>
      <c r="Z110" s="29" t="s">
        <v>36</v>
      </c>
      <c r="AA110" s="29" t="s">
        <v>36</v>
      </c>
      <c r="AB110" s="29">
        <v>3.0450000111013651</v>
      </c>
      <c r="AC110" s="29">
        <v>3.7669999673962593</v>
      </c>
      <c r="AD110" s="29">
        <v>0.70499999821186066</v>
      </c>
      <c r="AE110" s="29">
        <v>39.032000195235014</v>
      </c>
      <c r="AF110" s="4">
        <f t="shared" si="7"/>
        <v>532.47299897065386</v>
      </c>
    </row>
    <row r="111" spans="1:32" ht="15" customHeight="1">
      <c r="A111" s="9">
        <v>104</v>
      </c>
      <c r="B111" s="23" t="s">
        <v>143</v>
      </c>
      <c r="C111" s="28" t="s">
        <v>35</v>
      </c>
      <c r="D111" s="4">
        <f t="shared" si="6"/>
        <v>510.20904241442838</v>
      </c>
      <c r="E111" s="29" t="s">
        <v>36</v>
      </c>
      <c r="F111" s="29">
        <v>195.84678633332251</v>
      </c>
      <c r="G111" s="29" t="s">
        <v>36</v>
      </c>
      <c r="H111" s="29">
        <v>98.508167671561239</v>
      </c>
      <c r="I111" s="29">
        <v>94.530533461973064</v>
      </c>
      <c r="J111" s="5">
        <v>121.32355494757155</v>
      </c>
      <c r="K111" s="30"/>
      <c r="L111" s="29" t="s">
        <v>36</v>
      </c>
      <c r="M111" s="29" t="s">
        <v>36</v>
      </c>
      <c r="N111" s="29" t="s">
        <v>36</v>
      </c>
      <c r="O111" s="29" t="s">
        <v>36</v>
      </c>
      <c r="P111" s="29" t="s">
        <v>36</v>
      </c>
      <c r="Q111" s="5" t="s">
        <v>36</v>
      </c>
      <c r="R111" s="30"/>
      <c r="S111" s="29" t="s">
        <v>36</v>
      </c>
      <c r="T111" s="29">
        <v>41.255999689921737</v>
      </c>
      <c r="U111" s="29" t="s">
        <v>36</v>
      </c>
      <c r="V111" s="29">
        <v>32.144000120460987</v>
      </c>
      <c r="W111" s="29">
        <v>88.695000410079956</v>
      </c>
      <c r="X111" s="29">
        <v>465.58799654990435</v>
      </c>
      <c r="Y111" s="31"/>
      <c r="Z111" s="29" t="s">
        <v>36</v>
      </c>
      <c r="AA111" s="29" t="s">
        <v>36</v>
      </c>
      <c r="AB111" s="29" t="s">
        <v>36</v>
      </c>
      <c r="AC111" s="29" t="s">
        <v>36</v>
      </c>
      <c r="AD111" s="29" t="s">
        <v>36</v>
      </c>
      <c r="AE111" s="29" t="s">
        <v>36</v>
      </c>
      <c r="AF111" s="4">
        <f t="shared" si="7"/>
        <v>627.68299677036703</v>
      </c>
    </row>
    <row r="112" spans="1:32" ht="15" customHeight="1">
      <c r="A112" s="9">
        <v>105</v>
      </c>
      <c r="B112" s="23" t="s">
        <v>144</v>
      </c>
      <c r="C112" s="28" t="s">
        <v>39</v>
      </c>
      <c r="D112" s="4">
        <f t="shared" si="6"/>
        <v>1684.7504614270024</v>
      </c>
      <c r="E112" s="29">
        <v>771.83351284503942</v>
      </c>
      <c r="F112" s="29">
        <v>27.252599787712096</v>
      </c>
      <c r="G112" s="29">
        <v>124.57310648325085</v>
      </c>
      <c r="H112" s="29">
        <v>96.884889931211248</v>
      </c>
      <c r="I112" s="29">
        <v>55.707130179196596</v>
      </c>
      <c r="J112" s="5">
        <v>51.136253727862162</v>
      </c>
      <c r="K112" s="30"/>
      <c r="L112" s="29">
        <v>165.64731820786</v>
      </c>
      <c r="M112" s="29" t="s">
        <v>36</v>
      </c>
      <c r="N112" s="29">
        <v>188.85346951670945</v>
      </c>
      <c r="O112" s="29">
        <v>121.33717206299305</v>
      </c>
      <c r="P112" s="29">
        <v>29.478109918851406</v>
      </c>
      <c r="Q112" s="5">
        <v>52.046898766315962</v>
      </c>
      <c r="R112" s="30"/>
      <c r="S112" s="29">
        <v>22.010000228881836</v>
      </c>
      <c r="T112" s="29">
        <v>1.7139999866485596</v>
      </c>
      <c r="U112" s="29">
        <v>21.73199999332428</v>
      </c>
      <c r="V112" s="29">
        <v>45.834000096656382</v>
      </c>
      <c r="W112" s="29">
        <v>65.391001081094146</v>
      </c>
      <c r="X112" s="29">
        <v>225.71800629794598</v>
      </c>
      <c r="Y112" s="31"/>
      <c r="Z112" s="29">
        <v>4.3310000598430634</v>
      </c>
      <c r="AA112" s="29" t="s">
        <v>36</v>
      </c>
      <c r="AB112" s="29">
        <v>13.215999830514193</v>
      </c>
      <c r="AC112" s="29">
        <v>9.7580000599846244</v>
      </c>
      <c r="AD112" s="29">
        <v>7.4269999843090773</v>
      </c>
      <c r="AE112" s="29">
        <v>87.83799847215414</v>
      </c>
      <c r="AF112" s="4">
        <f t="shared" si="7"/>
        <v>504.96900609135628</v>
      </c>
    </row>
    <row r="113" spans="1:32" ht="15" customHeight="1">
      <c r="A113" s="9">
        <v>106</v>
      </c>
      <c r="B113" s="23" t="s">
        <v>145</v>
      </c>
      <c r="C113" s="28" t="s">
        <v>39</v>
      </c>
      <c r="D113" s="4">
        <f t="shared" si="6"/>
        <v>1682.4167869670077</v>
      </c>
      <c r="E113" s="29">
        <v>993.22230341720581</v>
      </c>
      <c r="F113" s="29" t="s">
        <v>36</v>
      </c>
      <c r="G113" s="29">
        <v>243.65214340722562</v>
      </c>
      <c r="H113" s="29">
        <v>72.510846964657304</v>
      </c>
      <c r="I113" s="29">
        <v>83.151201219469314</v>
      </c>
      <c r="J113" s="5">
        <v>58.62849829062732</v>
      </c>
      <c r="K113" s="30"/>
      <c r="L113" s="29" t="s">
        <v>36</v>
      </c>
      <c r="M113" s="29" t="s">
        <v>36</v>
      </c>
      <c r="N113" s="29">
        <v>174.17860785188154</v>
      </c>
      <c r="O113" s="29">
        <v>9.3622599917352201</v>
      </c>
      <c r="P113" s="29">
        <v>20.511178762055934</v>
      </c>
      <c r="Q113" s="5">
        <v>27.199747062149616</v>
      </c>
      <c r="R113" s="30"/>
      <c r="S113" s="29">
        <v>22.329000473022461</v>
      </c>
      <c r="T113" s="29" t="s">
        <v>36</v>
      </c>
      <c r="U113" s="29">
        <v>50.500000402331352</v>
      </c>
      <c r="V113" s="29">
        <v>35.224000096321106</v>
      </c>
      <c r="W113" s="29">
        <v>114.34599974751472</v>
      </c>
      <c r="X113" s="29">
        <v>285.69201279431581</v>
      </c>
      <c r="Y113" s="31"/>
      <c r="Z113" s="29" t="s">
        <v>36</v>
      </c>
      <c r="AA113" s="29" t="s">
        <v>36</v>
      </c>
      <c r="AB113" s="29">
        <v>13.015999916940928</v>
      </c>
      <c r="AC113" s="29">
        <v>1.7339999973773956</v>
      </c>
      <c r="AD113" s="29">
        <v>8.0229999236762524</v>
      </c>
      <c r="AE113" s="29">
        <v>60.423999786376953</v>
      </c>
      <c r="AF113" s="4">
        <f t="shared" si="7"/>
        <v>591.28801313787699</v>
      </c>
    </row>
    <row r="114" spans="1:32" ht="15" customHeight="1">
      <c r="A114" s="9">
        <v>107</v>
      </c>
      <c r="B114" s="23" t="s">
        <v>146</v>
      </c>
      <c r="C114" s="28" t="s">
        <v>39</v>
      </c>
      <c r="D114" s="4">
        <f t="shared" si="6"/>
        <v>964.88206652826614</v>
      </c>
      <c r="E114" s="29">
        <v>538.87757022213941</v>
      </c>
      <c r="F114" s="29" t="s">
        <v>36</v>
      </c>
      <c r="G114" s="29">
        <v>44.835806833030659</v>
      </c>
      <c r="H114" s="29">
        <v>130.17877562697976</v>
      </c>
      <c r="I114" s="29">
        <v>40.261021541535854</v>
      </c>
      <c r="J114" s="5">
        <v>47.874770621567173</v>
      </c>
      <c r="K114" s="30"/>
      <c r="L114" s="29" t="s">
        <v>36</v>
      </c>
      <c r="M114" s="29" t="s">
        <v>36</v>
      </c>
      <c r="N114" s="29" t="s">
        <v>36</v>
      </c>
      <c r="O114" s="29">
        <v>130.16684280395509</v>
      </c>
      <c r="P114" s="29">
        <v>10.369398929059505</v>
      </c>
      <c r="Q114" s="5">
        <v>22.317879949998609</v>
      </c>
      <c r="R114" s="30"/>
      <c r="S114" s="29">
        <v>13.711000263690948</v>
      </c>
      <c r="T114" s="29" t="s">
        <v>36</v>
      </c>
      <c r="U114" s="29">
        <v>4.2700000719632953</v>
      </c>
      <c r="V114" s="29">
        <v>46.716000101529062</v>
      </c>
      <c r="W114" s="29">
        <v>75.164000809192657</v>
      </c>
      <c r="X114" s="29">
        <v>282.39199817646295</v>
      </c>
      <c r="Y114" s="31"/>
      <c r="Z114" s="29" t="s">
        <v>36</v>
      </c>
      <c r="AA114" s="29" t="s">
        <v>36</v>
      </c>
      <c r="AB114" s="29" t="s">
        <v>36</v>
      </c>
      <c r="AC114" s="29">
        <v>19.705000144429505</v>
      </c>
      <c r="AD114" s="29">
        <v>5.5919999927282333</v>
      </c>
      <c r="AE114" s="29">
        <v>60.5949986577034</v>
      </c>
      <c r="AF114" s="4">
        <f t="shared" si="7"/>
        <v>508.14499821770005</v>
      </c>
    </row>
    <row r="115" spans="1:32" ht="15" customHeight="1">
      <c r="A115" s="9">
        <v>108</v>
      </c>
      <c r="B115" s="23" t="s">
        <v>147</v>
      </c>
      <c r="C115" s="28" t="s">
        <v>35</v>
      </c>
      <c r="D115" s="4">
        <f t="shared" si="6"/>
        <v>313.40028463730891</v>
      </c>
      <c r="E115" s="29" t="s">
        <v>36</v>
      </c>
      <c r="F115" s="29" t="s">
        <v>36</v>
      </c>
      <c r="G115" s="29">
        <v>162.05348661714791</v>
      </c>
      <c r="H115" s="29">
        <v>64.268391376763589</v>
      </c>
      <c r="I115" s="29">
        <v>40.976602141961457</v>
      </c>
      <c r="J115" s="5">
        <v>46.101804501435915</v>
      </c>
      <c r="K115" s="30"/>
      <c r="L115" s="29" t="s">
        <v>36</v>
      </c>
      <c r="M115" s="29" t="s">
        <v>36</v>
      </c>
      <c r="N115" s="29" t="s">
        <v>36</v>
      </c>
      <c r="O115" s="29" t="s">
        <v>36</v>
      </c>
      <c r="P115" s="29" t="s">
        <v>36</v>
      </c>
      <c r="Q115" s="5" t="s">
        <v>36</v>
      </c>
      <c r="R115" s="30"/>
      <c r="S115" s="29" t="s">
        <v>36</v>
      </c>
      <c r="T115" s="29" t="s">
        <v>36</v>
      </c>
      <c r="U115" s="29">
        <v>23.73600042052567</v>
      </c>
      <c r="V115" s="29">
        <v>24.176000252366066</v>
      </c>
      <c r="W115" s="29">
        <v>52.636000499129295</v>
      </c>
      <c r="X115" s="29">
        <v>215.28299721330404</v>
      </c>
      <c r="Y115" s="31"/>
      <c r="Z115" s="29" t="s">
        <v>36</v>
      </c>
      <c r="AA115" s="29" t="s">
        <v>36</v>
      </c>
      <c r="AB115" s="29" t="s">
        <v>36</v>
      </c>
      <c r="AC115" s="29" t="s">
        <v>36</v>
      </c>
      <c r="AD115" s="29" t="s">
        <v>36</v>
      </c>
      <c r="AE115" s="29" t="s">
        <v>36</v>
      </c>
      <c r="AF115" s="4">
        <f t="shared" si="7"/>
        <v>315.83099838532507</v>
      </c>
    </row>
    <row r="116" spans="1:32" ht="15" customHeight="1">
      <c r="A116" s="9">
        <v>109</v>
      </c>
      <c r="B116" s="23" t="s">
        <v>148</v>
      </c>
      <c r="C116" s="28" t="s">
        <v>39</v>
      </c>
      <c r="D116" s="4">
        <f t="shared" si="6"/>
        <v>620.99679061295649</v>
      </c>
      <c r="E116" s="29" t="s">
        <v>36</v>
      </c>
      <c r="F116" s="29">
        <v>186.06317033165692</v>
      </c>
      <c r="G116" s="29">
        <v>26.750951940655707</v>
      </c>
      <c r="H116" s="29">
        <v>56.137687218964103</v>
      </c>
      <c r="I116" s="29">
        <v>61.917135605588555</v>
      </c>
      <c r="J116" s="5">
        <v>73.011953557103553</v>
      </c>
      <c r="K116" s="30"/>
      <c r="L116" s="29" t="s">
        <v>36</v>
      </c>
      <c r="M116" s="29" t="s">
        <v>36</v>
      </c>
      <c r="N116" s="29">
        <v>77.989750292241567</v>
      </c>
      <c r="O116" s="29">
        <v>36.420116766661408</v>
      </c>
      <c r="P116" s="29">
        <v>59.156770940624178</v>
      </c>
      <c r="Q116" s="5">
        <v>43.549253959460522</v>
      </c>
      <c r="R116" s="30"/>
      <c r="S116" s="29" t="s">
        <v>36</v>
      </c>
      <c r="T116" s="29">
        <v>29.317999958992004</v>
      </c>
      <c r="U116" s="29">
        <v>3.7819999754428864</v>
      </c>
      <c r="V116" s="29">
        <v>27.291000179946423</v>
      </c>
      <c r="W116" s="29">
        <v>86.876999691128731</v>
      </c>
      <c r="X116" s="29">
        <v>360.2840134575963</v>
      </c>
      <c r="Y116" s="31"/>
      <c r="Z116" s="29" t="s">
        <v>36</v>
      </c>
      <c r="AA116" s="29" t="s">
        <v>36</v>
      </c>
      <c r="AB116" s="29">
        <v>6.2619999274611473</v>
      </c>
      <c r="AC116" s="29">
        <v>5.3180001378059387</v>
      </c>
      <c r="AD116" s="29">
        <v>13.548999968916178</v>
      </c>
      <c r="AE116" s="29">
        <v>69.24600076675415</v>
      </c>
      <c r="AF116" s="4">
        <f t="shared" si="7"/>
        <v>601.92701406404376</v>
      </c>
    </row>
    <row r="117" spans="1:32" ht="15" customHeight="1">
      <c r="A117" s="9">
        <v>110</v>
      </c>
      <c r="B117" s="23" t="s">
        <v>149</v>
      </c>
      <c r="C117" s="28" t="s">
        <v>35</v>
      </c>
      <c r="D117" s="4">
        <f t="shared" si="6"/>
        <v>352.97988654796802</v>
      </c>
      <c r="E117" s="29" t="s">
        <v>36</v>
      </c>
      <c r="F117" s="29">
        <v>63.860615695953371</v>
      </c>
      <c r="G117" s="29">
        <v>56.7736101013422</v>
      </c>
      <c r="H117" s="29">
        <v>123.0633961314261</v>
      </c>
      <c r="I117" s="29">
        <v>44.455669613400474</v>
      </c>
      <c r="J117" s="5">
        <v>64.826595005845888</v>
      </c>
      <c r="K117" s="30"/>
      <c r="L117" s="29" t="s">
        <v>36</v>
      </c>
      <c r="M117" s="29" t="s">
        <v>36</v>
      </c>
      <c r="N117" s="29" t="s">
        <v>36</v>
      </c>
      <c r="O117" s="29" t="s">
        <v>36</v>
      </c>
      <c r="P117" s="29" t="s">
        <v>36</v>
      </c>
      <c r="Q117" s="5" t="s">
        <v>36</v>
      </c>
      <c r="R117" s="30"/>
      <c r="S117" s="29" t="s">
        <v>36</v>
      </c>
      <c r="T117" s="29">
        <v>14.421999931335449</v>
      </c>
      <c r="U117" s="29">
        <v>23.064000114798546</v>
      </c>
      <c r="V117" s="29">
        <v>62.165000975131989</v>
      </c>
      <c r="W117" s="29">
        <v>85.452999426051974</v>
      </c>
      <c r="X117" s="29">
        <v>389.42001268267632</v>
      </c>
      <c r="Y117" s="31"/>
      <c r="Z117" s="29" t="s">
        <v>36</v>
      </c>
      <c r="AA117" s="29" t="s">
        <v>36</v>
      </c>
      <c r="AB117" s="29" t="s">
        <v>36</v>
      </c>
      <c r="AC117" s="29" t="s">
        <v>36</v>
      </c>
      <c r="AD117" s="29" t="s">
        <v>36</v>
      </c>
      <c r="AE117" s="29" t="s">
        <v>36</v>
      </c>
      <c r="AF117" s="4">
        <f t="shared" si="7"/>
        <v>574.52401312999427</v>
      </c>
    </row>
    <row r="118" spans="1:32" ht="15" customHeight="1">
      <c r="A118" s="9">
        <v>111</v>
      </c>
      <c r="B118" s="23" t="s">
        <v>150</v>
      </c>
      <c r="C118" s="28" t="s">
        <v>35</v>
      </c>
      <c r="D118" s="4">
        <f t="shared" si="6"/>
        <v>569.16299465290967</v>
      </c>
      <c r="E118" s="29">
        <v>194.68080325126647</v>
      </c>
      <c r="F118" s="29">
        <v>139.87246936535834</v>
      </c>
      <c r="G118" s="29" t="s">
        <v>36</v>
      </c>
      <c r="H118" s="29">
        <v>58.846497198197987</v>
      </c>
      <c r="I118" s="29">
        <v>60.087060400724411</v>
      </c>
      <c r="J118" s="5">
        <v>115.67616443736244</v>
      </c>
      <c r="K118" s="30"/>
      <c r="L118" s="29" t="s">
        <v>36</v>
      </c>
      <c r="M118" s="29" t="s">
        <v>36</v>
      </c>
      <c r="N118" s="29" t="s">
        <v>36</v>
      </c>
      <c r="O118" s="29" t="s">
        <v>36</v>
      </c>
      <c r="P118" s="29" t="s">
        <v>36</v>
      </c>
      <c r="Q118" s="5" t="s">
        <v>36</v>
      </c>
      <c r="R118" s="30"/>
      <c r="S118" s="29">
        <v>12.44100022315979</v>
      </c>
      <c r="T118" s="29">
        <v>28.111999437212944</v>
      </c>
      <c r="U118" s="29" t="s">
        <v>36</v>
      </c>
      <c r="V118" s="29">
        <v>56.026000957936049</v>
      </c>
      <c r="W118" s="29">
        <v>97.865999102592468</v>
      </c>
      <c r="X118" s="29">
        <v>626.54897835478187</v>
      </c>
      <c r="Y118" s="31"/>
      <c r="Z118" s="29" t="s">
        <v>36</v>
      </c>
      <c r="AA118" s="29" t="s">
        <v>36</v>
      </c>
      <c r="AB118" s="29" t="s">
        <v>36</v>
      </c>
      <c r="AC118" s="29" t="s">
        <v>36</v>
      </c>
      <c r="AD118" s="29" t="s">
        <v>36</v>
      </c>
      <c r="AE118" s="29" t="s">
        <v>36</v>
      </c>
      <c r="AF118" s="4">
        <f t="shared" si="7"/>
        <v>820.99397807568312</v>
      </c>
    </row>
    <row r="119" spans="1:32" ht="15" customHeight="1">
      <c r="A119" s="9">
        <v>112</v>
      </c>
      <c r="B119" s="23" t="s">
        <v>151</v>
      </c>
      <c r="C119" s="28" t="s">
        <v>35</v>
      </c>
      <c r="D119" s="4">
        <f t="shared" si="6"/>
        <v>207.00128054788766</v>
      </c>
      <c r="E119" s="29">
        <v>19.133000075817108</v>
      </c>
      <c r="F119" s="29" t="s">
        <v>36</v>
      </c>
      <c r="G119" s="29">
        <v>80.270080211162565</v>
      </c>
      <c r="H119" s="29">
        <v>55.209292562723157</v>
      </c>
      <c r="I119" s="29">
        <v>22.65642325234413</v>
      </c>
      <c r="J119" s="5">
        <v>29.732484445840697</v>
      </c>
      <c r="K119" s="30"/>
      <c r="L119" s="29" t="s">
        <v>36</v>
      </c>
      <c r="M119" s="29" t="s">
        <v>36</v>
      </c>
      <c r="N119" s="29" t="s">
        <v>36</v>
      </c>
      <c r="O119" s="29" t="s">
        <v>36</v>
      </c>
      <c r="P119" s="29" t="s">
        <v>36</v>
      </c>
      <c r="Q119" s="5" t="s">
        <v>36</v>
      </c>
      <c r="R119" s="30"/>
      <c r="S119" s="29">
        <v>0.72200000286102295</v>
      </c>
      <c r="T119" s="29" t="s">
        <v>36</v>
      </c>
      <c r="U119" s="29">
        <v>19.458000048995018</v>
      </c>
      <c r="V119" s="29">
        <v>17.693000257015228</v>
      </c>
      <c r="W119" s="29">
        <v>43.323000431060791</v>
      </c>
      <c r="X119" s="29">
        <v>178.02299357578158</v>
      </c>
      <c r="Y119" s="31"/>
      <c r="Z119" s="29" t="s">
        <v>36</v>
      </c>
      <c r="AA119" s="29" t="s">
        <v>36</v>
      </c>
      <c r="AB119" s="29" t="s">
        <v>36</v>
      </c>
      <c r="AC119" s="29" t="s">
        <v>36</v>
      </c>
      <c r="AD119" s="29" t="s">
        <v>36</v>
      </c>
      <c r="AE119" s="29" t="s">
        <v>36</v>
      </c>
      <c r="AF119" s="4">
        <f t="shared" si="7"/>
        <v>259.21899431571364</v>
      </c>
    </row>
    <row r="120" spans="1:32" ht="15" customHeight="1">
      <c r="A120" s="9">
        <v>113</v>
      </c>
      <c r="B120" s="23" t="s">
        <v>152</v>
      </c>
      <c r="C120" s="28" t="s">
        <v>35</v>
      </c>
      <c r="D120" s="4">
        <f t="shared" si="6"/>
        <v>432.34564497808691</v>
      </c>
      <c r="E120" s="29" t="s">
        <v>36</v>
      </c>
      <c r="F120" s="29">
        <v>144.35984636549651</v>
      </c>
      <c r="G120" s="29">
        <v>76.540261789873242</v>
      </c>
      <c r="H120" s="29">
        <v>41.395454218775036</v>
      </c>
      <c r="I120" s="29">
        <v>69.974029670469463</v>
      </c>
      <c r="J120" s="5">
        <v>100.07605293347261</v>
      </c>
      <c r="K120" s="30"/>
      <c r="L120" s="29" t="s">
        <v>36</v>
      </c>
      <c r="M120" s="29" t="s">
        <v>36</v>
      </c>
      <c r="N120" s="29" t="s">
        <v>36</v>
      </c>
      <c r="O120" s="29" t="s">
        <v>36</v>
      </c>
      <c r="P120" s="29" t="s">
        <v>36</v>
      </c>
      <c r="Q120" s="5" t="s">
        <v>36</v>
      </c>
      <c r="R120" s="30"/>
      <c r="S120" s="29" t="s">
        <v>36</v>
      </c>
      <c r="T120" s="29">
        <v>26.344999838620424</v>
      </c>
      <c r="U120" s="29">
        <v>27.23400005325675</v>
      </c>
      <c r="V120" s="29">
        <v>30.482000276446342</v>
      </c>
      <c r="W120" s="29">
        <v>79.673998652026057</v>
      </c>
      <c r="X120" s="29">
        <v>433.41400595009327</v>
      </c>
      <c r="Y120" s="31"/>
      <c r="Z120" s="29" t="s">
        <v>36</v>
      </c>
      <c r="AA120" s="29" t="s">
        <v>36</v>
      </c>
      <c r="AB120" s="29" t="s">
        <v>36</v>
      </c>
      <c r="AC120" s="29" t="s">
        <v>36</v>
      </c>
      <c r="AD120" s="29" t="s">
        <v>36</v>
      </c>
      <c r="AE120" s="29" t="s">
        <v>36</v>
      </c>
      <c r="AF120" s="4">
        <f t="shared" si="7"/>
        <v>597.14900477044284</v>
      </c>
    </row>
    <row r="121" spans="1:32" ht="15" customHeight="1">
      <c r="A121" s="9">
        <v>114</v>
      </c>
      <c r="B121" s="23" t="s">
        <v>153</v>
      </c>
      <c r="C121" s="28" t="s">
        <v>39</v>
      </c>
      <c r="D121" s="4">
        <f t="shared" si="6"/>
        <v>3613.5402812252005</v>
      </c>
      <c r="E121" s="29">
        <v>922.34712866511939</v>
      </c>
      <c r="F121" s="29">
        <v>233.46968556098639</v>
      </c>
      <c r="G121" s="29">
        <v>104.56925770783424</v>
      </c>
      <c r="H121" s="29">
        <v>240.39493980054559</v>
      </c>
      <c r="I121" s="29">
        <v>145.75751468086241</v>
      </c>
      <c r="J121" s="5">
        <v>154.59666764283941</v>
      </c>
      <c r="K121" s="30"/>
      <c r="L121" s="29">
        <v>349.61754145050048</v>
      </c>
      <c r="M121" s="29">
        <v>95.177329821586611</v>
      </c>
      <c r="N121" s="29">
        <v>387.91432116392536</v>
      </c>
      <c r="O121" s="29">
        <v>501.09486538542996</v>
      </c>
      <c r="P121" s="29">
        <v>219.88367273794114</v>
      </c>
      <c r="Q121" s="5">
        <v>258.71735660762897</v>
      </c>
      <c r="R121" s="30"/>
      <c r="S121" s="29">
        <v>21.823000319302082</v>
      </c>
      <c r="T121" s="29">
        <v>24.152000613510609</v>
      </c>
      <c r="U121" s="29">
        <v>22.479999840259552</v>
      </c>
      <c r="V121" s="29">
        <v>52.6049999371171</v>
      </c>
      <c r="W121" s="29">
        <v>147.50799965858459</v>
      </c>
      <c r="X121" s="29">
        <v>621.99400255084038</v>
      </c>
      <c r="Y121" s="31"/>
      <c r="Z121" s="29">
        <v>7.3559999465942383</v>
      </c>
      <c r="AA121" s="29">
        <v>7.4220000207424164</v>
      </c>
      <c r="AB121" s="29">
        <v>18.538000097032636</v>
      </c>
      <c r="AC121" s="29">
        <v>31.906000160612166</v>
      </c>
      <c r="AD121" s="29">
        <v>33.577000185847282</v>
      </c>
      <c r="AE121" s="29">
        <v>319.33100172877312</v>
      </c>
      <c r="AF121" s="4">
        <f t="shared" si="7"/>
        <v>1308.6920050592162</v>
      </c>
    </row>
    <row r="122" spans="1:32" ht="15" customHeight="1">
      <c r="A122" s="9">
        <v>115</v>
      </c>
      <c r="B122" s="23" t="s">
        <v>154</v>
      </c>
      <c r="C122" s="28" t="s">
        <v>35</v>
      </c>
      <c r="D122" s="4">
        <f t="shared" si="6"/>
        <v>378.00122915973526</v>
      </c>
      <c r="E122" s="29" t="s">
        <v>36</v>
      </c>
      <c r="F122" s="29">
        <v>152.40748018217087</v>
      </c>
      <c r="G122" s="29">
        <v>107.8826793769002</v>
      </c>
      <c r="H122" s="29">
        <v>45.894320312649015</v>
      </c>
      <c r="I122" s="29">
        <v>29.728542726397514</v>
      </c>
      <c r="J122" s="5">
        <v>42.08820656161766</v>
      </c>
      <c r="K122" s="30"/>
      <c r="L122" s="29" t="s">
        <v>36</v>
      </c>
      <c r="M122" s="29" t="s">
        <v>36</v>
      </c>
      <c r="N122" s="29" t="s">
        <v>36</v>
      </c>
      <c r="O122" s="29" t="s">
        <v>36</v>
      </c>
      <c r="P122" s="29" t="s">
        <v>36</v>
      </c>
      <c r="Q122" s="5" t="s">
        <v>36</v>
      </c>
      <c r="R122" s="30"/>
      <c r="S122" s="29" t="s">
        <v>36</v>
      </c>
      <c r="T122" s="29">
        <v>24.828999981284142</v>
      </c>
      <c r="U122" s="29">
        <v>20.892000272870064</v>
      </c>
      <c r="V122" s="29">
        <v>39.648999664932489</v>
      </c>
      <c r="W122" s="29">
        <v>70.89199960231781</v>
      </c>
      <c r="X122" s="29">
        <v>289.281997513026</v>
      </c>
      <c r="Y122" s="31"/>
      <c r="Z122" s="29" t="s">
        <v>36</v>
      </c>
      <c r="AA122" s="29" t="s">
        <v>36</v>
      </c>
      <c r="AB122" s="29" t="s">
        <v>36</v>
      </c>
      <c r="AC122" s="29" t="s">
        <v>36</v>
      </c>
      <c r="AD122" s="29" t="s">
        <v>36</v>
      </c>
      <c r="AE122" s="29" t="s">
        <v>36</v>
      </c>
      <c r="AF122" s="4">
        <f t="shared" si="7"/>
        <v>445.5439970344305</v>
      </c>
    </row>
    <row r="123" spans="1:32" ht="15" customHeight="1">
      <c r="A123" s="9">
        <v>116</v>
      </c>
      <c r="B123" s="23" t="s">
        <v>155</v>
      </c>
      <c r="C123" s="28" t="s">
        <v>39</v>
      </c>
      <c r="D123" s="4">
        <f t="shared" si="6"/>
        <v>547.06640396630587</v>
      </c>
      <c r="E123" s="29" t="s">
        <v>36</v>
      </c>
      <c r="F123" s="29" t="s">
        <v>36</v>
      </c>
      <c r="G123" s="29">
        <v>178.47780447340011</v>
      </c>
      <c r="H123" s="29">
        <v>24.749322166353465</v>
      </c>
      <c r="I123" s="29">
        <v>99.480756514966487</v>
      </c>
      <c r="J123" s="5">
        <v>93.074749472653963</v>
      </c>
      <c r="K123" s="30"/>
      <c r="L123" s="29" t="s">
        <v>36</v>
      </c>
      <c r="M123" s="29" t="s">
        <v>36</v>
      </c>
      <c r="N123" s="29">
        <v>55.317836536049846</v>
      </c>
      <c r="O123" s="29">
        <v>70.594014887765056</v>
      </c>
      <c r="P123" s="29">
        <v>8.2211590574011204</v>
      </c>
      <c r="Q123" s="5">
        <v>17.150760857715873</v>
      </c>
      <c r="R123" s="30"/>
      <c r="S123" s="29" t="s">
        <v>36</v>
      </c>
      <c r="T123" s="29" t="s">
        <v>36</v>
      </c>
      <c r="U123" s="29">
        <v>20.210999548435211</v>
      </c>
      <c r="V123" s="29">
        <v>12.252000108361244</v>
      </c>
      <c r="W123" s="29">
        <v>135.92999976873398</v>
      </c>
      <c r="X123" s="29">
        <v>451.73800277709961</v>
      </c>
      <c r="Y123" s="31"/>
      <c r="Z123" s="29" t="s">
        <v>36</v>
      </c>
      <c r="AA123" s="29" t="s">
        <v>36</v>
      </c>
      <c r="AB123" s="29">
        <v>5.0240000486373901</v>
      </c>
      <c r="AC123" s="29">
        <v>6.0759999975562096</v>
      </c>
      <c r="AD123" s="29">
        <v>4.213000014424324</v>
      </c>
      <c r="AE123" s="29">
        <v>45.104999732226133</v>
      </c>
      <c r="AF123" s="4">
        <f t="shared" si="7"/>
        <v>680.5490019954741</v>
      </c>
    </row>
    <row r="124" spans="1:32" ht="15" customHeight="1">
      <c r="A124" s="9">
        <v>117</v>
      </c>
      <c r="B124" s="23" t="s">
        <v>156</v>
      </c>
      <c r="C124" s="28" t="s">
        <v>35</v>
      </c>
      <c r="D124" s="4">
        <f t="shared" si="6"/>
        <v>500.99234547244765</v>
      </c>
      <c r="E124" s="29" t="s">
        <v>36</v>
      </c>
      <c r="F124" s="29">
        <v>127.09577456474304</v>
      </c>
      <c r="G124" s="29">
        <v>92.366682992964982</v>
      </c>
      <c r="H124" s="29">
        <v>159.10603920183704</v>
      </c>
      <c r="I124" s="29">
        <v>50.5155630300045</v>
      </c>
      <c r="J124" s="5">
        <v>71.908285682898097</v>
      </c>
      <c r="K124" s="30"/>
      <c r="L124" s="29" t="s">
        <v>36</v>
      </c>
      <c r="M124" s="29" t="s">
        <v>36</v>
      </c>
      <c r="N124" s="29" t="s">
        <v>36</v>
      </c>
      <c r="O124" s="29" t="s">
        <v>36</v>
      </c>
      <c r="P124" s="29" t="s">
        <v>36</v>
      </c>
      <c r="Q124" s="5" t="s">
        <v>36</v>
      </c>
      <c r="R124" s="30"/>
      <c r="S124" s="29" t="s">
        <v>36</v>
      </c>
      <c r="T124" s="29">
        <v>10.302000045776367</v>
      </c>
      <c r="U124" s="29">
        <v>27.700999721884727</v>
      </c>
      <c r="V124" s="29">
        <v>67.111999331042171</v>
      </c>
      <c r="W124" s="29">
        <v>92.576000601053238</v>
      </c>
      <c r="X124" s="29">
        <v>419.27001093327999</v>
      </c>
      <c r="Y124" s="31"/>
      <c r="Z124" s="29" t="s">
        <v>36</v>
      </c>
      <c r="AA124" s="29" t="s">
        <v>36</v>
      </c>
      <c r="AB124" s="29" t="s">
        <v>36</v>
      </c>
      <c r="AC124" s="29" t="s">
        <v>36</v>
      </c>
      <c r="AD124" s="29" t="s">
        <v>36</v>
      </c>
      <c r="AE124" s="29" t="s">
        <v>36</v>
      </c>
      <c r="AF124" s="4">
        <f t="shared" si="7"/>
        <v>616.96101063303649</v>
      </c>
    </row>
    <row r="125" spans="1:32" ht="15" customHeight="1">
      <c r="A125" s="9">
        <v>118</v>
      </c>
      <c r="B125" s="23" t="s">
        <v>157</v>
      </c>
      <c r="C125" s="28" t="s">
        <v>39</v>
      </c>
      <c r="D125" s="4">
        <f t="shared" si="6"/>
        <v>1443.8456187215738</v>
      </c>
      <c r="E125" s="29">
        <v>632.96001417469984</v>
      </c>
      <c r="F125" s="29">
        <v>0.94572001218795776</v>
      </c>
      <c r="G125" s="29">
        <v>60.521070684432985</v>
      </c>
      <c r="H125" s="29">
        <v>219.0248772445768</v>
      </c>
      <c r="I125" s="29">
        <v>63.842285033106805</v>
      </c>
      <c r="J125" s="5">
        <v>119.43245675669392</v>
      </c>
      <c r="K125" s="30"/>
      <c r="L125" s="29">
        <v>122.44313543128968</v>
      </c>
      <c r="M125" s="29" t="s">
        <v>36</v>
      </c>
      <c r="N125" s="29">
        <v>30.590435577273368</v>
      </c>
      <c r="O125" s="29">
        <v>131.45446445935221</v>
      </c>
      <c r="P125" s="29">
        <v>32.326369159368795</v>
      </c>
      <c r="Q125" s="5">
        <v>30.304790188591397</v>
      </c>
      <c r="R125" s="30"/>
      <c r="S125" s="29">
        <v>24.369999915361404</v>
      </c>
      <c r="T125" s="29">
        <v>0.14800000190734863</v>
      </c>
      <c r="U125" s="29">
        <v>16.026000052690506</v>
      </c>
      <c r="V125" s="29">
        <v>78.570999704301357</v>
      </c>
      <c r="W125" s="29">
        <v>82.649999856948853</v>
      </c>
      <c r="X125" s="29">
        <v>560.44200643897057</v>
      </c>
      <c r="Y125" s="31"/>
      <c r="Z125" s="29">
        <v>3.5729999542236328</v>
      </c>
      <c r="AA125" s="29" t="s">
        <v>36</v>
      </c>
      <c r="AB125" s="29">
        <v>3.0039999485015869</v>
      </c>
      <c r="AC125" s="29">
        <v>15.302000151947141</v>
      </c>
      <c r="AD125" s="29">
        <v>14.136000009253621</v>
      </c>
      <c r="AE125" s="29">
        <v>72.178998485207558</v>
      </c>
      <c r="AF125" s="4">
        <f t="shared" si="7"/>
        <v>870.40100451931357</v>
      </c>
    </row>
    <row r="126" spans="1:32" ht="15" customHeight="1">
      <c r="A126" s="9">
        <v>119</v>
      </c>
      <c r="B126" s="23" t="s">
        <v>158</v>
      </c>
      <c r="C126" s="28" t="s">
        <v>35</v>
      </c>
      <c r="D126" s="4">
        <f t="shared" si="6"/>
        <v>326.92941169806636</v>
      </c>
      <c r="E126" s="29" t="s">
        <v>36</v>
      </c>
      <c r="F126" s="29">
        <v>184.6824185180962</v>
      </c>
      <c r="G126" s="29">
        <v>15.726102653980256</v>
      </c>
      <c r="H126" s="29">
        <v>73.025053895801307</v>
      </c>
      <c r="I126" s="29">
        <v>21.526795124709608</v>
      </c>
      <c r="J126" s="5">
        <v>31.969041505478977</v>
      </c>
      <c r="K126" s="30"/>
      <c r="L126" s="29" t="s">
        <v>36</v>
      </c>
      <c r="M126" s="29" t="s">
        <v>36</v>
      </c>
      <c r="N126" s="29" t="s">
        <v>36</v>
      </c>
      <c r="O126" s="29" t="s">
        <v>36</v>
      </c>
      <c r="P126" s="29" t="s">
        <v>36</v>
      </c>
      <c r="Q126" s="5" t="s">
        <v>36</v>
      </c>
      <c r="R126" s="30"/>
      <c r="S126" s="29" t="s">
        <v>36</v>
      </c>
      <c r="T126" s="29">
        <v>32.656999886035919</v>
      </c>
      <c r="U126" s="29">
        <v>7.3539998531341553</v>
      </c>
      <c r="V126" s="29">
        <v>50.114999853074551</v>
      </c>
      <c r="W126" s="29">
        <v>53.245000280439854</v>
      </c>
      <c r="X126" s="29">
        <v>224.80700219981372</v>
      </c>
      <c r="Y126" s="31"/>
      <c r="Z126" s="29" t="s">
        <v>36</v>
      </c>
      <c r="AA126" s="29" t="s">
        <v>36</v>
      </c>
      <c r="AB126" s="29" t="s">
        <v>36</v>
      </c>
      <c r="AC126" s="29" t="s">
        <v>36</v>
      </c>
      <c r="AD126" s="29" t="s">
        <v>36</v>
      </c>
      <c r="AE126" s="29" t="s">
        <v>36</v>
      </c>
      <c r="AF126" s="4">
        <f t="shared" si="7"/>
        <v>368.1780020724982</v>
      </c>
    </row>
    <row r="127" spans="1:32" ht="15" customHeight="1">
      <c r="A127" s="9">
        <v>120</v>
      </c>
      <c r="B127" s="23" t="s">
        <v>159</v>
      </c>
      <c r="C127" s="28" t="s">
        <v>39</v>
      </c>
      <c r="D127" s="4">
        <f t="shared" si="6"/>
        <v>1042.2295941968637</v>
      </c>
      <c r="E127" s="29">
        <v>245.33138109683989</v>
      </c>
      <c r="F127" s="29">
        <v>379.09328662067651</v>
      </c>
      <c r="G127" s="29">
        <v>43.827020178027453</v>
      </c>
      <c r="H127" s="29">
        <v>104.63454574507475</v>
      </c>
      <c r="I127" s="29">
        <v>45.903238458558917</v>
      </c>
      <c r="J127" s="5">
        <v>32.027092966293679</v>
      </c>
      <c r="K127" s="30"/>
      <c r="L127" s="29" t="s">
        <v>36</v>
      </c>
      <c r="M127" s="29" t="s">
        <v>36</v>
      </c>
      <c r="N127" s="29">
        <v>57.577900783717631</v>
      </c>
      <c r="O127" s="29">
        <v>73.77909214374283</v>
      </c>
      <c r="P127" s="29">
        <v>29.957884862506646</v>
      </c>
      <c r="Q127" s="5">
        <v>30.098151341425353</v>
      </c>
      <c r="R127" s="30"/>
      <c r="S127" s="29">
        <v>7.6750001907348633</v>
      </c>
      <c r="T127" s="29">
        <v>19.718000158667564</v>
      </c>
      <c r="U127" s="29">
        <v>7.759000027552247</v>
      </c>
      <c r="V127" s="29">
        <v>36.345999799668789</v>
      </c>
      <c r="W127" s="29">
        <v>56.526000246405602</v>
      </c>
      <c r="X127" s="29">
        <v>145.66299639642239</v>
      </c>
      <c r="Y127" s="31"/>
      <c r="Z127" s="29" t="s">
        <v>36</v>
      </c>
      <c r="AA127" s="29" t="s">
        <v>36</v>
      </c>
      <c r="AB127" s="29">
        <v>2.5080000311136246</v>
      </c>
      <c r="AC127" s="29">
        <v>7.0269998515723273</v>
      </c>
      <c r="AD127" s="29">
        <v>7.0229999365983531</v>
      </c>
      <c r="AE127" s="29">
        <v>48.559000194072723</v>
      </c>
      <c r="AF127" s="4">
        <f t="shared" si="7"/>
        <v>338.80399683280848</v>
      </c>
    </row>
    <row r="128" spans="1:32" s="43" customFormat="1" ht="15.75">
      <c r="A128" s="33"/>
      <c r="B128" s="34"/>
      <c r="C128" s="35"/>
      <c r="D128" s="36"/>
      <c r="E128" s="37"/>
      <c r="F128" s="37"/>
      <c r="G128" s="37"/>
      <c r="H128" s="37"/>
      <c r="I128" s="37"/>
      <c r="J128" s="38"/>
      <c r="K128" s="39"/>
      <c r="L128" s="40"/>
      <c r="M128" s="40"/>
      <c r="N128" s="40"/>
      <c r="O128" s="40"/>
      <c r="P128" s="40"/>
      <c r="Q128" s="38"/>
      <c r="R128" s="39"/>
      <c r="S128" s="41"/>
      <c r="T128" s="41"/>
      <c r="U128" s="41"/>
      <c r="V128" s="41"/>
      <c r="W128" s="41"/>
      <c r="X128" s="42"/>
      <c r="Y128" s="42"/>
      <c r="Z128" s="41"/>
      <c r="AA128" s="41"/>
      <c r="AB128" s="41"/>
      <c r="AC128" s="41"/>
      <c r="AD128" s="41"/>
      <c r="AE128" s="42"/>
      <c r="AF128" s="36"/>
    </row>
    <row r="129" spans="1:32" ht="15.75">
      <c r="A129" s="9"/>
      <c r="B129" s="8" t="s">
        <v>160</v>
      </c>
      <c r="C129" s="10"/>
      <c r="D129" s="4">
        <f t="shared" ref="D129:J129" si="8">SUM(D8:D127)</f>
        <v>128479.13918484712</v>
      </c>
      <c r="E129" s="4">
        <f t="shared" si="8"/>
        <v>17710.869378139112</v>
      </c>
      <c r="F129" s="4">
        <f t="shared" si="8"/>
        <v>18655.576429057503</v>
      </c>
      <c r="G129" s="4">
        <f t="shared" si="8"/>
        <v>8002.0429416858879</v>
      </c>
      <c r="H129" s="4">
        <f t="shared" si="8"/>
        <v>13715.827493093415</v>
      </c>
      <c r="I129" s="4">
        <f t="shared" si="8"/>
        <v>6564.9400261042547</v>
      </c>
      <c r="J129" s="4">
        <f t="shared" si="8"/>
        <v>9330.107366550199</v>
      </c>
      <c r="K129" s="44"/>
      <c r="L129" s="4">
        <f t="shared" ref="L129:Q129" si="9">SUM(L8:L127)</f>
        <v>16407.362228203951</v>
      </c>
      <c r="M129" s="4">
        <f t="shared" si="9"/>
        <v>2073.13802485317</v>
      </c>
      <c r="N129" s="4">
        <f t="shared" si="9"/>
        <v>15260.767625740076</v>
      </c>
      <c r="O129" s="4">
        <f t="shared" si="9"/>
        <v>10463.680403811801</v>
      </c>
      <c r="P129" s="4">
        <f t="shared" si="9"/>
        <v>4559.9439399693028</v>
      </c>
      <c r="Q129" s="4">
        <f t="shared" si="9"/>
        <v>5734.8833276384639</v>
      </c>
      <c r="R129" s="44"/>
      <c r="S129" s="4">
        <f t="shared" ref="S129:X129" si="10">SUM(S8:S127)</f>
        <v>552.52900243550539</v>
      </c>
      <c r="T129" s="4">
        <f t="shared" si="10"/>
        <v>2309.6879978606012</v>
      </c>
      <c r="U129" s="4">
        <f t="shared" si="10"/>
        <v>1739.870998516446</v>
      </c>
      <c r="V129" s="4">
        <f t="shared" si="10"/>
        <v>6132.7900091451593</v>
      </c>
      <c r="W129" s="4">
        <f t="shared" si="10"/>
        <v>8914.8360050920164</v>
      </c>
      <c r="X129" s="4">
        <f t="shared" si="10"/>
        <v>45379.788165816804</v>
      </c>
      <c r="Y129" s="4"/>
      <c r="Z129" s="4">
        <f t="shared" ref="Z129:AF129" si="11">SUM(Z8:Z127)</f>
        <v>209.85900022089481</v>
      </c>
      <c r="AA129" s="4">
        <f t="shared" si="11"/>
        <v>65.38600005209446</v>
      </c>
      <c r="AB129" s="4">
        <f t="shared" si="11"/>
        <v>775.72399915591814</v>
      </c>
      <c r="AC129" s="4">
        <f t="shared" si="11"/>
        <v>1031.6589990652865</v>
      </c>
      <c r="AD129" s="4">
        <f t="shared" si="11"/>
        <v>1008.0149999103742</v>
      </c>
      <c r="AE129" s="4">
        <f t="shared" si="11"/>
        <v>8938.993111204356</v>
      </c>
      <c r="AF129" s="4">
        <f t="shared" si="11"/>
        <v>77059.138288475457</v>
      </c>
    </row>
    <row r="130" spans="1:32" ht="15.75">
      <c r="A130" s="9"/>
      <c r="B130" s="45" t="s">
        <v>161</v>
      </c>
      <c r="C130" s="10"/>
      <c r="D130" s="4"/>
      <c r="E130" s="46">
        <f t="shared" ref="E130:J130" si="12">E129/$D$129</f>
        <v>0.13785015599036593</v>
      </c>
      <c r="F130" s="46">
        <f t="shared" si="12"/>
        <v>0.14520315552719509</v>
      </c>
      <c r="G130" s="46">
        <f t="shared" si="12"/>
        <v>6.2282818770859665E-2</v>
      </c>
      <c r="H130" s="46">
        <f t="shared" si="12"/>
        <v>0.10675528790210842</v>
      </c>
      <c r="I130" s="46">
        <f t="shared" si="12"/>
        <v>5.1097322629622084E-2</v>
      </c>
      <c r="J130" s="46">
        <f t="shared" si="12"/>
        <v>7.2619628569636274E-2</v>
      </c>
      <c r="K130" s="46"/>
      <c r="L130" s="46">
        <f t="shared" ref="L130:Q130" si="13">L129/$D$129</f>
        <v>0.12770448441904755</v>
      </c>
      <c r="M130" s="46">
        <f t="shared" si="13"/>
        <v>1.6135989375446226E-2</v>
      </c>
      <c r="N130" s="46">
        <f t="shared" si="13"/>
        <v>0.11878012043483505</v>
      </c>
      <c r="O130" s="46">
        <f t="shared" si="13"/>
        <v>8.1442640962571852E-2</v>
      </c>
      <c r="P130" s="46">
        <f t="shared" si="13"/>
        <v>3.5491706816378671E-2</v>
      </c>
      <c r="Q130" s="46">
        <f t="shared" si="13"/>
        <v>4.4636688601933268E-2</v>
      </c>
      <c r="R130" s="47"/>
      <c r="S130" s="46">
        <f t="shared" ref="S130:X130" si="14">S129/$AF$129</f>
        <v>7.1701944079244732E-3</v>
      </c>
      <c r="T130" s="46">
        <f t="shared" si="14"/>
        <v>2.9972927924708254E-2</v>
      </c>
      <c r="U130" s="46">
        <f t="shared" si="14"/>
        <v>2.2578386381679166E-2</v>
      </c>
      <c r="V130" s="46">
        <f t="shared" si="14"/>
        <v>7.9585499466483731E-2</v>
      </c>
      <c r="W130" s="46">
        <f t="shared" si="14"/>
        <v>0.11568823896938477</v>
      </c>
      <c r="X130" s="46">
        <f t="shared" si="14"/>
        <v>0.58889560892745618</v>
      </c>
      <c r="Y130" s="46"/>
      <c r="Z130" s="46">
        <f t="shared" ref="Z130:AE130" si="15">Z129/$AF$129</f>
        <v>2.7233499476113422E-3</v>
      </c>
      <c r="AA130" s="46">
        <f t="shared" si="15"/>
        <v>8.4851714545934956E-4</v>
      </c>
      <c r="AB130" s="46">
        <f t="shared" si="15"/>
        <v>1.006660619863084E-2</v>
      </c>
      <c r="AC130" s="46">
        <f t="shared" si="15"/>
        <v>1.3387886524284891E-2</v>
      </c>
      <c r="AD130" s="46">
        <f t="shared" si="15"/>
        <v>1.3081057254193659E-2</v>
      </c>
      <c r="AE130" s="46">
        <f t="shared" si="15"/>
        <v>0.11600172685218338</v>
      </c>
      <c r="AF130" s="46"/>
    </row>
    <row r="131" spans="1:32" ht="12" customHeight="1">
      <c r="B131" s="48"/>
    </row>
    <row r="132" spans="1:32" ht="12" customHeight="1">
      <c r="AE132" s="52"/>
    </row>
    <row r="133" spans="1:32" ht="12" customHeight="1">
      <c r="AE133" s="52"/>
    </row>
    <row r="134" spans="1:32" ht="12" customHeight="1">
      <c r="AE134" s="52"/>
    </row>
    <row r="135" spans="1:32" ht="12" customHeight="1">
      <c r="AE135" s="52"/>
    </row>
    <row r="136" spans="1:32" ht="12" customHeight="1">
      <c r="AE136" s="52"/>
    </row>
    <row r="137" spans="1:32" ht="12" customHeight="1">
      <c r="AE137" s="52"/>
    </row>
    <row r="138" spans="1:32" ht="12" customHeight="1">
      <c r="AE138" s="52"/>
    </row>
    <row r="139" spans="1:32" ht="12" customHeight="1">
      <c r="AE139" s="52"/>
    </row>
    <row r="140" spans="1:32" ht="12" customHeight="1">
      <c r="AE140" s="52"/>
    </row>
    <row r="141" spans="1:32" ht="12" customHeight="1">
      <c r="AE141" s="52"/>
    </row>
  </sheetData>
  <mergeCells count="4">
    <mergeCell ref="Z5:AE5"/>
    <mergeCell ref="E5:J5"/>
    <mergeCell ref="L5:Q5"/>
    <mergeCell ref="S5:X5"/>
  </mergeCells>
  <phoneticPr fontId="19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2CBE72B-C381-4CDA-8A30-F43B0214EC3B}"/>
</file>

<file path=customXml/itemProps2.xml><?xml version="1.0" encoding="utf-8"?>
<ds:datastoreItem xmlns:ds="http://schemas.openxmlformats.org/officeDocument/2006/customXml" ds:itemID="{FFCCC7ED-DEBE-4219-8058-ECA03029B2B0}"/>
</file>

<file path=customXml/itemProps3.xml><?xml version="1.0" encoding="utf-8"?>
<ds:datastoreItem xmlns:ds="http://schemas.openxmlformats.org/officeDocument/2006/customXml" ds:itemID="{44B7CCFD-8299-4EC1-915B-7D6FE6DC3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KYTC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KYTC</dc:creator>
  <cp:lastModifiedBy>Sanford, Gretchen (KYTC)</cp:lastModifiedBy>
  <dcterms:created xsi:type="dcterms:W3CDTF">2004-09-16T21:45:39Z</dcterms:created>
  <dcterms:modified xsi:type="dcterms:W3CDTF">2013-08-20T20:14:06Z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