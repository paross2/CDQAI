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5" yWindow="225" windowWidth="16155" windowHeight="9615"/>
  </bookViews>
  <sheets>
    <sheet name="Curr" sheetId="6" r:id="rId1"/>
  </sheets>
  <definedNames>
    <definedName name="_xlnm._FilterDatabase" localSheetId="0" hidden="1">Curr!$A$1:$AF$131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J129" i="6"/>
  <c r="T129"/>
  <c r="U129"/>
  <c r="V129"/>
  <c r="W129"/>
  <c r="X129"/>
  <c r="S129"/>
  <c r="Z129"/>
  <c r="AA129"/>
  <c r="AB129"/>
  <c r="AC129"/>
  <c r="AD129"/>
  <c r="AE129"/>
  <c r="F129"/>
  <c r="G129"/>
  <c r="H129"/>
  <c r="I129"/>
  <c r="E129"/>
  <c r="L129"/>
  <c r="M129"/>
  <c r="N129"/>
  <c r="O129"/>
  <c r="P129"/>
  <c r="Q129"/>
  <c r="AF8"/>
  <c r="AF9"/>
  <c r="AF10"/>
  <c r="AF129" s="1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D8"/>
  <c r="D9"/>
  <c r="D10"/>
  <c r="D11"/>
  <c r="D12"/>
  <c r="D13"/>
  <c r="D129" s="1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AA130" l="1"/>
  <c r="Z130"/>
  <c r="X130"/>
  <c r="V130"/>
  <c r="W130"/>
  <c r="S130"/>
  <c r="AE130"/>
  <c r="AD130"/>
  <c r="T130"/>
  <c r="AB130"/>
  <c r="U130"/>
  <c r="F130"/>
  <c r="P130"/>
  <c r="O130"/>
  <c r="N130"/>
  <c r="M130"/>
  <c r="L130"/>
  <c r="H130"/>
  <c r="E130"/>
  <c r="G130"/>
  <c r="Q130"/>
  <c r="AC130"/>
  <c r="I130"/>
</calcChain>
</file>

<file path=xl/sharedStrings.xml><?xml version="1.0" encoding="utf-8"?>
<sst xmlns="http://schemas.openxmlformats.org/spreadsheetml/2006/main" count="372" uniqueCount="162">
  <si>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</si>
  <si>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</si>
  <si>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</si>
  <si>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</si>
  <si>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</si>
  <si>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</si>
  <si>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</si>
  <si>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</si>
  <si>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</si>
  <si>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</si>
  <si>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</si>
  <si>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</si>
  <si>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</si>
  <si>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</si>
  <si>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</si>
  <si>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</si>
  <si>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</si>
  <si>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</si>
  <si>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</si>
  <si>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</si>
  <si>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</si>
  <si>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</si>
  <si>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</si>
  <si>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</si>
  <si>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</si>
  <si>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</si>
  <si>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</si>
  <si>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</si>
  <si>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</si>
  <si>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</si>
  <si>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</si>
  <si>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</si>
  <si>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</si>
  <si>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</si>
  <si>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</si>
  <si>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</si>
  <si>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</si>
  <si>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</si>
  <si>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</si>
  <si>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</si>
  <si>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</si>
  <si>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</si>
  <si>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</si>
  <si>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</si>
  <si>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</si>
  <si>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</si>
  <si>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</si>
  <si>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</si>
  <si>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</si>
  <si>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</si>
  <si>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</si>
  <si>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</si>
  <si>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</si>
  <si>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</si>
  <si>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</si>
  <si>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</si>
  <si>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</si>
  <si>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</si>
  <si>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</si>
  <si>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</si>
  <si>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</si>
  <si>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</si>
  <si>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</si>
  <si>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</si>
  <si>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</si>
  <si>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</si>
  <si>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</si>
  <si>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</si>
  <si>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</si>
  <si>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</si>
  <si>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</si>
  <si>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</si>
  <si>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</si>
  <si>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</si>
  <si>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</si>
  <si>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</si>
  <si>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</si>
  <si>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</si>
  <si>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</si>
  <si>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</si>
  <si>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</si>
  <si>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</si>
  <si>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</si>
  <si>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</si>
  <si>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</si>
  <si>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</si>
  <si>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</si>
  <si>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</si>
  <si>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</si>
  <si>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</si>
  <si>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</si>
  <si>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</si>
  <si>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</si>
  <si>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</si>
  <si>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</si>
  <si>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</si>
  <si>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</si>
  <si>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</si>
  <si>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</si>
  <si>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</si>
  <si>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</si>
  <si>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</si>
  <si>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</si>
  <si>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</si>
  <si>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</si>
  <si>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</si>
  <si>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</si>
  <si>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</si>
  <si>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</si>
  <si>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</si>
  <si>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</si>
  <si>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</si>
  <si>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</si>
  <si>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</si>
  <si>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</si>
  <si>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</si>
  <si>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</si>
  <si>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</si>
  <si>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</si>
  <si>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</si>
  <si>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</si>
  <si>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</si>
  <si>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</si>
  <si>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</si>
  <si>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</si>
  <si>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</si>
  <si>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</si>
  <si>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</si>
  <si>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</si>
  <si>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</si>
  <si>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</si>
  <si>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</si>
  <si>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</si>
  <si>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</si>
  <si>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</si>
  <si>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</si>
  <si>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</si>
  <si>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</si>
  <si>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</si>
  <si>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</si>
  <si>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</si>
  <si>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</si>
  <si>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</si>
  <si>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</si>
  <si>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</si>
  <si>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</si>
  <si>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</si>
  <si>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</si>
  <si>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</si>
  <si>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</si>
  <si>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</si>
  <si>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</si>
  <si>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</si>
  <si>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</si>
  <si>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</si>
  <si>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</si>
  <si>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</si>
  <si>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</si>
  <si>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</si>
  <si>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</si>
  <si>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/>
  </si>
  <si>
    <t>2007 DVMT (in thousands) and Mileage by County and Functional Class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</si>
</sst>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19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60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3" fillId="0" borderId="0" xfId="0" applyNumberFormat="1" applyFont="1"/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4" applyNumberFormat="1" applyFont="1" applyFill="1" applyBorder="1" applyAlignment="1">
      <alignment horizontal="right" wrapText="1"/>
    </xf>
    <xf numFmtId="3" fontId="4" fillId="0" borderId="0" xfId="4" applyNumberFormat="1" applyFont="1" applyFill="1" applyBorder="1" applyAlignment="1">
      <alignment horizontal="right" wrapText="1"/>
    </xf>
    <xf numFmtId="0" fontId="0" fillId="0" borderId="0" xfId="0" applyBorder="1"/>
    <xf numFmtId="0" fontId="16" fillId="0" borderId="0" xfId="0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0" fontId="3" fillId="2" borderId="0" xfId="0" applyFont="1" applyFill="1" applyAlignment="1">
      <alignment horizontal="right"/>
    </xf>
    <xf numFmtId="3" fontId="3" fillId="2" borderId="0" xfId="0" applyNumberFormat="1" applyFont="1" applyFill="1"/>
    <xf numFmtId="3" fontId="3" fillId="2" borderId="0" xfId="0" applyNumberFormat="1" applyFont="1" applyFill="1" applyBorder="1"/>
    <xf numFmtId="3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/>
    <xf numFmtId="3" fontId="0" fillId="2" borderId="0" xfId="0" applyNumberFormat="1" applyFill="1" applyBorder="1"/>
    <xf numFmtId="1" fontId="3" fillId="2" borderId="0" xfId="0" quotePrefix="1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14" fillId="2" borderId="0" xfId="0" applyNumberFormat="1" applyFont="1" applyFill="1"/>
    <xf numFmtId="0" fontId="3" fillId="2" borderId="0" xfId="0" applyFont="1" applyFill="1"/>
    <xf numFmtId="0" fontId="10" fillId="2" borderId="0" xfId="0" applyFont="1" applyFill="1"/>
    <xf numFmtId="3" fontId="15" fillId="2" borderId="0" xfId="0" applyNumberFormat="1" applyFont="1" applyFill="1"/>
    <xf numFmtId="0" fontId="7" fillId="2" borderId="0" xfId="0" applyFont="1" applyFill="1" applyAlignment="1">
      <alignment horizontal="right"/>
    </xf>
    <xf numFmtId="165" fontId="7" fillId="2" borderId="0" xfId="0" applyNumberFormat="1" applyFont="1" applyFill="1"/>
    <xf numFmtId="3" fontId="7" fillId="2" borderId="0" xfId="0" applyNumberFormat="1" applyFont="1" applyFill="1"/>
    <xf numFmtId="0" fontId="17" fillId="3" borderId="2" xfId="3" applyFont="1" applyFill="1" applyBorder="1" applyAlignment="1">
      <alignment horizontal="center"/>
    </xf>
    <xf numFmtId="0" fontId="4" fillId="0" borderId="0" xfId="3"/>
    <xf numFmtId="2" fontId="17" fillId="0" borderId="1" xfId="3" applyNumberFormat="1" applyFont="1" applyFill="1" applyBorder="1" applyAlignment="1">
      <alignment horizontal="right" wrapText="1"/>
    </xf>
    <xf numFmtId="3" fontId="2" fillId="0" borderId="0" xfId="0" applyNumberFormat="1" applyFont="1" applyAlignment="1">
      <alignment horizontal="center"/>
    </xf>
  </cellXfs>
  <cellStyles count="5">
    <cellStyle name="Normal" xfId="0" builtinId="0"/>
    <cellStyle name="Normal_2000_1" xfId="1"/>
    <cellStyle name="Normal_Curr" xfId="2"/>
    <cellStyle name="Normal_Curr_1" xfId="3"/>
    <cellStyle name="Normal_VM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29" sqref="C129"/>
    </sheetView>
  </sheetViews>
  <sheetFormatPr defaultRowHeight="15"/>
  <cols>
    <col min="1" max="1" width="5.140625" customWidth="1"/>
    <col min="2" max="2" width="18.28515625" customWidth="1"/>
    <col min="3" max="3" width="5.7109375" style="24" customWidth="1"/>
    <col min="4" max="4" width="11.5703125" style="16" customWidth="1"/>
    <col min="5" max="10" width="9.7109375" style="9" customWidth="1"/>
    <col min="11" max="11" width="5.7109375" style="11" customWidth="1"/>
    <col min="12" max="17" width="9.7109375" style="9" customWidth="1"/>
    <col min="18" max="18" width="5.7109375" style="14" customWidth="1"/>
    <col min="19" max="24" width="9.7109375" style="2" customWidth="1"/>
    <col min="25" max="25" width="4.140625" style="2" customWidth="1"/>
    <col min="26" max="31" width="9.7109375" style="2" customWidth="1"/>
    <col min="32" max="32" width="13.7109375" style="10" customWidth="1"/>
  </cols>
  <sheetData>
    <row r="1" spans="1:32" ht="15.75">
      <c r="A1" s="25"/>
      <c r="B1" s="37"/>
      <c r="C1" s="17"/>
      <c r="D1" s="15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161</v>
      </c>
      <c r="B2" s="3"/>
      <c r="C2" s="18"/>
      <c r="D2" s="15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147</v>
      </c>
      <c r="B3" s="3"/>
      <c r="C3" s="18"/>
      <c r="D3" s="15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39">
        <v>39602</v>
      </c>
      <c r="C4" s="19"/>
      <c r="D4" s="15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0" t="s">
        <v>152</v>
      </c>
      <c r="D5" s="47">
        <v>2007</v>
      </c>
      <c r="E5" s="59" t="s">
        <v>0</v>
      </c>
      <c r="F5" s="59"/>
      <c r="G5" s="59"/>
      <c r="H5" s="59"/>
      <c r="I5" s="59"/>
      <c r="J5" s="59"/>
      <c r="K5" s="12"/>
      <c r="L5" s="59" t="s">
        <v>1</v>
      </c>
      <c r="M5" s="59"/>
      <c r="N5" s="59"/>
      <c r="O5" s="59"/>
      <c r="P5" s="59"/>
      <c r="Q5" s="59"/>
      <c r="R5" s="12"/>
      <c r="S5" s="59" t="s">
        <v>2</v>
      </c>
      <c r="T5" s="59"/>
      <c r="U5" s="59"/>
      <c r="V5" s="59"/>
      <c r="W5" s="59"/>
      <c r="X5" s="59"/>
      <c r="Y5" s="26"/>
      <c r="Z5" s="59" t="s">
        <v>3</v>
      </c>
      <c r="AA5" s="59"/>
      <c r="AB5" s="59"/>
      <c r="AC5" s="59"/>
      <c r="AD5" s="59"/>
      <c r="AE5" s="59"/>
      <c r="AF5" s="1"/>
    </row>
    <row r="6" spans="1:32" s="7" customFormat="1" ht="15.75">
      <c r="A6" s="4"/>
      <c r="B6" s="5" t="s">
        <v>4</v>
      </c>
      <c r="C6" s="21" t="s">
        <v>153</v>
      </c>
      <c r="D6" s="40" t="s">
        <v>156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43" t="s">
        <v>10</v>
      </c>
      <c r="K6" s="12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43" t="s">
        <v>10</v>
      </c>
      <c r="R6" s="12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40" t="s">
        <v>13</v>
      </c>
    </row>
    <row r="7" spans="1:32" ht="15" customHeight="1">
      <c r="A7" s="3"/>
      <c r="B7" s="8"/>
      <c r="C7" s="22"/>
      <c r="D7" s="48" t="s">
        <v>154</v>
      </c>
      <c r="E7" s="56" t="s">
        <v>14</v>
      </c>
      <c r="F7" s="56" t="s">
        <v>15</v>
      </c>
      <c r="G7" s="56" t="s">
        <v>16</v>
      </c>
      <c r="H7" s="56" t="s">
        <v>17</v>
      </c>
      <c r="I7" s="56" t="s">
        <v>18</v>
      </c>
      <c r="J7" s="44" t="s">
        <v>148</v>
      </c>
      <c r="K7" s="12"/>
      <c r="L7" s="56" t="s">
        <v>19</v>
      </c>
      <c r="M7" s="56" t="s">
        <v>20</v>
      </c>
      <c r="N7" s="56" t="s">
        <v>21</v>
      </c>
      <c r="O7" s="56" t="s">
        <v>22</v>
      </c>
      <c r="P7" s="56" t="s">
        <v>23</v>
      </c>
      <c r="Q7" s="44" t="s">
        <v>25</v>
      </c>
      <c r="R7" s="12"/>
      <c r="S7" s="56">
        <v>1</v>
      </c>
      <c r="T7" s="56" t="s">
        <v>15</v>
      </c>
      <c r="U7" s="56" t="s">
        <v>16</v>
      </c>
      <c r="V7" s="56" t="s">
        <v>17</v>
      </c>
      <c r="W7" s="56" t="s">
        <v>18</v>
      </c>
      <c r="X7" s="56" t="s">
        <v>24</v>
      </c>
      <c r="Y7" s="38"/>
      <c r="Z7" s="56" t="s">
        <v>19</v>
      </c>
      <c r="AA7" s="56" t="s">
        <v>20</v>
      </c>
      <c r="AB7" s="56" t="s">
        <v>21</v>
      </c>
      <c r="AC7" s="56" t="s">
        <v>22</v>
      </c>
      <c r="AD7" s="56" t="s">
        <v>23</v>
      </c>
      <c r="AE7" s="56" t="s">
        <v>25</v>
      </c>
      <c r="AF7" s="40" t="s">
        <v>155</v>
      </c>
    </row>
    <row r="8" spans="1:32" ht="15" customHeight="1">
      <c r="A8" s="3">
        <v>1</v>
      </c>
      <c r="B8" s="8" t="s">
        <v>26</v>
      </c>
      <c r="C8" s="23" t="s">
        <v>149</v>
      </c>
      <c r="D8" s="41">
        <f t="shared" ref="D8:D39" si="0">SUM(E8:J8)+SUM(L8:Q8)</f>
        <v>576.68512189968112</v>
      </c>
      <c r="E8" s="57"/>
      <c r="F8" s="58">
        <v>194.74842210292817</v>
      </c>
      <c r="G8" s="58">
        <v>35.571352573037146</v>
      </c>
      <c r="H8" s="58">
        <v>143.7561562613696</v>
      </c>
      <c r="I8" s="58">
        <v>76.396027058839792</v>
      </c>
      <c r="J8" s="45">
        <v>126.21316390350634</v>
      </c>
      <c r="K8" s="13"/>
      <c r="L8" s="57"/>
      <c r="M8" s="57"/>
      <c r="N8" s="57"/>
      <c r="O8" s="57"/>
      <c r="P8" s="57"/>
      <c r="Q8" s="45" t="s">
        <v>160</v>
      </c>
      <c r="R8" s="13"/>
      <c r="S8" s="57"/>
      <c r="T8" s="58">
        <v>30.57199988514185</v>
      </c>
      <c r="U8" s="58">
        <v>11.380000174045563</v>
      </c>
      <c r="V8" s="58">
        <v>70.925000041723251</v>
      </c>
      <c r="W8" s="58">
        <v>114.40300089120865</v>
      </c>
      <c r="X8" s="58">
        <v>648.66497823596001</v>
      </c>
      <c r="Y8" s="27"/>
      <c r="Z8" s="57"/>
      <c r="AA8" s="57"/>
      <c r="AB8" s="57"/>
      <c r="AC8" s="57"/>
      <c r="AD8" s="57"/>
      <c r="AE8" s="57"/>
      <c r="AF8" s="41">
        <f t="shared" ref="AF8:AF39" si="1">SUM(S8:AE8)</f>
        <v>875.94497922807932</v>
      </c>
    </row>
    <row r="9" spans="1:32" ht="15" customHeight="1">
      <c r="A9" s="3">
        <v>2</v>
      </c>
      <c r="B9" s="8" t="s">
        <v>27</v>
      </c>
      <c r="C9" s="23" t="s">
        <v>149</v>
      </c>
      <c r="D9" s="41">
        <f t="shared" si="0"/>
        <v>442.94737776914866</v>
      </c>
      <c r="E9" s="57"/>
      <c r="F9" s="58">
        <v>98.88405362784863</v>
      </c>
      <c r="G9" s="58">
        <v>53.39552571645379</v>
      </c>
      <c r="H9" s="58">
        <v>120.21712081813813</v>
      </c>
      <c r="I9" s="58">
        <v>63.218085739463568</v>
      </c>
      <c r="J9" s="45">
        <v>107.23259186724454</v>
      </c>
      <c r="K9" s="13"/>
      <c r="L9" s="57"/>
      <c r="M9" s="57"/>
      <c r="N9" s="57"/>
      <c r="O9" s="57"/>
      <c r="P9" s="57"/>
      <c r="Q9" s="45" t="s">
        <v>160</v>
      </c>
      <c r="R9" s="13"/>
      <c r="S9" s="57"/>
      <c r="T9" s="58">
        <v>17.179000407457352</v>
      </c>
      <c r="U9" s="58">
        <v>10.578999936580658</v>
      </c>
      <c r="V9" s="58">
        <v>53.60600009560585</v>
      </c>
      <c r="W9" s="58">
        <v>88.253999248147011</v>
      </c>
      <c r="X9" s="58">
        <v>527.47599710524082</v>
      </c>
      <c r="Y9" s="27"/>
      <c r="Z9" s="57"/>
      <c r="AA9" s="57"/>
      <c r="AB9" s="57"/>
      <c r="AC9" s="57"/>
      <c r="AD9" s="57"/>
      <c r="AE9" s="57"/>
      <c r="AF9" s="41">
        <f t="shared" si="1"/>
        <v>697.09399679303169</v>
      </c>
    </row>
    <row r="10" spans="1:32" ht="15" customHeight="1">
      <c r="A10" s="3">
        <v>3</v>
      </c>
      <c r="B10" s="8" t="s">
        <v>28</v>
      </c>
      <c r="C10" s="23" t="s">
        <v>150</v>
      </c>
      <c r="D10" s="41">
        <f t="shared" si="0"/>
        <v>650.82829719265339</v>
      </c>
      <c r="E10" s="57"/>
      <c r="F10" s="58">
        <v>306.33278378772735</v>
      </c>
      <c r="G10" s="58">
        <v>26.977896734356879</v>
      </c>
      <c r="H10" s="58">
        <v>58.918396644949915</v>
      </c>
      <c r="I10" s="58">
        <v>24.399527905702591</v>
      </c>
      <c r="J10" s="45">
        <v>47.379631810306229</v>
      </c>
      <c r="K10" s="13"/>
      <c r="L10" s="57"/>
      <c r="M10" s="57"/>
      <c r="N10" s="58">
        <v>70.397135511875149</v>
      </c>
      <c r="O10" s="57"/>
      <c r="P10" s="58">
        <v>66.675554982140653</v>
      </c>
      <c r="Q10" s="45">
        <v>49.747369815594624</v>
      </c>
      <c r="R10" s="13"/>
      <c r="S10" s="57"/>
      <c r="T10" s="58">
        <v>21.006000034511089</v>
      </c>
      <c r="U10" s="58">
        <v>4.5870001316070557</v>
      </c>
      <c r="V10" s="58">
        <v>37.531999915838242</v>
      </c>
      <c r="W10" s="58">
        <v>35.126999765634537</v>
      </c>
      <c r="X10" s="58">
        <v>237.58500101510435</v>
      </c>
      <c r="Y10" s="27"/>
      <c r="Z10" s="57"/>
      <c r="AA10" s="57"/>
      <c r="AB10" s="58">
        <v>3.5759999752044678</v>
      </c>
      <c r="AC10" s="57"/>
      <c r="AD10" s="58">
        <v>8.8789998516440392</v>
      </c>
      <c r="AE10" s="58">
        <v>56.369001805782318</v>
      </c>
      <c r="AF10" s="41">
        <f t="shared" si="1"/>
        <v>404.6610024953261</v>
      </c>
    </row>
    <row r="11" spans="1:32" ht="15" customHeight="1">
      <c r="A11" s="3">
        <v>4</v>
      </c>
      <c r="B11" s="8" t="s">
        <v>29</v>
      </c>
      <c r="C11" s="23" t="s">
        <v>149</v>
      </c>
      <c r="D11" s="41">
        <f t="shared" si="0"/>
        <v>260.33666550245243</v>
      </c>
      <c r="E11" s="57"/>
      <c r="F11" s="58">
        <v>134.38186495581269</v>
      </c>
      <c r="G11" s="58">
        <v>12.050069892443716</v>
      </c>
      <c r="H11" s="58">
        <v>52.608534844763575</v>
      </c>
      <c r="I11" s="58">
        <v>23.259726996056735</v>
      </c>
      <c r="J11" s="45">
        <v>38.036468813375727</v>
      </c>
      <c r="K11" s="13"/>
      <c r="L11" s="57"/>
      <c r="M11" s="57"/>
      <c r="N11" s="57"/>
      <c r="O11" s="57"/>
      <c r="P11" s="57"/>
      <c r="Q11" s="45" t="s">
        <v>160</v>
      </c>
      <c r="R11" s="13"/>
      <c r="S11" s="57"/>
      <c r="T11" s="58">
        <v>25.233999863266945</v>
      </c>
      <c r="U11" s="58">
        <v>8.6889998875558376</v>
      </c>
      <c r="V11" s="58">
        <v>25.191999984905124</v>
      </c>
      <c r="W11" s="58">
        <v>65.533000405877829</v>
      </c>
      <c r="X11" s="58">
        <v>290.14600077271461</v>
      </c>
      <c r="Y11" s="27"/>
      <c r="Z11" s="57"/>
      <c r="AA11" s="57"/>
      <c r="AB11" s="57"/>
      <c r="AC11" s="57"/>
      <c r="AD11" s="57"/>
      <c r="AE11" s="57"/>
      <c r="AF11" s="41">
        <f t="shared" si="1"/>
        <v>414.79400091432035</v>
      </c>
    </row>
    <row r="12" spans="1:32" ht="15" customHeight="1">
      <c r="A12" s="3">
        <v>5</v>
      </c>
      <c r="B12" s="8" t="s">
        <v>30</v>
      </c>
      <c r="C12" s="23" t="s">
        <v>150</v>
      </c>
      <c r="D12" s="41">
        <f t="shared" si="0"/>
        <v>1510.0424000703727</v>
      </c>
      <c r="E12" s="58">
        <v>279.75168582451346</v>
      </c>
      <c r="F12" s="58">
        <v>140.08857908248902</v>
      </c>
      <c r="G12" s="58">
        <v>217.9698999929428</v>
      </c>
      <c r="H12" s="58">
        <v>216.49571707499027</v>
      </c>
      <c r="I12" s="58">
        <v>112.34992052009702</v>
      </c>
      <c r="J12" s="45">
        <v>156.84300217905383</v>
      </c>
      <c r="K12" s="13"/>
      <c r="L12" s="57"/>
      <c r="M12" s="58">
        <v>39.816575759887698</v>
      </c>
      <c r="N12" s="58">
        <v>140.0467930575013</v>
      </c>
      <c r="O12" s="58">
        <v>76.930074450433253</v>
      </c>
      <c r="P12" s="58">
        <v>67.978423113539819</v>
      </c>
      <c r="Q12" s="45">
        <v>61.771729014924126</v>
      </c>
      <c r="R12" s="13"/>
      <c r="S12" s="58">
        <v>8.4379999041557312</v>
      </c>
      <c r="T12" s="58">
        <v>17.928999900817871</v>
      </c>
      <c r="U12" s="58">
        <v>30.101000726222992</v>
      </c>
      <c r="V12" s="58">
        <v>81.278999388217926</v>
      </c>
      <c r="W12" s="58">
        <v>127.37300023436546</v>
      </c>
      <c r="X12" s="58">
        <v>677.43299436569214</v>
      </c>
      <c r="Y12" s="27"/>
      <c r="Z12" s="57"/>
      <c r="AA12" s="58">
        <v>4.4279999732971191</v>
      </c>
      <c r="AB12" s="58">
        <v>8.0799999237060547</v>
      </c>
      <c r="AC12" s="58">
        <v>10.524999916553497</v>
      </c>
      <c r="AD12" s="58">
        <v>14.742999840527773</v>
      </c>
      <c r="AE12" s="58">
        <v>94.929997086524963</v>
      </c>
      <c r="AF12" s="41">
        <f t="shared" si="1"/>
        <v>1075.2589912600815</v>
      </c>
    </row>
    <row r="13" spans="1:32" ht="15" customHeight="1">
      <c r="A13" s="3">
        <v>6</v>
      </c>
      <c r="B13" s="8" t="s">
        <v>31</v>
      </c>
      <c r="C13" s="23" t="s">
        <v>149</v>
      </c>
      <c r="D13" s="41">
        <f t="shared" si="0"/>
        <v>488.26440758998569</v>
      </c>
      <c r="E13" s="58">
        <v>250.93611814832687</v>
      </c>
      <c r="F13" s="57"/>
      <c r="G13" s="58">
        <v>35.758236818194391</v>
      </c>
      <c r="H13" s="58">
        <v>112.11426526457072</v>
      </c>
      <c r="I13" s="58">
        <v>34.404620832562443</v>
      </c>
      <c r="J13" s="45">
        <v>55.051166526331286</v>
      </c>
      <c r="K13" s="13"/>
      <c r="L13" s="57"/>
      <c r="M13" s="57"/>
      <c r="N13" s="57"/>
      <c r="O13" s="57"/>
      <c r="P13" s="57"/>
      <c r="Q13" s="45" t="s">
        <v>160</v>
      </c>
      <c r="R13" s="13"/>
      <c r="S13" s="58">
        <v>13.308000087738037</v>
      </c>
      <c r="T13" s="57"/>
      <c r="U13" s="58">
        <v>12.541999936103821</v>
      </c>
      <c r="V13" s="58">
        <v>51.969999887049198</v>
      </c>
      <c r="W13" s="58">
        <v>61.857000086456537</v>
      </c>
      <c r="X13" s="58">
        <v>317.1719987988472</v>
      </c>
      <c r="Y13" s="27"/>
      <c r="Z13" s="57"/>
      <c r="AA13" s="57"/>
      <c r="AB13" s="57"/>
      <c r="AC13" s="57"/>
      <c r="AD13" s="57"/>
      <c r="AE13" s="57"/>
      <c r="AF13" s="41">
        <f t="shared" si="1"/>
        <v>456.84899879619479</v>
      </c>
    </row>
    <row r="14" spans="1:32" ht="15" customHeight="1">
      <c r="A14" s="3">
        <v>7</v>
      </c>
      <c r="B14" s="8" t="s">
        <v>32</v>
      </c>
      <c r="C14" s="23" t="s">
        <v>150</v>
      </c>
      <c r="D14" s="41">
        <f t="shared" si="0"/>
        <v>787.29256907901572</v>
      </c>
      <c r="E14" s="57"/>
      <c r="F14" s="58">
        <v>389.40084590804577</v>
      </c>
      <c r="G14" s="57"/>
      <c r="H14" s="58">
        <v>140.06679643943906</v>
      </c>
      <c r="I14" s="58">
        <v>25.408465036571027</v>
      </c>
      <c r="J14" s="45">
        <v>52.585334007288836</v>
      </c>
      <c r="K14" s="13"/>
      <c r="L14" s="57"/>
      <c r="M14" s="57"/>
      <c r="N14" s="58">
        <v>44.515727763175967</v>
      </c>
      <c r="O14" s="58">
        <v>63.844863238707184</v>
      </c>
      <c r="P14" s="58">
        <v>36.214885107383132</v>
      </c>
      <c r="Q14" s="45">
        <v>35.255651578404859</v>
      </c>
      <c r="R14" s="13"/>
      <c r="S14" s="57"/>
      <c r="T14" s="58">
        <v>32.530000075697899</v>
      </c>
      <c r="U14" s="57"/>
      <c r="V14" s="58">
        <v>97.839000716805458</v>
      </c>
      <c r="W14" s="58">
        <v>44.255999982357025</v>
      </c>
      <c r="X14" s="58">
        <v>297.01900386810303</v>
      </c>
      <c r="Y14" s="27"/>
      <c r="Z14" s="57"/>
      <c r="AA14" s="57"/>
      <c r="AB14" s="58">
        <v>2.0009999871253967</v>
      </c>
      <c r="AC14" s="58">
        <v>7.7429999858140945</v>
      </c>
      <c r="AD14" s="58">
        <v>11.372999995946884</v>
      </c>
      <c r="AE14" s="58">
        <v>68.280001372098923</v>
      </c>
      <c r="AF14" s="41">
        <f t="shared" si="1"/>
        <v>561.04100598394871</v>
      </c>
    </row>
    <row r="15" spans="1:32" ht="15" customHeight="1">
      <c r="A15" s="3">
        <v>8</v>
      </c>
      <c r="B15" s="8" t="s">
        <v>33</v>
      </c>
      <c r="C15" s="23" t="s">
        <v>151</v>
      </c>
      <c r="D15" s="41">
        <f t="shared" si="0"/>
        <v>3998.9060080193476</v>
      </c>
      <c r="E15" s="58">
        <v>734.18707065129286</v>
      </c>
      <c r="F15" s="57"/>
      <c r="G15" s="57"/>
      <c r="H15" s="58">
        <v>154.04002522257343</v>
      </c>
      <c r="I15" s="58">
        <v>64.625281036049131</v>
      </c>
      <c r="J15" s="45">
        <v>64.512919337878728</v>
      </c>
      <c r="K15" s="13"/>
      <c r="L15" s="58">
        <v>1599.8125496726036</v>
      </c>
      <c r="M15" s="57"/>
      <c r="N15" s="58">
        <v>397.62755380133541</v>
      </c>
      <c r="O15" s="58">
        <v>649.67472566628828</v>
      </c>
      <c r="P15" s="58">
        <v>111.10120529288054</v>
      </c>
      <c r="Q15" s="45">
        <v>223.32467733844555</v>
      </c>
      <c r="R15" s="13"/>
      <c r="S15" s="58">
        <v>17.338000118732452</v>
      </c>
      <c r="T15" s="57"/>
      <c r="U15" s="57"/>
      <c r="V15" s="58">
        <v>59.036000546067953</v>
      </c>
      <c r="W15" s="58">
        <v>46.952999867498875</v>
      </c>
      <c r="X15" s="58">
        <v>211.01300594210625</v>
      </c>
      <c r="Y15" s="27"/>
      <c r="Z15" s="58">
        <v>16.644999980926514</v>
      </c>
      <c r="AA15" s="57"/>
      <c r="AB15" s="58">
        <v>13.979000048711896</v>
      </c>
      <c r="AC15" s="58">
        <v>48.670000072568655</v>
      </c>
      <c r="AD15" s="58">
        <v>22.014000117778778</v>
      </c>
      <c r="AE15" s="58">
        <v>324.36699624359608</v>
      </c>
      <c r="AF15" s="41">
        <f t="shared" si="1"/>
        <v>760.01500293798745</v>
      </c>
    </row>
    <row r="16" spans="1:32" ht="15" customHeight="1">
      <c r="A16" s="3">
        <v>9</v>
      </c>
      <c r="B16" s="8" t="s">
        <v>34</v>
      </c>
      <c r="C16" s="23" t="s">
        <v>150</v>
      </c>
      <c r="D16" s="41">
        <f t="shared" si="0"/>
        <v>566.31825663372717</v>
      </c>
      <c r="E16" s="57"/>
      <c r="F16" s="58">
        <v>185.7783978513591</v>
      </c>
      <c r="G16" s="58">
        <v>76.6065404702574</v>
      </c>
      <c r="H16" s="58">
        <v>33.487204706221817</v>
      </c>
      <c r="I16" s="58">
        <v>54.378443438112733</v>
      </c>
      <c r="J16" s="45">
        <v>38.156005196748382</v>
      </c>
      <c r="K16" s="13"/>
      <c r="L16" s="57"/>
      <c r="M16" s="57"/>
      <c r="N16" s="58">
        <v>88.014973634600636</v>
      </c>
      <c r="O16" s="58">
        <v>45.759516680845991</v>
      </c>
      <c r="P16" s="58">
        <v>22.925298982113599</v>
      </c>
      <c r="Q16" s="45">
        <v>21.211875673467478</v>
      </c>
      <c r="R16" s="13"/>
      <c r="S16" s="57"/>
      <c r="T16" s="58">
        <v>20.353000104427338</v>
      </c>
      <c r="U16" s="58">
        <v>29.186000145971775</v>
      </c>
      <c r="V16" s="58">
        <v>25.367999792098999</v>
      </c>
      <c r="W16" s="58">
        <v>67.840999573469162</v>
      </c>
      <c r="X16" s="58">
        <v>174.95699923299253</v>
      </c>
      <c r="Y16" s="27"/>
      <c r="Z16" s="57"/>
      <c r="AA16" s="57"/>
      <c r="AB16" s="58">
        <v>5.8959998972713947</v>
      </c>
      <c r="AC16" s="58">
        <v>5.7860000608488917</v>
      </c>
      <c r="AD16" s="58">
        <v>8.9809999689459801</v>
      </c>
      <c r="AE16" s="58">
        <v>47.166998863220215</v>
      </c>
      <c r="AF16" s="41">
        <f t="shared" si="1"/>
        <v>385.53499763924628</v>
      </c>
    </row>
    <row r="17" spans="1:32" ht="15" customHeight="1">
      <c r="A17" s="3">
        <v>10</v>
      </c>
      <c r="B17" s="8" t="s">
        <v>35</v>
      </c>
      <c r="C17" s="23" t="s">
        <v>151</v>
      </c>
      <c r="D17" s="41">
        <f t="shared" si="0"/>
        <v>1368.7230657492287</v>
      </c>
      <c r="E17" s="58">
        <v>213.17010078668594</v>
      </c>
      <c r="F17" s="58">
        <v>143.30254692375661</v>
      </c>
      <c r="G17" s="57"/>
      <c r="H17" s="58">
        <v>105.65263404536248</v>
      </c>
      <c r="I17" s="58">
        <v>26.559460838675498</v>
      </c>
      <c r="J17" s="45">
        <v>41.19350449847618</v>
      </c>
      <c r="K17" s="13"/>
      <c r="L17" s="57"/>
      <c r="M17" s="57"/>
      <c r="N17" s="58">
        <v>468.97977837656066</v>
      </c>
      <c r="O17" s="58">
        <v>139.17598499420285</v>
      </c>
      <c r="P17" s="58">
        <v>94.445090770900251</v>
      </c>
      <c r="Q17" s="45">
        <v>136.24396451460851</v>
      </c>
      <c r="R17" s="13"/>
      <c r="S17" s="58">
        <v>10.695000052452087</v>
      </c>
      <c r="T17" s="58">
        <v>12.391000285744667</v>
      </c>
      <c r="U17" s="57"/>
      <c r="V17" s="58">
        <v>30.656999707221985</v>
      </c>
      <c r="W17" s="58">
        <v>34.276999890804291</v>
      </c>
      <c r="X17" s="58">
        <v>192.9270042013377</v>
      </c>
      <c r="Y17" s="27"/>
      <c r="Z17" s="57"/>
      <c r="AA17" s="57"/>
      <c r="AB17" s="58">
        <v>22.957999978214502</v>
      </c>
      <c r="AC17" s="58">
        <v>21.967999987304211</v>
      </c>
      <c r="AD17" s="58">
        <v>25.039999917149544</v>
      </c>
      <c r="AE17" s="58">
        <v>237.37699868157506</v>
      </c>
      <c r="AF17" s="41">
        <f t="shared" si="1"/>
        <v>588.29000270180404</v>
      </c>
    </row>
    <row r="18" spans="1:32" ht="15" customHeight="1">
      <c r="A18" s="3">
        <v>11</v>
      </c>
      <c r="B18" s="8" t="s">
        <v>36</v>
      </c>
      <c r="C18" s="23" t="s">
        <v>150</v>
      </c>
      <c r="D18" s="41">
        <f t="shared" si="0"/>
        <v>740.56378307033242</v>
      </c>
      <c r="E18" s="57"/>
      <c r="F18" s="58">
        <v>132.52815710052477</v>
      </c>
      <c r="G18" s="58">
        <v>96.274441775202746</v>
      </c>
      <c r="H18" s="58">
        <v>31.65819166609645</v>
      </c>
      <c r="I18" s="58">
        <v>37.103909370183942</v>
      </c>
      <c r="J18" s="45">
        <v>49.943529230023564</v>
      </c>
      <c r="K18" s="13"/>
      <c r="L18" s="57"/>
      <c r="M18" s="57"/>
      <c r="N18" s="58">
        <v>256.385043329224</v>
      </c>
      <c r="O18" s="58">
        <v>35.97622734799981</v>
      </c>
      <c r="P18" s="58">
        <v>45.052580927431585</v>
      </c>
      <c r="Q18" s="45">
        <v>55.641702323645553</v>
      </c>
      <c r="R18" s="13"/>
      <c r="S18" s="57"/>
      <c r="T18" s="58">
        <v>11.272999838925898</v>
      </c>
      <c r="U18" s="58">
        <v>26.234999924898148</v>
      </c>
      <c r="V18" s="58">
        <v>13.703999951481819</v>
      </c>
      <c r="W18" s="58">
        <v>37.538000419735909</v>
      </c>
      <c r="X18" s="58">
        <v>200.90100157260895</v>
      </c>
      <c r="Y18" s="27"/>
      <c r="Z18" s="57"/>
      <c r="AA18" s="57"/>
      <c r="AB18" s="58">
        <v>17.188999813050032</v>
      </c>
      <c r="AC18" s="58">
        <v>6.7550000976771116</v>
      </c>
      <c r="AD18" s="58">
        <v>10.140999995172024</v>
      </c>
      <c r="AE18" s="58">
        <v>87.51900003105402</v>
      </c>
      <c r="AF18" s="41">
        <f t="shared" si="1"/>
        <v>411.25500164460391</v>
      </c>
    </row>
    <row r="19" spans="1:32" ht="15" customHeight="1">
      <c r="A19" s="3">
        <v>12</v>
      </c>
      <c r="B19" s="8" t="s">
        <v>37</v>
      </c>
      <c r="C19" s="23" t="s">
        <v>149</v>
      </c>
      <c r="D19" s="41">
        <f t="shared" si="0"/>
        <v>290.14923497276436</v>
      </c>
      <c r="E19" s="57"/>
      <c r="F19" s="58">
        <v>154.44774872970581</v>
      </c>
      <c r="G19" s="57"/>
      <c r="H19" s="58">
        <v>84.533827851489193</v>
      </c>
      <c r="I19" s="58">
        <v>18.906078161478042</v>
      </c>
      <c r="J19" s="45">
        <v>32.261580230091326</v>
      </c>
      <c r="K19" s="13"/>
      <c r="L19" s="57"/>
      <c r="M19" s="57"/>
      <c r="N19" s="57"/>
      <c r="O19" s="57"/>
      <c r="P19" s="57"/>
      <c r="Q19" s="45" t="s">
        <v>160</v>
      </c>
      <c r="R19" s="13"/>
      <c r="S19" s="57"/>
      <c r="T19" s="58">
        <v>19.857000350952148</v>
      </c>
      <c r="U19" s="57"/>
      <c r="V19" s="58">
        <v>61.440000645816326</v>
      </c>
      <c r="W19" s="58">
        <v>47.580000281333923</v>
      </c>
      <c r="X19" s="58">
        <v>229.33300393819809</v>
      </c>
      <c r="Y19" s="27"/>
      <c r="Z19" s="57"/>
      <c r="AA19" s="57"/>
      <c r="AB19" s="57"/>
      <c r="AC19" s="57"/>
      <c r="AD19" s="57"/>
      <c r="AE19" s="57"/>
      <c r="AF19" s="41">
        <f t="shared" si="1"/>
        <v>358.21000521630049</v>
      </c>
    </row>
    <row r="20" spans="1:32" ht="15" customHeight="1">
      <c r="A20" s="3">
        <v>13</v>
      </c>
      <c r="B20" s="8" t="s">
        <v>38</v>
      </c>
      <c r="C20" s="23" t="s">
        <v>149</v>
      </c>
      <c r="D20" s="41">
        <f t="shared" si="0"/>
        <v>481.69541484923781</v>
      </c>
      <c r="E20" s="57"/>
      <c r="F20" s="58">
        <v>202.97019563353061</v>
      </c>
      <c r="G20" s="57"/>
      <c r="H20" s="58">
        <v>107.76058506578207</v>
      </c>
      <c r="I20" s="58">
        <v>100.02487723745406</v>
      </c>
      <c r="J20" s="45">
        <v>70.939756912471069</v>
      </c>
      <c r="K20" s="13"/>
      <c r="L20" s="57"/>
      <c r="M20" s="57"/>
      <c r="N20" s="57"/>
      <c r="O20" s="57"/>
      <c r="P20" s="57"/>
      <c r="Q20" s="45" t="s">
        <v>160</v>
      </c>
      <c r="R20" s="13"/>
      <c r="S20" s="57"/>
      <c r="T20" s="58">
        <v>26.445999979972839</v>
      </c>
      <c r="U20" s="57"/>
      <c r="V20" s="58">
        <v>69.787999153137207</v>
      </c>
      <c r="W20" s="58">
        <v>134.99699952453375</v>
      </c>
      <c r="X20" s="58">
        <v>341.66101516783237</v>
      </c>
      <c r="Y20" s="27"/>
      <c r="Z20" s="57"/>
      <c r="AA20" s="57"/>
      <c r="AB20" s="57"/>
      <c r="AC20" s="57"/>
      <c r="AD20" s="57"/>
      <c r="AE20" s="57"/>
      <c r="AF20" s="41">
        <f t="shared" si="1"/>
        <v>572.89201382547617</v>
      </c>
    </row>
    <row r="21" spans="1:32" ht="15" customHeight="1">
      <c r="A21" s="3">
        <v>14</v>
      </c>
      <c r="B21" s="8" t="s">
        <v>39</v>
      </c>
      <c r="C21" s="23" t="s">
        <v>149</v>
      </c>
      <c r="D21" s="41">
        <f t="shared" si="0"/>
        <v>450.6268093824221</v>
      </c>
      <c r="E21" s="57"/>
      <c r="F21" s="58">
        <v>157.89928137313203</v>
      </c>
      <c r="G21" s="58">
        <v>46.081087764501575</v>
      </c>
      <c r="H21" s="58">
        <v>88.520448308765893</v>
      </c>
      <c r="I21" s="58">
        <v>57.820670688748358</v>
      </c>
      <c r="J21" s="45">
        <v>100.30532124727426</v>
      </c>
      <c r="K21" s="13"/>
      <c r="L21" s="57"/>
      <c r="M21" s="57"/>
      <c r="N21" s="57"/>
      <c r="O21" s="57"/>
      <c r="P21" s="57"/>
      <c r="Q21" s="45" t="s">
        <v>160</v>
      </c>
      <c r="R21" s="13"/>
      <c r="S21" s="57"/>
      <c r="T21" s="58">
        <v>31.811000289395452</v>
      </c>
      <c r="U21" s="58">
        <v>17.596999943256378</v>
      </c>
      <c r="V21" s="58">
        <v>65.528000187128782</v>
      </c>
      <c r="W21" s="58">
        <v>126.80199943482876</v>
      </c>
      <c r="X21" s="58">
        <v>654.26598740369081</v>
      </c>
      <c r="Y21" s="27"/>
      <c r="Z21" s="57"/>
      <c r="AA21" s="57"/>
      <c r="AB21" s="57"/>
      <c r="AC21" s="57"/>
      <c r="AD21" s="57"/>
      <c r="AE21" s="57"/>
      <c r="AF21" s="41">
        <f t="shared" si="1"/>
        <v>896.00398725830019</v>
      </c>
    </row>
    <row r="22" spans="1:32" ht="15" customHeight="1">
      <c r="A22" s="3">
        <v>15</v>
      </c>
      <c r="B22" s="8" t="s">
        <v>40</v>
      </c>
      <c r="C22" s="23" t="s">
        <v>157</v>
      </c>
      <c r="D22" s="41">
        <f t="shared" si="0"/>
        <v>2365.5808041403707</v>
      </c>
      <c r="E22" s="58">
        <v>711.7355161571503</v>
      </c>
      <c r="F22" s="58">
        <v>7.7739998698234558</v>
      </c>
      <c r="G22" s="58">
        <v>163.25567097550632</v>
      </c>
      <c r="H22" s="58">
        <v>64.617673327803615</v>
      </c>
      <c r="I22" s="58">
        <v>47.113298004448417</v>
      </c>
      <c r="J22" s="45">
        <v>74.795111187557481</v>
      </c>
      <c r="K22" s="13"/>
      <c r="L22" s="58">
        <v>626.655351960659</v>
      </c>
      <c r="M22" s="57"/>
      <c r="N22" s="58">
        <v>346.96452369976043</v>
      </c>
      <c r="O22" s="58">
        <v>120.71078255879878</v>
      </c>
      <c r="P22" s="58">
        <v>45.77262412273884</v>
      </c>
      <c r="Q22" s="45">
        <v>156.18625227612404</v>
      </c>
      <c r="R22" s="13"/>
      <c r="S22" s="58">
        <v>12.266000270843506</v>
      </c>
      <c r="T22" s="58">
        <v>0.29899999499320984</v>
      </c>
      <c r="U22" s="58">
        <v>24.109999805688858</v>
      </c>
      <c r="V22" s="58">
        <v>19.843999683856964</v>
      </c>
      <c r="W22" s="58">
        <v>47.556000977754593</v>
      </c>
      <c r="X22" s="58">
        <v>300.44000214338303</v>
      </c>
      <c r="Y22" s="27"/>
      <c r="Z22" s="58">
        <v>7.6060003042221069</v>
      </c>
      <c r="AA22" s="57"/>
      <c r="AB22" s="58">
        <v>26.609000086784363</v>
      </c>
      <c r="AC22" s="58">
        <v>16.520999997854233</v>
      </c>
      <c r="AD22" s="58">
        <v>10.614000052213669</v>
      </c>
      <c r="AE22" s="58">
        <v>250.27200021594763</v>
      </c>
      <c r="AF22" s="41">
        <f t="shared" si="1"/>
        <v>716.13700353354216</v>
      </c>
    </row>
    <row r="23" spans="1:32" ht="15" customHeight="1">
      <c r="A23" s="3">
        <v>16</v>
      </c>
      <c r="B23" s="8" t="s">
        <v>41</v>
      </c>
      <c r="C23" s="23" t="s">
        <v>149</v>
      </c>
      <c r="D23" s="41">
        <f t="shared" si="0"/>
        <v>464.084456208402</v>
      </c>
      <c r="E23" s="57"/>
      <c r="F23" s="58">
        <v>167.03913399964571</v>
      </c>
      <c r="G23" s="57"/>
      <c r="H23" s="58">
        <v>185.96587354553492</v>
      </c>
      <c r="I23" s="58">
        <v>40.619281879439953</v>
      </c>
      <c r="J23" s="45">
        <v>70.460166783781418</v>
      </c>
      <c r="K23" s="13"/>
      <c r="L23" s="57"/>
      <c r="M23" s="57"/>
      <c r="N23" s="57"/>
      <c r="O23" s="57"/>
      <c r="P23" s="57"/>
      <c r="Q23" s="45" t="s">
        <v>160</v>
      </c>
      <c r="R23" s="13"/>
      <c r="S23" s="57"/>
      <c r="T23" s="58">
        <v>17.786000415682793</v>
      </c>
      <c r="U23" s="57"/>
      <c r="V23" s="58">
        <v>90.914999723434448</v>
      </c>
      <c r="W23" s="58">
        <v>92.148000106215477</v>
      </c>
      <c r="X23" s="58">
        <v>469.42398992180824</v>
      </c>
      <c r="Y23" s="27"/>
      <c r="Z23" s="57"/>
      <c r="AA23" s="57"/>
      <c r="AB23" s="57"/>
      <c r="AC23" s="57"/>
      <c r="AD23" s="57"/>
      <c r="AE23" s="57"/>
      <c r="AF23" s="41">
        <f t="shared" si="1"/>
        <v>670.27299016714096</v>
      </c>
    </row>
    <row r="24" spans="1:32" ht="15" customHeight="1">
      <c r="A24" s="3">
        <v>17</v>
      </c>
      <c r="B24" s="8" t="s">
        <v>42</v>
      </c>
      <c r="C24" s="23" t="s">
        <v>150</v>
      </c>
      <c r="D24" s="41">
        <f t="shared" si="0"/>
        <v>470.58059825429109</v>
      </c>
      <c r="E24" s="58">
        <v>44.536840799331664</v>
      </c>
      <c r="F24" s="58">
        <v>128.62387920385598</v>
      </c>
      <c r="G24" s="57"/>
      <c r="H24" s="58">
        <v>117.64275071495771</v>
      </c>
      <c r="I24" s="58">
        <v>22.127335064470767</v>
      </c>
      <c r="J24" s="45">
        <v>47.406870765257118</v>
      </c>
      <c r="K24" s="13"/>
      <c r="L24" s="57"/>
      <c r="M24" s="57"/>
      <c r="N24" s="58">
        <v>12.269640074372292</v>
      </c>
      <c r="O24" s="58">
        <v>74.611683754757053</v>
      </c>
      <c r="P24" s="58">
        <v>3.8337699811533095</v>
      </c>
      <c r="Q24" s="45">
        <v>19.5278278961352</v>
      </c>
      <c r="R24" s="13"/>
      <c r="S24" s="58">
        <v>2.5469999313354492</v>
      </c>
      <c r="T24" s="58">
        <v>19.366999909281731</v>
      </c>
      <c r="U24" s="57"/>
      <c r="V24" s="58">
        <v>75.201001167297363</v>
      </c>
      <c r="W24" s="58">
        <v>66.792000353336334</v>
      </c>
      <c r="X24" s="58">
        <v>377.54101171717048</v>
      </c>
      <c r="Y24" s="27"/>
      <c r="Z24" s="57"/>
      <c r="AA24" s="57"/>
      <c r="AB24" s="58">
        <v>1.4160000085830688</v>
      </c>
      <c r="AC24" s="58">
        <v>14.86599999666214</v>
      </c>
      <c r="AD24" s="58">
        <v>1.9769999869167805</v>
      </c>
      <c r="AE24" s="58">
        <v>51.558000355958939</v>
      </c>
      <c r="AF24" s="41">
        <f t="shared" si="1"/>
        <v>611.26501342654228</v>
      </c>
    </row>
    <row r="25" spans="1:32" ht="15" customHeight="1">
      <c r="A25" s="3">
        <v>18</v>
      </c>
      <c r="B25" s="8" t="s">
        <v>43</v>
      </c>
      <c r="C25" s="23" t="s">
        <v>150</v>
      </c>
      <c r="D25" s="41">
        <f t="shared" si="0"/>
        <v>853.34971459262215</v>
      </c>
      <c r="E25" s="57"/>
      <c r="F25" s="58">
        <v>219.24399646091462</v>
      </c>
      <c r="G25" s="57"/>
      <c r="H25" s="58">
        <v>122.83195877027512</v>
      </c>
      <c r="I25" s="58">
        <v>54.318508484482763</v>
      </c>
      <c r="J25" s="45">
        <v>148.41832327273485</v>
      </c>
      <c r="K25" s="13"/>
      <c r="L25" s="57"/>
      <c r="M25" s="57"/>
      <c r="N25" s="58">
        <v>116.7066600856781</v>
      </c>
      <c r="O25" s="58">
        <v>78.461192485213274</v>
      </c>
      <c r="P25" s="58">
        <v>49.336280971869826</v>
      </c>
      <c r="Q25" s="45">
        <v>64.0327940614536</v>
      </c>
      <c r="R25" s="13"/>
      <c r="S25" s="57"/>
      <c r="T25" s="58">
        <v>33.451000332832336</v>
      </c>
      <c r="U25" s="57"/>
      <c r="V25" s="58">
        <v>35.744999647140503</v>
      </c>
      <c r="W25" s="58">
        <v>82.012000530958176</v>
      </c>
      <c r="X25" s="58">
        <v>766.70701116323471</v>
      </c>
      <c r="Y25" s="27"/>
      <c r="Z25" s="57"/>
      <c r="AA25" s="57"/>
      <c r="AB25" s="58">
        <v>8.2649999260902405</v>
      </c>
      <c r="AC25" s="58">
        <v>9.1869999170303345</v>
      </c>
      <c r="AD25" s="58">
        <v>10.827999986708164</v>
      </c>
      <c r="AE25" s="58">
        <v>99.139002203941345</v>
      </c>
      <c r="AF25" s="41">
        <f t="shared" si="1"/>
        <v>1045.3340137079358</v>
      </c>
    </row>
    <row r="26" spans="1:32" ht="15" customHeight="1">
      <c r="A26" s="3">
        <v>19</v>
      </c>
      <c r="B26" s="8" t="s">
        <v>44</v>
      </c>
      <c r="C26" s="23" t="s">
        <v>151</v>
      </c>
      <c r="D26" s="41">
        <f t="shared" si="0"/>
        <v>2223.4025010389214</v>
      </c>
      <c r="E26" s="57"/>
      <c r="F26" s="58">
        <v>179.47499345147611</v>
      </c>
      <c r="G26" s="58">
        <v>9.9260690698027609</v>
      </c>
      <c r="H26" s="58">
        <v>34.661213840767743</v>
      </c>
      <c r="I26" s="58">
        <v>30.260315706029534</v>
      </c>
      <c r="J26" s="45">
        <v>46.241374097788707</v>
      </c>
      <c r="K26" s="13"/>
      <c r="L26" s="58">
        <v>862.27623428392405</v>
      </c>
      <c r="M26" s="58">
        <v>33.085200655460355</v>
      </c>
      <c r="N26" s="58">
        <v>600.48861401459578</v>
      </c>
      <c r="O26" s="58">
        <v>147.2834016866982</v>
      </c>
      <c r="P26" s="58">
        <v>130.03084364529698</v>
      </c>
      <c r="Q26" s="45">
        <v>149.67424058708113</v>
      </c>
      <c r="R26" s="13"/>
      <c r="S26" s="57"/>
      <c r="T26" s="58">
        <v>15.939999900758266</v>
      </c>
      <c r="U26" s="58">
        <v>4.5280000269412994</v>
      </c>
      <c r="V26" s="58">
        <v>26.42400012165308</v>
      </c>
      <c r="W26" s="58">
        <v>30.09500016272068</v>
      </c>
      <c r="X26" s="58">
        <v>184.0309996008873</v>
      </c>
      <c r="Y26" s="27"/>
      <c r="Z26" s="58">
        <v>9.5339998006820679</v>
      </c>
      <c r="AA26" s="58">
        <v>0.69800001382827759</v>
      </c>
      <c r="AB26" s="58">
        <v>32.316000375896692</v>
      </c>
      <c r="AC26" s="58">
        <v>20.671999920159578</v>
      </c>
      <c r="AD26" s="58">
        <v>31.801999766379595</v>
      </c>
      <c r="AE26" s="58">
        <v>247.95400729775429</v>
      </c>
      <c r="AF26" s="41">
        <f t="shared" si="1"/>
        <v>603.99400698766112</v>
      </c>
    </row>
    <row r="27" spans="1:32" ht="15" customHeight="1">
      <c r="A27" s="3">
        <v>20</v>
      </c>
      <c r="B27" s="8" t="s">
        <v>45</v>
      </c>
      <c r="C27" s="23" t="s">
        <v>149</v>
      </c>
      <c r="D27" s="41">
        <f t="shared" si="0"/>
        <v>154.05493768289307</v>
      </c>
      <c r="E27" s="57"/>
      <c r="F27" s="58">
        <v>32.796990987539289</v>
      </c>
      <c r="G27" s="58">
        <v>18.530666562557222</v>
      </c>
      <c r="H27" s="58">
        <v>62.883937368184327</v>
      </c>
      <c r="I27" s="58">
        <v>15.914264718174934</v>
      </c>
      <c r="J27" s="45">
        <v>23.929078046437301</v>
      </c>
      <c r="K27" s="13"/>
      <c r="L27" s="57"/>
      <c r="M27" s="57"/>
      <c r="N27" s="57"/>
      <c r="O27" s="57"/>
      <c r="P27" s="57"/>
      <c r="Q27" s="45" t="s">
        <v>160</v>
      </c>
      <c r="R27" s="13"/>
      <c r="S27" s="57"/>
      <c r="T27" s="58">
        <v>12.654999613761902</v>
      </c>
      <c r="U27" s="58">
        <v>19.18999969959259</v>
      </c>
      <c r="V27" s="58">
        <v>38.91299955919385</v>
      </c>
      <c r="W27" s="58">
        <v>56.029999315738678</v>
      </c>
      <c r="X27" s="58">
        <v>209.8020042181015</v>
      </c>
      <c r="Y27" s="27"/>
      <c r="Z27" s="57"/>
      <c r="AA27" s="57"/>
      <c r="AB27" s="57"/>
      <c r="AC27" s="57"/>
      <c r="AD27" s="57"/>
      <c r="AE27" s="57"/>
      <c r="AF27" s="41">
        <f t="shared" si="1"/>
        <v>336.59000240638852</v>
      </c>
    </row>
    <row r="28" spans="1:32" ht="15" customHeight="1">
      <c r="A28" s="3">
        <v>21</v>
      </c>
      <c r="B28" s="8" t="s">
        <v>46</v>
      </c>
      <c r="C28" s="23" t="s">
        <v>149</v>
      </c>
      <c r="D28" s="41">
        <f t="shared" si="0"/>
        <v>709.14529933699987</v>
      </c>
      <c r="E28" s="58">
        <v>417.98250000000002</v>
      </c>
      <c r="F28" s="57"/>
      <c r="G28" s="57"/>
      <c r="H28" s="58">
        <v>250.38967545524238</v>
      </c>
      <c r="I28" s="58">
        <v>14.571318999260663</v>
      </c>
      <c r="J28" s="45">
        <v>26.201804882496724</v>
      </c>
      <c r="K28" s="13"/>
      <c r="L28" s="57"/>
      <c r="M28" s="57"/>
      <c r="N28" s="57"/>
      <c r="O28" s="57"/>
      <c r="P28" s="57"/>
      <c r="Q28" s="45" t="s">
        <v>160</v>
      </c>
      <c r="R28" s="13"/>
      <c r="S28" s="58">
        <v>14.625</v>
      </c>
      <c r="T28" s="57"/>
      <c r="U28" s="57"/>
      <c r="V28" s="58">
        <v>62.711000010371208</v>
      </c>
      <c r="W28" s="58">
        <v>26.465000048279762</v>
      </c>
      <c r="X28" s="58">
        <v>151.91800131835043</v>
      </c>
      <c r="Y28" s="27"/>
      <c r="Z28" s="57"/>
      <c r="AA28" s="57"/>
      <c r="AB28" s="57"/>
      <c r="AC28" s="57"/>
      <c r="AD28" s="57"/>
      <c r="AE28" s="57"/>
      <c r="AF28" s="41">
        <f t="shared" si="1"/>
        <v>255.7190013770014</v>
      </c>
    </row>
    <row r="29" spans="1:32" ht="15" customHeight="1">
      <c r="A29" s="3">
        <v>22</v>
      </c>
      <c r="B29" s="8" t="s">
        <v>47</v>
      </c>
      <c r="C29" s="23" t="s">
        <v>149</v>
      </c>
      <c r="D29" s="41">
        <f t="shared" si="0"/>
        <v>1115.6776089504633</v>
      </c>
      <c r="E29" s="58">
        <v>513.39544644737248</v>
      </c>
      <c r="F29" s="58">
        <v>96.481183059975507</v>
      </c>
      <c r="G29" s="58">
        <v>63.864316466674211</v>
      </c>
      <c r="H29" s="58">
        <v>231.25969728488101</v>
      </c>
      <c r="I29" s="58">
        <v>65.907033812105652</v>
      </c>
      <c r="J29" s="45">
        <v>144.76993187945459</v>
      </c>
      <c r="K29" s="13"/>
      <c r="L29" s="57"/>
      <c r="M29" s="57"/>
      <c r="N29" s="57"/>
      <c r="O29" s="57"/>
      <c r="P29" s="57"/>
      <c r="Q29" s="45" t="s">
        <v>160</v>
      </c>
      <c r="R29" s="13"/>
      <c r="S29" s="58">
        <v>32.147000432014465</v>
      </c>
      <c r="T29" s="58">
        <v>19.104000426828861</v>
      </c>
      <c r="U29" s="58">
        <v>11.721000082790852</v>
      </c>
      <c r="V29" s="58">
        <v>71.389999864622951</v>
      </c>
      <c r="W29" s="58">
        <v>94.969999812543392</v>
      </c>
      <c r="X29" s="58">
        <v>726.36101534962654</v>
      </c>
      <c r="Y29" s="27"/>
      <c r="Z29" s="57"/>
      <c r="AA29" s="57"/>
      <c r="AB29" s="57"/>
      <c r="AC29" s="57"/>
      <c r="AD29" s="57"/>
      <c r="AE29" s="57"/>
      <c r="AF29" s="41">
        <f t="shared" si="1"/>
        <v>955.69301596842706</v>
      </c>
    </row>
    <row r="30" spans="1:32" ht="15" customHeight="1">
      <c r="A30" s="3">
        <v>23</v>
      </c>
      <c r="B30" s="8" t="s">
        <v>48</v>
      </c>
      <c r="C30" s="23" t="s">
        <v>149</v>
      </c>
      <c r="D30" s="41">
        <f t="shared" si="0"/>
        <v>420.47737758899405</v>
      </c>
      <c r="E30" s="57"/>
      <c r="F30" s="58">
        <v>119.79968250030279</v>
      </c>
      <c r="G30" s="57"/>
      <c r="H30" s="58">
        <v>127.26767603443562</v>
      </c>
      <c r="I30" s="58">
        <v>60.022089977145193</v>
      </c>
      <c r="J30" s="45">
        <v>113.38792907711043</v>
      </c>
      <c r="K30" s="13"/>
      <c r="L30" s="57"/>
      <c r="M30" s="57"/>
      <c r="N30" s="57"/>
      <c r="O30" s="57"/>
      <c r="P30" s="57"/>
      <c r="Q30" s="45" t="s">
        <v>160</v>
      </c>
      <c r="R30" s="13"/>
      <c r="S30" s="57"/>
      <c r="T30" s="58">
        <v>23.715000301599503</v>
      </c>
      <c r="U30" s="57"/>
      <c r="V30" s="58">
        <v>72.472000762820244</v>
      </c>
      <c r="W30" s="58">
        <v>87.648999333381653</v>
      </c>
      <c r="X30" s="58">
        <v>573.65800778567791</v>
      </c>
      <c r="Y30" s="27"/>
      <c r="Z30" s="57"/>
      <c r="AA30" s="57"/>
      <c r="AB30" s="57"/>
      <c r="AC30" s="57"/>
      <c r="AD30" s="57"/>
      <c r="AE30" s="57"/>
      <c r="AF30" s="41">
        <f t="shared" si="1"/>
        <v>757.49400818347931</v>
      </c>
    </row>
    <row r="31" spans="1:32" ht="15" customHeight="1">
      <c r="A31" s="3">
        <v>24</v>
      </c>
      <c r="B31" s="8" t="s">
        <v>49</v>
      </c>
      <c r="C31" s="23" t="s">
        <v>157</v>
      </c>
      <c r="D31" s="41">
        <f t="shared" si="0"/>
        <v>2285.8753792621956</v>
      </c>
      <c r="E31" s="58">
        <v>451.5829429988861</v>
      </c>
      <c r="F31" s="58">
        <v>288.10963265728952</v>
      </c>
      <c r="G31" s="58">
        <v>15.661289781332016</v>
      </c>
      <c r="H31" s="58">
        <v>181.5851618289575</v>
      </c>
      <c r="I31" s="58">
        <v>76.162625480473039</v>
      </c>
      <c r="J31" s="45">
        <v>105.89578319943119</v>
      </c>
      <c r="K31" s="13"/>
      <c r="L31" s="58">
        <v>101.34630146026612</v>
      </c>
      <c r="M31" s="58">
        <v>65.66875737333298</v>
      </c>
      <c r="N31" s="58">
        <v>510.15525168414416</v>
      </c>
      <c r="O31" s="58">
        <v>228.45932328249515</v>
      </c>
      <c r="P31" s="58">
        <v>64.036434699147947</v>
      </c>
      <c r="Q31" s="45">
        <v>197.21187481643955</v>
      </c>
      <c r="R31" s="13"/>
      <c r="S31" s="58">
        <v>20.365999698638916</v>
      </c>
      <c r="T31" s="58">
        <v>35.761000692844391</v>
      </c>
      <c r="U31" s="58">
        <v>6.5849999189376831</v>
      </c>
      <c r="V31" s="58">
        <v>98.450000636279583</v>
      </c>
      <c r="W31" s="58">
        <v>137.52899986505508</v>
      </c>
      <c r="X31" s="58">
        <v>611.76100586354733</v>
      </c>
      <c r="Y31" s="27"/>
      <c r="Z31" s="58">
        <v>3.1770000457763672</v>
      </c>
      <c r="AA31" s="58">
        <v>4.6970000267028809</v>
      </c>
      <c r="AB31" s="58">
        <v>36.965999968349934</v>
      </c>
      <c r="AC31" s="58">
        <v>33.734999850392342</v>
      </c>
      <c r="AD31" s="58">
        <v>12.672000095248222</v>
      </c>
      <c r="AE31" s="58">
        <v>286.20799516141415</v>
      </c>
      <c r="AF31" s="41">
        <f t="shared" si="1"/>
        <v>1287.9070018231869</v>
      </c>
    </row>
    <row r="32" spans="1:32" ht="15" customHeight="1">
      <c r="A32" s="3">
        <v>25</v>
      </c>
      <c r="B32" s="8" t="s">
        <v>50</v>
      </c>
      <c r="C32" s="23" t="s">
        <v>150</v>
      </c>
      <c r="D32" s="41">
        <f t="shared" si="0"/>
        <v>1259.831782535932</v>
      </c>
      <c r="E32" s="58">
        <v>419.22153124237059</v>
      </c>
      <c r="F32" s="58">
        <v>215.34771016836166</v>
      </c>
      <c r="G32" s="58">
        <v>60.798000316023824</v>
      </c>
      <c r="H32" s="58">
        <v>94.044356860175725</v>
      </c>
      <c r="I32" s="58">
        <v>52.246735001623634</v>
      </c>
      <c r="J32" s="45">
        <v>44.40636013152892</v>
      </c>
      <c r="K32" s="13"/>
      <c r="L32" s="58">
        <v>90.942403793334961</v>
      </c>
      <c r="M32" s="57"/>
      <c r="N32" s="58">
        <v>66.711308545351031</v>
      </c>
      <c r="O32" s="58">
        <v>138.20562975486368</v>
      </c>
      <c r="P32" s="58">
        <v>20.918046263694762</v>
      </c>
      <c r="Q32" s="45">
        <v>56.989700458603252</v>
      </c>
      <c r="R32" s="13"/>
      <c r="S32" s="58">
        <v>12.76800012588501</v>
      </c>
      <c r="T32" s="58">
        <v>17.802999973297119</v>
      </c>
      <c r="U32" s="58">
        <v>9.4749999642372131</v>
      </c>
      <c r="V32" s="58">
        <v>40.321999855339527</v>
      </c>
      <c r="W32" s="58">
        <v>59.999999508261681</v>
      </c>
      <c r="X32" s="58">
        <v>193.34699822962284</v>
      </c>
      <c r="Y32" s="27"/>
      <c r="Z32" s="58">
        <v>2.0120000839233398</v>
      </c>
      <c r="AA32" s="57"/>
      <c r="AB32" s="58">
        <v>3.4460000246763229</v>
      </c>
      <c r="AC32" s="58">
        <v>15.051999997347593</v>
      </c>
      <c r="AD32" s="58">
        <v>6.2160000614821911</v>
      </c>
      <c r="AE32" s="58">
        <v>106.62699669599533</v>
      </c>
      <c r="AF32" s="41">
        <f t="shared" si="1"/>
        <v>467.06799452006817</v>
      </c>
    </row>
    <row r="33" spans="1:32" ht="15" customHeight="1">
      <c r="A33" s="3">
        <v>26</v>
      </c>
      <c r="B33" s="8" t="s">
        <v>51</v>
      </c>
      <c r="C33" s="23" t="s">
        <v>149</v>
      </c>
      <c r="D33" s="41">
        <f t="shared" si="0"/>
        <v>633.7644639829532</v>
      </c>
      <c r="E33" s="57"/>
      <c r="F33" s="58">
        <v>178.998843126297</v>
      </c>
      <c r="G33" s="58">
        <v>112.9579890434742</v>
      </c>
      <c r="H33" s="58">
        <v>163.99750290870668</v>
      </c>
      <c r="I33" s="58">
        <v>68.04143514370918</v>
      </c>
      <c r="J33" s="45">
        <v>109.76869376076613</v>
      </c>
      <c r="K33" s="13"/>
      <c r="L33" s="57"/>
      <c r="M33" s="57"/>
      <c r="N33" s="57"/>
      <c r="O33" s="57"/>
      <c r="P33" s="57"/>
      <c r="Q33" s="45" t="s">
        <v>160</v>
      </c>
      <c r="R33" s="13"/>
      <c r="S33" s="57"/>
      <c r="T33" s="58">
        <v>25.336000442504883</v>
      </c>
      <c r="U33" s="58">
        <v>16.16199991106987</v>
      </c>
      <c r="V33" s="58">
        <v>87.60400128364563</v>
      </c>
      <c r="W33" s="58">
        <v>89.26900053024292</v>
      </c>
      <c r="X33" s="58">
        <v>519.40500940382481</v>
      </c>
      <c r="Y33" s="27"/>
      <c r="Z33" s="57"/>
      <c r="AA33" s="57"/>
      <c r="AB33" s="57"/>
      <c r="AC33" s="57"/>
      <c r="AD33" s="57"/>
      <c r="AE33" s="57"/>
      <c r="AF33" s="41">
        <f t="shared" si="1"/>
        <v>737.77601157128811</v>
      </c>
    </row>
    <row r="34" spans="1:32" ht="15" customHeight="1">
      <c r="A34" s="3">
        <v>27</v>
      </c>
      <c r="B34" s="8" t="s">
        <v>52</v>
      </c>
      <c r="C34" s="23" t="s">
        <v>149</v>
      </c>
      <c r="D34" s="41">
        <f t="shared" si="0"/>
        <v>295.38930814387834</v>
      </c>
      <c r="E34" s="57"/>
      <c r="F34" s="58">
        <v>100.17407799454779</v>
      </c>
      <c r="G34" s="58">
        <v>55.182200719118121</v>
      </c>
      <c r="H34" s="58">
        <v>27.621890858113765</v>
      </c>
      <c r="I34" s="58">
        <v>58.068466249465942</v>
      </c>
      <c r="J34" s="45">
        <v>54.342672322632701</v>
      </c>
      <c r="K34" s="13"/>
      <c r="L34" s="57"/>
      <c r="M34" s="57"/>
      <c r="N34" s="57"/>
      <c r="O34" s="57"/>
      <c r="P34" s="57"/>
      <c r="Q34" s="45" t="s">
        <v>160</v>
      </c>
      <c r="R34" s="13"/>
      <c r="S34" s="57"/>
      <c r="T34" s="58">
        <v>21.308000005781651</v>
      </c>
      <c r="U34" s="58">
        <v>12.8160001039505</v>
      </c>
      <c r="V34" s="58">
        <v>6.4370002150535583</v>
      </c>
      <c r="W34" s="58">
        <v>79.000000387430191</v>
      </c>
      <c r="X34" s="58">
        <v>263.03599536418915</v>
      </c>
      <c r="Y34" s="27"/>
      <c r="Z34" s="57"/>
      <c r="AA34" s="57"/>
      <c r="AB34" s="57"/>
      <c r="AC34" s="57"/>
      <c r="AD34" s="57"/>
      <c r="AE34" s="57"/>
      <c r="AF34" s="41">
        <f t="shared" si="1"/>
        <v>382.59699607640505</v>
      </c>
    </row>
    <row r="35" spans="1:32" ht="15" customHeight="1">
      <c r="A35" s="3">
        <v>28</v>
      </c>
      <c r="B35" s="8" t="s">
        <v>53</v>
      </c>
      <c r="C35" s="23" t="s">
        <v>149</v>
      </c>
      <c r="D35" s="41">
        <f t="shared" si="0"/>
        <v>227.66486589946177</v>
      </c>
      <c r="E35" s="57"/>
      <c r="F35" s="58">
        <v>119.7059313223958</v>
      </c>
      <c r="G35" s="57"/>
      <c r="H35" s="58">
        <v>27.618797515183687</v>
      </c>
      <c r="I35" s="58">
        <v>28.340789258718491</v>
      </c>
      <c r="J35" s="45">
        <v>51.999347803163793</v>
      </c>
      <c r="K35" s="13"/>
      <c r="L35" s="57"/>
      <c r="M35" s="57"/>
      <c r="N35" s="57"/>
      <c r="O35" s="57"/>
      <c r="P35" s="57"/>
      <c r="Q35" s="45" t="s">
        <v>160</v>
      </c>
      <c r="R35" s="13"/>
      <c r="S35" s="57"/>
      <c r="T35" s="58">
        <v>30.511999636888504</v>
      </c>
      <c r="U35" s="57"/>
      <c r="V35" s="58">
        <v>34.813999280333519</v>
      </c>
      <c r="W35" s="58">
        <v>84.440000653266907</v>
      </c>
      <c r="X35" s="58">
        <v>410.75699460506439</v>
      </c>
      <c r="Y35" s="27"/>
      <c r="Z35" s="57"/>
      <c r="AA35" s="57"/>
      <c r="AB35" s="57"/>
      <c r="AC35" s="57"/>
      <c r="AD35" s="57"/>
      <c r="AE35" s="57"/>
      <c r="AF35" s="41">
        <f t="shared" si="1"/>
        <v>560.52299417555332</v>
      </c>
    </row>
    <row r="36" spans="1:32" ht="15" customHeight="1">
      <c r="A36" s="3">
        <v>29</v>
      </c>
      <c r="B36" s="8" t="s">
        <v>54</v>
      </c>
      <c r="C36" s="23" t="s">
        <v>149</v>
      </c>
      <c r="D36" s="41">
        <f t="shared" si="0"/>
        <v>212.91378193485718</v>
      </c>
      <c r="E36" s="57"/>
      <c r="F36" s="57"/>
      <c r="G36" s="58">
        <v>119.18049818301201</v>
      </c>
      <c r="H36" s="58">
        <v>18.328177329540253</v>
      </c>
      <c r="I36" s="58">
        <v>27.376233186244963</v>
      </c>
      <c r="J36" s="45">
        <v>48.028873236059937</v>
      </c>
      <c r="K36" s="13"/>
      <c r="L36" s="57"/>
      <c r="M36" s="57"/>
      <c r="N36" s="57"/>
      <c r="O36" s="57"/>
      <c r="P36" s="57"/>
      <c r="Q36" s="45" t="s">
        <v>160</v>
      </c>
      <c r="R36" s="13"/>
      <c r="S36" s="57"/>
      <c r="T36" s="57"/>
      <c r="U36" s="58">
        <v>36.235999666154385</v>
      </c>
      <c r="V36" s="58">
        <v>12.437000036239624</v>
      </c>
      <c r="W36" s="58">
        <v>72.55400013923645</v>
      </c>
      <c r="X36" s="58">
        <v>352.62999671697617</v>
      </c>
      <c r="Y36" s="27"/>
      <c r="Z36" s="57"/>
      <c r="AA36" s="57"/>
      <c r="AB36" s="57"/>
      <c r="AC36" s="57"/>
      <c r="AD36" s="57"/>
      <c r="AE36" s="57"/>
      <c r="AF36" s="41">
        <f t="shared" si="1"/>
        <v>473.85699655860662</v>
      </c>
    </row>
    <row r="37" spans="1:32" ht="15" customHeight="1">
      <c r="A37" s="3">
        <v>30</v>
      </c>
      <c r="B37" s="8" t="s">
        <v>55</v>
      </c>
      <c r="C37" s="23" t="s">
        <v>151</v>
      </c>
      <c r="D37" s="41">
        <f t="shared" si="0"/>
        <v>2124.752196637477</v>
      </c>
      <c r="E37" s="57"/>
      <c r="F37" s="58">
        <v>307.51778956091403</v>
      </c>
      <c r="G37" s="58">
        <v>101.881494979918</v>
      </c>
      <c r="H37" s="58">
        <v>164.99943498378991</v>
      </c>
      <c r="I37" s="58">
        <v>63.190954203128811</v>
      </c>
      <c r="J37" s="45">
        <v>121.56224348785027</v>
      </c>
      <c r="K37" s="13"/>
      <c r="L37" s="57"/>
      <c r="M37" s="58">
        <v>245.30295203876494</v>
      </c>
      <c r="N37" s="58">
        <v>497.43857815393807</v>
      </c>
      <c r="O37" s="58">
        <v>227.95517977510391</v>
      </c>
      <c r="P37" s="58">
        <v>210.38002607661485</v>
      </c>
      <c r="Q37" s="45">
        <v>184.52354337745427</v>
      </c>
      <c r="R37" s="13"/>
      <c r="S37" s="57"/>
      <c r="T37" s="58">
        <v>39.793000996112823</v>
      </c>
      <c r="U37" s="58">
        <v>16.613000094890594</v>
      </c>
      <c r="V37" s="58">
        <v>50.547000452876091</v>
      </c>
      <c r="W37" s="58">
        <v>76.587999999523163</v>
      </c>
      <c r="X37" s="58">
        <v>547.41898949444294</v>
      </c>
      <c r="Y37" s="27"/>
      <c r="Z37" s="57"/>
      <c r="AA37" s="58">
        <v>10.212000012397766</v>
      </c>
      <c r="AB37" s="58">
        <v>31.492999948561192</v>
      </c>
      <c r="AC37" s="58">
        <v>28.22200021892786</v>
      </c>
      <c r="AD37" s="58">
        <v>48.695999950170517</v>
      </c>
      <c r="AE37" s="58">
        <v>295.34600208699703</v>
      </c>
      <c r="AF37" s="41">
        <f t="shared" si="1"/>
        <v>1144.9289932549</v>
      </c>
    </row>
    <row r="38" spans="1:32" ht="15" customHeight="1">
      <c r="A38" s="3">
        <v>31</v>
      </c>
      <c r="B38" s="8" t="s">
        <v>56</v>
      </c>
      <c r="C38" s="23" t="s">
        <v>149</v>
      </c>
      <c r="D38" s="41">
        <f t="shared" si="0"/>
        <v>339.47415913108546</v>
      </c>
      <c r="E38" s="58">
        <v>85.410000681877136</v>
      </c>
      <c r="F38" s="57"/>
      <c r="G38" s="58">
        <v>94.819449740886682</v>
      </c>
      <c r="H38" s="58">
        <v>75.425839704632764</v>
      </c>
      <c r="I38" s="58">
        <v>29.334077746868132</v>
      </c>
      <c r="J38" s="45">
        <v>54.484791256820678</v>
      </c>
      <c r="K38" s="13"/>
      <c r="L38" s="57"/>
      <c r="M38" s="57"/>
      <c r="N38" s="57"/>
      <c r="O38" s="57"/>
      <c r="P38" s="57"/>
      <c r="Q38" s="45" t="s">
        <v>160</v>
      </c>
      <c r="R38" s="13"/>
      <c r="S38" s="58">
        <v>2.628000020980835</v>
      </c>
      <c r="T38" s="57"/>
      <c r="U38" s="58">
        <v>20.029999990016222</v>
      </c>
      <c r="V38" s="58">
        <v>60.787000514566898</v>
      </c>
      <c r="W38" s="58">
        <v>53.239999771118164</v>
      </c>
      <c r="X38" s="58">
        <v>315.76300093531609</v>
      </c>
      <c r="Y38" s="27"/>
      <c r="Z38" s="57"/>
      <c r="AA38" s="57"/>
      <c r="AB38" s="57"/>
      <c r="AC38" s="57"/>
      <c r="AD38" s="57"/>
      <c r="AE38" s="57"/>
      <c r="AF38" s="41">
        <f t="shared" si="1"/>
        <v>452.44800123199821</v>
      </c>
    </row>
    <row r="39" spans="1:32" ht="15" customHeight="1">
      <c r="A39" s="3">
        <v>32</v>
      </c>
      <c r="B39" s="8" t="s">
        <v>57</v>
      </c>
      <c r="C39" s="23" t="s">
        <v>149</v>
      </c>
      <c r="D39" s="41">
        <f t="shared" si="0"/>
        <v>137.58965419860638</v>
      </c>
      <c r="E39" s="57"/>
      <c r="F39" s="57"/>
      <c r="G39" s="58">
        <v>46.695666640639303</v>
      </c>
      <c r="H39" s="58">
        <v>18.875179086208345</v>
      </c>
      <c r="I39" s="58">
        <v>24.270428830385207</v>
      </c>
      <c r="J39" s="45">
        <v>47.748379641373532</v>
      </c>
      <c r="K39" s="13"/>
      <c r="L39" s="57"/>
      <c r="M39" s="57"/>
      <c r="N39" s="57"/>
      <c r="O39" s="57"/>
      <c r="P39" s="57"/>
      <c r="Q39" s="45" t="s">
        <v>160</v>
      </c>
      <c r="R39" s="13"/>
      <c r="S39" s="57"/>
      <c r="T39" s="57"/>
      <c r="U39" s="58">
        <v>18.519000172615051</v>
      </c>
      <c r="V39" s="58">
        <v>24.89300012588501</v>
      </c>
      <c r="W39" s="58">
        <v>65.870999455451965</v>
      </c>
      <c r="X39" s="58">
        <v>355.81900059711188</v>
      </c>
      <c r="Y39" s="27"/>
      <c r="Z39" s="57"/>
      <c r="AA39" s="57"/>
      <c r="AB39" s="57"/>
      <c r="AC39" s="57"/>
      <c r="AD39" s="57"/>
      <c r="AE39" s="57"/>
      <c r="AF39" s="41">
        <f t="shared" si="1"/>
        <v>465.10200035106391</v>
      </c>
    </row>
    <row r="40" spans="1:32" ht="15" customHeight="1">
      <c r="A40" s="3">
        <v>33</v>
      </c>
      <c r="B40" s="8" t="s">
        <v>58</v>
      </c>
      <c r="C40" s="23" t="s">
        <v>149</v>
      </c>
      <c r="D40" s="41">
        <f t="shared" ref="D40:D71" si="2">SUM(E40:J40)+SUM(L40:Q40)</f>
        <v>328.52342868470555</v>
      </c>
      <c r="E40" s="57"/>
      <c r="F40" s="57"/>
      <c r="G40" s="58">
        <v>99.610018778681749</v>
      </c>
      <c r="H40" s="58">
        <v>107.95931686703861</v>
      </c>
      <c r="I40" s="58">
        <v>52.605944635093209</v>
      </c>
      <c r="J40" s="45">
        <v>68.34814840389194</v>
      </c>
      <c r="K40" s="13"/>
      <c r="L40" s="57"/>
      <c r="M40" s="57"/>
      <c r="N40" s="57"/>
      <c r="O40" s="57"/>
      <c r="P40" s="57"/>
      <c r="Q40" s="45" t="s">
        <v>160</v>
      </c>
      <c r="R40" s="13"/>
      <c r="S40" s="57"/>
      <c r="T40" s="57"/>
      <c r="U40" s="58">
        <v>9.4799998831003904</v>
      </c>
      <c r="V40" s="58">
        <v>51.545999146997929</v>
      </c>
      <c r="W40" s="58">
        <v>62.468999445438385</v>
      </c>
      <c r="X40" s="58">
        <v>303.88000544905663</v>
      </c>
      <c r="Y40" s="27"/>
      <c r="Z40" s="57"/>
      <c r="AA40" s="57"/>
      <c r="AB40" s="57"/>
      <c r="AC40" s="57"/>
      <c r="AD40" s="57"/>
      <c r="AE40" s="57"/>
      <c r="AF40" s="41">
        <f t="shared" ref="AF40:AF71" si="3">SUM(S40:AE40)</f>
        <v>427.37500392459333</v>
      </c>
    </row>
    <row r="41" spans="1:32" ht="15" customHeight="1">
      <c r="A41" s="3">
        <v>34</v>
      </c>
      <c r="B41" s="8" t="s">
        <v>59</v>
      </c>
      <c r="C41" s="23" t="s">
        <v>158</v>
      </c>
      <c r="D41" s="41">
        <f t="shared" si="2"/>
        <v>7829.2826871650432</v>
      </c>
      <c r="E41" s="58">
        <v>1395.0695905132293</v>
      </c>
      <c r="F41" s="58">
        <v>306.31229588317871</v>
      </c>
      <c r="G41" s="58">
        <v>179.55180407118797</v>
      </c>
      <c r="H41" s="58">
        <v>115.32477472853661</v>
      </c>
      <c r="I41" s="58">
        <v>84.98280261516571</v>
      </c>
      <c r="J41" s="45">
        <v>54.75065142253267</v>
      </c>
      <c r="K41" s="13"/>
      <c r="L41" s="58">
        <v>560.65898361206052</v>
      </c>
      <c r="M41" s="58">
        <v>869.0284725747108</v>
      </c>
      <c r="N41" s="58">
        <v>1864.5550970782042</v>
      </c>
      <c r="O41" s="58">
        <v>1182.8167586009056</v>
      </c>
      <c r="P41" s="58">
        <v>648.62203668468635</v>
      </c>
      <c r="Q41" s="45">
        <v>567.60941938064514</v>
      </c>
      <c r="R41" s="13"/>
      <c r="S41" s="58">
        <v>27.51200008392334</v>
      </c>
      <c r="T41" s="58">
        <v>14.22500005364418</v>
      </c>
      <c r="U41" s="58">
        <v>26.842000067234039</v>
      </c>
      <c r="V41" s="58">
        <v>33.564999967813492</v>
      </c>
      <c r="W41" s="58">
        <v>52.033999025821686</v>
      </c>
      <c r="X41" s="58">
        <v>160.92599949240685</v>
      </c>
      <c r="Y41" s="27"/>
      <c r="Z41" s="58">
        <v>7.7489997744560242</v>
      </c>
      <c r="AA41" s="58">
        <v>13.764000058174133</v>
      </c>
      <c r="AB41" s="58">
        <v>55.726999893784523</v>
      </c>
      <c r="AC41" s="58">
        <v>76.214000079780817</v>
      </c>
      <c r="AD41" s="58">
        <v>102.55900013726205</v>
      </c>
      <c r="AE41" s="58">
        <v>716.01202371716499</v>
      </c>
      <c r="AF41" s="41">
        <f t="shared" si="3"/>
        <v>1287.1290223514661</v>
      </c>
    </row>
    <row r="42" spans="1:32" ht="15" customHeight="1">
      <c r="A42" s="3">
        <v>35</v>
      </c>
      <c r="B42" s="8" t="s">
        <v>60</v>
      </c>
      <c r="C42" s="23" t="s">
        <v>149</v>
      </c>
      <c r="D42" s="41">
        <f t="shared" si="2"/>
        <v>380.78134522184888</v>
      </c>
      <c r="E42" s="57"/>
      <c r="F42" s="58">
        <v>15.750016264617443</v>
      </c>
      <c r="G42" s="58">
        <v>142.49180639812352</v>
      </c>
      <c r="H42" s="58">
        <v>100.89595170732215</v>
      </c>
      <c r="I42" s="58">
        <v>45.724704867709427</v>
      </c>
      <c r="J42" s="45">
        <v>75.918865984076362</v>
      </c>
      <c r="K42" s="13"/>
      <c r="L42" s="57"/>
      <c r="M42" s="57"/>
      <c r="N42" s="57"/>
      <c r="O42" s="57"/>
      <c r="P42" s="57"/>
      <c r="Q42" s="45" t="s">
        <v>160</v>
      </c>
      <c r="R42" s="13"/>
      <c r="S42" s="57"/>
      <c r="T42" s="58">
        <v>5.4230000972747803</v>
      </c>
      <c r="U42" s="58">
        <v>34.582000322639942</v>
      </c>
      <c r="V42" s="58">
        <v>44.822999529540539</v>
      </c>
      <c r="W42" s="58">
        <v>69.772001108154655</v>
      </c>
      <c r="X42" s="58">
        <v>394.7899990901351</v>
      </c>
      <c r="Y42" s="27"/>
      <c r="Z42" s="57"/>
      <c r="AA42" s="57"/>
      <c r="AB42" s="57"/>
      <c r="AC42" s="57"/>
      <c r="AD42" s="57"/>
      <c r="AE42" s="57"/>
      <c r="AF42" s="41">
        <f t="shared" si="3"/>
        <v>549.39000014774501</v>
      </c>
    </row>
    <row r="43" spans="1:32" ht="15" customHeight="1">
      <c r="A43" s="3">
        <v>36</v>
      </c>
      <c r="B43" s="8" t="s">
        <v>61</v>
      </c>
      <c r="C43" s="23" t="s">
        <v>149</v>
      </c>
      <c r="D43" s="41">
        <f t="shared" si="2"/>
        <v>1354.5163994996904</v>
      </c>
      <c r="E43" s="57"/>
      <c r="F43" s="58">
        <v>727.77092435844986</v>
      </c>
      <c r="G43" s="58">
        <v>60.082980069532994</v>
      </c>
      <c r="H43" s="58">
        <v>321.69973564706743</v>
      </c>
      <c r="I43" s="58">
        <v>114.04052470636368</v>
      </c>
      <c r="J43" s="45">
        <v>130.92223471827646</v>
      </c>
      <c r="K43" s="13"/>
      <c r="L43" s="57"/>
      <c r="M43" s="57"/>
      <c r="N43" s="57"/>
      <c r="O43" s="57"/>
      <c r="P43" s="57"/>
      <c r="Q43" s="45" t="s">
        <v>160</v>
      </c>
      <c r="R43" s="13"/>
      <c r="S43" s="57"/>
      <c r="T43" s="58">
        <v>52.379001009277999</v>
      </c>
      <c r="U43" s="58">
        <v>6.8069999627768993</v>
      </c>
      <c r="V43" s="58">
        <v>102.72899978607893</v>
      </c>
      <c r="W43" s="58">
        <v>113.11799943447113</v>
      </c>
      <c r="X43" s="58">
        <v>520.18299634754658</v>
      </c>
      <c r="Y43" s="27"/>
      <c r="Z43" s="57"/>
      <c r="AA43" s="57"/>
      <c r="AB43" s="57"/>
      <c r="AC43" s="57"/>
      <c r="AD43" s="57"/>
      <c r="AE43" s="57"/>
      <c r="AF43" s="41">
        <f t="shared" si="3"/>
        <v>795.21599654015154</v>
      </c>
    </row>
    <row r="44" spans="1:32" ht="15" customHeight="1">
      <c r="A44" s="3">
        <v>37</v>
      </c>
      <c r="B44" s="8" t="s">
        <v>62</v>
      </c>
      <c r="C44" s="23" t="s">
        <v>150</v>
      </c>
      <c r="D44" s="41">
        <f t="shared" si="2"/>
        <v>1498.0558212019509</v>
      </c>
      <c r="E44" s="58">
        <v>487.38689755201341</v>
      </c>
      <c r="F44" s="58">
        <v>105.8626337865591</v>
      </c>
      <c r="G44" s="58">
        <v>141.22512767428159</v>
      </c>
      <c r="H44" s="58">
        <v>0.15216800029575825</v>
      </c>
      <c r="I44" s="58">
        <v>60.097389097385111</v>
      </c>
      <c r="J44" s="45">
        <v>42.400367916392341</v>
      </c>
      <c r="K44" s="13"/>
      <c r="L44" s="57"/>
      <c r="M44" s="57"/>
      <c r="N44" s="58">
        <v>348.32365708851813</v>
      </c>
      <c r="O44" s="58">
        <v>168.76278892979025</v>
      </c>
      <c r="P44" s="58">
        <v>60.656146379601211</v>
      </c>
      <c r="Q44" s="45">
        <v>83.188644777113979</v>
      </c>
      <c r="R44" s="13"/>
      <c r="S44" s="58">
        <v>13.127999901771545</v>
      </c>
      <c r="T44" s="58">
        <v>5.2500000298023224</v>
      </c>
      <c r="U44" s="58">
        <v>35.811000555753708</v>
      </c>
      <c r="V44" s="58">
        <v>0.18400000035762787</v>
      </c>
      <c r="W44" s="58">
        <v>73.532000415027142</v>
      </c>
      <c r="X44" s="58">
        <v>192.07100322644692</v>
      </c>
      <c r="Y44" s="27"/>
      <c r="Z44" s="57"/>
      <c r="AA44" s="57"/>
      <c r="AB44" s="58">
        <v>16.538999944925308</v>
      </c>
      <c r="AC44" s="58">
        <v>16.59000002592802</v>
      </c>
      <c r="AD44" s="58">
        <v>16.620000077411532</v>
      </c>
      <c r="AE44" s="58">
        <v>147.95200184173882</v>
      </c>
      <c r="AF44" s="41">
        <f t="shared" si="3"/>
        <v>517.67700601916295</v>
      </c>
    </row>
    <row r="45" spans="1:32" ht="15" customHeight="1">
      <c r="A45" s="3">
        <v>38</v>
      </c>
      <c r="B45" s="8" t="s">
        <v>63</v>
      </c>
      <c r="C45" s="23" t="s">
        <v>149</v>
      </c>
      <c r="D45" s="41">
        <f t="shared" si="2"/>
        <v>188.49247420315592</v>
      </c>
      <c r="E45" s="57"/>
      <c r="F45" s="58">
        <v>36.475507195651531</v>
      </c>
      <c r="G45" s="58">
        <v>21.664553362488746</v>
      </c>
      <c r="H45" s="58">
        <v>72.769770895674824</v>
      </c>
      <c r="I45" s="58">
        <v>24.746387099623679</v>
      </c>
      <c r="J45" s="45">
        <v>32.836255649717124</v>
      </c>
      <c r="K45" s="13"/>
      <c r="L45" s="57"/>
      <c r="M45" s="57"/>
      <c r="N45" s="57"/>
      <c r="O45" s="57"/>
      <c r="P45" s="57"/>
      <c r="Q45" s="45" t="s">
        <v>160</v>
      </c>
      <c r="R45" s="13"/>
      <c r="S45" s="57"/>
      <c r="T45" s="58">
        <v>8.1159998625516891</v>
      </c>
      <c r="U45" s="58">
        <v>25.109000325202942</v>
      </c>
      <c r="V45" s="58">
        <v>41.117999840527773</v>
      </c>
      <c r="W45" s="58">
        <v>55.656999811530113</v>
      </c>
      <c r="X45" s="58">
        <v>217.58799934573472</v>
      </c>
      <c r="Y45" s="27"/>
      <c r="Z45" s="57"/>
      <c r="AA45" s="57"/>
      <c r="AB45" s="57"/>
      <c r="AC45" s="57"/>
      <c r="AD45" s="57"/>
      <c r="AE45" s="57"/>
      <c r="AF45" s="41">
        <f t="shared" si="3"/>
        <v>347.58799918554723</v>
      </c>
    </row>
    <row r="46" spans="1:32" ht="15" customHeight="1">
      <c r="A46" s="3">
        <v>39</v>
      </c>
      <c r="B46" s="8" t="s">
        <v>64</v>
      </c>
      <c r="C46" s="23" t="s">
        <v>149</v>
      </c>
      <c r="D46" s="41">
        <f t="shared" si="2"/>
        <v>705.71242256686355</v>
      </c>
      <c r="E46" s="58">
        <v>510.49616271972656</v>
      </c>
      <c r="F46" s="58">
        <v>5.8161768975853922</v>
      </c>
      <c r="G46" s="57"/>
      <c r="H46" s="58">
        <v>148.52465881866218</v>
      </c>
      <c r="I46" s="58">
        <v>18.611199158117174</v>
      </c>
      <c r="J46" s="45">
        <v>22.264224972772197</v>
      </c>
      <c r="K46" s="13"/>
      <c r="L46" s="57"/>
      <c r="M46" s="57"/>
      <c r="N46" s="57"/>
      <c r="O46" s="57"/>
      <c r="P46" s="57"/>
      <c r="Q46" s="45" t="s">
        <v>160</v>
      </c>
      <c r="R46" s="13"/>
      <c r="S46" s="58">
        <v>16.457000732421875</v>
      </c>
      <c r="T46" s="58">
        <v>2.0849999636411667</v>
      </c>
      <c r="U46" s="57"/>
      <c r="V46" s="58">
        <v>46.729999460279942</v>
      </c>
      <c r="W46" s="58">
        <v>23.944000139832497</v>
      </c>
      <c r="X46" s="58">
        <v>104.06900076568127</v>
      </c>
      <c r="Y46" s="27"/>
      <c r="Z46" s="57"/>
      <c r="AA46" s="57"/>
      <c r="AB46" s="57"/>
      <c r="AC46" s="57"/>
      <c r="AD46" s="57"/>
      <c r="AE46" s="57"/>
      <c r="AF46" s="41">
        <f t="shared" si="3"/>
        <v>193.28500106185675</v>
      </c>
    </row>
    <row r="47" spans="1:32" ht="15" customHeight="1">
      <c r="A47" s="3">
        <v>40</v>
      </c>
      <c r="B47" s="8" t="s">
        <v>65</v>
      </c>
      <c r="C47" s="23" t="s">
        <v>149</v>
      </c>
      <c r="D47" s="41">
        <f t="shared" si="2"/>
        <v>415.81560804015896</v>
      </c>
      <c r="E47" s="57"/>
      <c r="F47" s="58">
        <v>229.19995412039756</v>
      </c>
      <c r="G47" s="58">
        <v>82.938473168492322</v>
      </c>
      <c r="H47" s="58">
        <v>17.498079788684844</v>
      </c>
      <c r="I47" s="58">
        <v>38.877264138698578</v>
      </c>
      <c r="J47" s="45">
        <v>47.301836823885679</v>
      </c>
      <c r="K47" s="13"/>
      <c r="L47" s="57"/>
      <c r="M47" s="57"/>
      <c r="N47" s="57"/>
      <c r="O47" s="57"/>
      <c r="P47" s="57"/>
      <c r="Q47" s="45" t="s">
        <v>160</v>
      </c>
      <c r="R47" s="13"/>
      <c r="S47" s="57"/>
      <c r="T47" s="58">
        <v>18.026999950408936</v>
      </c>
      <c r="U47" s="58">
        <v>27.816000044345856</v>
      </c>
      <c r="V47" s="58">
        <v>8.2739998698234558</v>
      </c>
      <c r="W47" s="58">
        <v>64.980000495910645</v>
      </c>
      <c r="X47" s="58">
        <v>260.37999653816223</v>
      </c>
      <c r="Y47" s="27"/>
      <c r="Z47" s="57"/>
      <c r="AA47" s="57"/>
      <c r="AB47" s="57"/>
      <c r="AC47" s="57"/>
      <c r="AD47" s="57"/>
      <c r="AE47" s="57"/>
      <c r="AF47" s="41">
        <f t="shared" si="3"/>
        <v>379.47699689865112</v>
      </c>
    </row>
    <row r="48" spans="1:32" ht="15" customHeight="1">
      <c r="A48" s="3">
        <v>41</v>
      </c>
      <c r="B48" s="8" t="s">
        <v>66</v>
      </c>
      <c r="C48" s="23" t="s">
        <v>149</v>
      </c>
      <c r="D48" s="41">
        <f t="shared" si="2"/>
        <v>1302.6610964545264</v>
      </c>
      <c r="E48" s="58">
        <v>944.78740723419185</v>
      </c>
      <c r="F48" s="57"/>
      <c r="G48" s="58">
        <v>87.112975523561232</v>
      </c>
      <c r="H48" s="58">
        <v>144.96744530761987</v>
      </c>
      <c r="I48" s="58">
        <v>45.812545699119568</v>
      </c>
      <c r="J48" s="45">
        <v>79.980722690033943</v>
      </c>
      <c r="K48" s="13"/>
      <c r="L48" s="57"/>
      <c r="M48" s="57"/>
      <c r="N48" s="57"/>
      <c r="O48" s="57"/>
      <c r="P48" s="57"/>
      <c r="Q48" s="45" t="s">
        <v>160</v>
      </c>
      <c r="R48" s="13"/>
      <c r="S48" s="58">
        <v>23.023999691009521</v>
      </c>
      <c r="T48" s="57"/>
      <c r="U48" s="58">
        <v>21.800999794155359</v>
      </c>
      <c r="V48" s="58">
        <v>61.490000773221254</v>
      </c>
      <c r="W48" s="58">
        <v>44.121999621391296</v>
      </c>
      <c r="X48" s="58">
        <v>311.98199753463268</v>
      </c>
      <c r="Y48" s="27"/>
      <c r="Z48" s="57"/>
      <c r="AA48" s="57"/>
      <c r="AB48" s="57"/>
      <c r="AC48" s="57"/>
      <c r="AD48" s="57"/>
      <c r="AE48" s="57"/>
      <c r="AF48" s="41">
        <f t="shared" si="3"/>
        <v>462.41899741441011</v>
      </c>
    </row>
    <row r="49" spans="1:32" ht="15" customHeight="1">
      <c r="A49" s="3">
        <v>42</v>
      </c>
      <c r="B49" s="8" t="s">
        <v>67</v>
      </c>
      <c r="C49" s="23" t="s">
        <v>150</v>
      </c>
      <c r="D49" s="41">
        <f t="shared" si="2"/>
        <v>1154.625731665757</v>
      </c>
      <c r="E49" s="57"/>
      <c r="F49" s="58">
        <v>373.8275564393997</v>
      </c>
      <c r="G49" s="58">
        <v>48.341032633781431</v>
      </c>
      <c r="H49" s="58">
        <v>220.32002255062758</v>
      </c>
      <c r="I49" s="58">
        <v>109.24832992471755</v>
      </c>
      <c r="J49" s="45">
        <v>132.74947911324236</v>
      </c>
      <c r="K49" s="13"/>
      <c r="L49" s="57"/>
      <c r="M49" s="58">
        <v>44.383440416336057</v>
      </c>
      <c r="N49" s="58">
        <v>104.19218974041939</v>
      </c>
      <c r="O49" s="58">
        <v>62.49298289902508</v>
      </c>
      <c r="P49" s="58">
        <v>20.808227289631962</v>
      </c>
      <c r="Q49" s="45">
        <v>38.262470658575907</v>
      </c>
      <c r="R49" s="13"/>
      <c r="S49" s="57"/>
      <c r="T49" s="58">
        <v>42.857999563217163</v>
      </c>
      <c r="U49" s="58">
        <v>18.410999894142151</v>
      </c>
      <c r="V49" s="58">
        <v>113.16100097447634</v>
      </c>
      <c r="W49" s="58">
        <v>182.10500025749207</v>
      </c>
      <c r="X49" s="58">
        <v>729.50299304351211</v>
      </c>
      <c r="Y49" s="27"/>
      <c r="Z49" s="57"/>
      <c r="AA49" s="58">
        <v>3.4420000314712524</v>
      </c>
      <c r="AB49" s="58">
        <v>11.060999996960163</v>
      </c>
      <c r="AC49" s="58">
        <v>11.447999984025955</v>
      </c>
      <c r="AD49" s="58">
        <v>7.3510001003742218</v>
      </c>
      <c r="AE49" s="58">
        <v>79.758999407291412</v>
      </c>
      <c r="AF49" s="41">
        <f t="shared" si="3"/>
        <v>1199.0989932529628</v>
      </c>
    </row>
    <row r="50" spans="1:32" ht="15" customHeight="1">
      <c r="A50" s="3">
        <v>43</v>
      </c>
      <c r="B50" s="8" t="s">
        <v>68</v>
      </c>
      <c r="C50" s="23" t="s">
        <v>149</v>
      </c>
      <c r="D50" s="41">
        <f t="shared" si="2"/>
        <v>858.40942755132426</v>
      </c>
      <c r="E50" s="57"/>
      <c r="F50" s="58">
        <v>296.25348041391373</v>
      </c>
      <c r="G50" s="58">
        <v>47.081376299619677</v>
      </c>
      <c r="H50" s="58">
        <v>204.26910742902757</v>
      </c>
      <c r="I50" s="58">
        <v>57.768860136628149</v>
      </c>
      <c r="J50" s="45">
        <v>112.88073206197508</v>
      </c>
      <c r="K50" s="13"/>
      <c r="L50" s="57"/>
      <c r="M50" s="57"/>
      <c r="N50" s="57"/>
      <c r="O50" s="58">
        <v>113.82102340693027</v>
      </c>
      <c r="P50" s="58">
        <v>8.9663317308425903</v>
      </c>
      <c r="Q50" s="45">
        <v>17.368516072387106</v>
      </c>
      <c r="R50" s="13"/>
      <c r="S50" s="57"/>
      <c r="T50" s="58">
        <v>31.215999782085419</v>
      </c>
      <c r="U50" s="58">
        <v>17.666999816894531</v>
      </c>
      <c r="V50" s="58">
        <v>112.62299832701683</v>
      </c>
      <c r="W50" s="58">
        <v>98.856000304222107</v>
      </c>
      <c r="X50" s="58">
        <v>630.57703050971031</v>
      </c>
      <c r="Y50" s="27"/>
      <c r="Z50" s="57"/>
      <c r="AA50" s="57"/>
      <c r="AB50" s="57"/>
      <c r="AC50" s="58">
        <v>14.720000065863132</v>
      </c>
      <c r="AD50" s="58">
        <v>4.6119998693466187</v>
      </c>
      <c r="AE50" s="58">
        <v>45.783999800682068</v>
      </c>
      <c r="AF50" s="41">
        <f t="shared" si="3"/>
        <v>956.05502847582102</v>
      </c>
    </row>
    <row r="51" spans="1:32" ht="15" customHeight="1">
      <c r="A51" s="3">
        <v>44</v>
      </c>
      <c r="B51" s="8" t="s">
        <v>69</v>
      </c>
      <c r="C51" s="23" t="s">
        <v>149</v>
      </c>
      <c r="D51" s="41">
        <f t="shared" si="2"/>
        <v>257.60239105093456</v>
      </c>
      <c r="E51" s="57"/>
      <c r="F51" s="58">
        <v>3.2549999999999999</v>
      </c>
      <c r="G51" s="58">
        <v>116.03620047512651</v>
      </c>
      <c r="H51" s="58">
        <v>56.702007436394695</v>
      </c>
      <c r="I51" s="58">
        <v>24.298301881432533</v>
      </c>
      <c r="J51" s="45">
        <v>57.310881257980817</v>
      </c>
      <c r="K51" s="13"/>
      <c r="L51" s="57"/>
      <c r="M51" s="57"/>
      <c r="N51" s="57"/>
      <c r="O51" s="57"/>
      <c r="P51" s="57"/>
      <c r="Q51" s="45" t="s">
        <v>160</v>
      </c>
      <c r="R51" s="13"/>
      <c r="S51" s="57"/>
      <c r="T51" s="58">
        <v>0.75</v>
      </c>
      <c r="U51" s="58">
        <v>30.800999660044909</v>
      </c>
      <c r="V51" s="58">
        <v>32.70900022983551</v>
      </c>
      <c r="W51" s="58">
        <v>65.6869997382164</v>
      </c>
      <c r="X51" s="58">
        <v>426.02698985859752</v>
      </c>
      <c r="Y51" s="27"/>
      <c r="Z51" s="57"/>
      <c r="AA51" s="57"/>
      <c r="AB51" s="57"/>
      <c r="AC51" s="57"/>
      <c r="AD51" s="57"/>
      <c r="AE51" s="57"/>
      <c r="AF51" s="41">
        <f t="shared" si="3"/>
        <v>555.97398948669434</v>
      </c>
    </row>
    <row r="52" spans="1:32" ht="15" customHeight="1">
      <c r="A52" s="3">
        <v>45</v>
      </c>
      <c r="B52" s="8" t="s">
        <v>70</v>
      </c>
      <c r="C52" s="23" t="s">
        <v>151</v>
      </c>
      <c r="D52" s="41">
        <f>SUM(E52:J52)+SUM(L52:Q52)</f>
        <v>932.33618519789752</v>
      </c>
      <c r="E52" s="57"/>
      <c r="F52" s="58">
        <v>262.81340127360824</v>
      </c>
      <c r="G52" s="58">
        <v>20.2</v>
      </c>
      <c r="H52" s="58">
        <v>100.49764135409892</v>
      </c>
      <c r="I52" s="58">
        <v>41.624079798936847</v>
      </c>
      <c r="J52" s="45">
        <v>89.90708593964581</v>
      </c>
      <c r="K52" s="13"/>
      <c r="L52" s="57"/>
      <c r="M52" s="57"/>
      <c r="N52" s="58">
        <v>213.4852382042408</v>
      </c>
      <c r="O52" s="58">
        <v>89.327163528922952</v>
      </c>
      <c r="P52" s="58">
        <v>42.119394909813998</v>
      </c>
      <c r="Q52" s="45">
        <v>72.362180188630035</v>
      </c>
      <c r="R52" s="13"/>
      <c r="S52" s="57"/>
      <c r="T52" s="58">
        <v>44.542000114917755</v>
      </c>
      <c r="U52" s="58">
        <v>2</v>
      </c>
      <c r="V52" s="58">
        <v>59.632999606430531</v>
      </c>
      <c r="W52" s="58">
        <v>73.925999522209167</v>
      </c>
      <c r="X52" s="58">
        <v>514.04199398122728</v>
      </c>
      <c r="Y52" s="27"/>
      <c r="Z52" s="57"/>
      <c r="AA52" s="57"/>
      <c r="AB52" s="58">
        <v>11.734000116586685</v>
      </c>
      <c r="AC52" s="58">
        <v>10.817999910563231</v>
      </c>
      <c r="AD52" s="58">
        <v>13.223999939858913</v>
      </c>
      <c r="AE52" s="58">
        <v>140.12300187349319</v>
      </c>
      <c r="AF52" s="41">
        <f t="shared" si="3"/>
        <v>870.04199506528676</v>
      </c>
    </row>
    <row r="53" spans="1:32" ht="15" customHeight="1">
      <c r="A53" s="3">
        <v>46</v>
      </c>
      <c r="B53" s="8" t="s">
        <v>71</v>
      </c>
      <c r="C53" s="23" t="s">
        <v>149</v>
      </c>
      <c r="D53" s="41">
        <f t="shared" si="2"/>
        <v>243.43196631046703</v>
      </c>
      <c r="E53" s="57"/>
      <c r="F53" s="58">
        <v>149.84828897133468</v>
      </c>
      <c r="G53" s="57"/>
      <c r="H53" s="58">
        <v>26.955270946025848</v>
      </c>
      <c r="I53" s="58">
        <v>25.782001903533935</v>
      </c>
      <c r="J53" s="45">
        <v>40.846404489572564</v>
      </c>
      <c r="K53" s="13"/>
      <c r="L53" s="57"/>
      <c r="M53" s="57"/>
      <c r="N53" s="57"/>
      <c r="O53" s="57"/>
      <c r="P53" s="57"/>
      <c r="Q53" s="45" t="s">
        <v>160</v>
      </c>
      <c r="R53" s="13"/>
      <c r="S53" s="57"/>
      <c r="T53" s="58">
        <v>18.752999871969223</v>
      </c>
      <c r="U53" s="57"/>
      <c r="V53" s="58">
        <v>17.431999921798706</v>
      </c>
      <c r="W53" s="58">
        <v>52.851999878883362</v>
      </c>
      <c r="X53" s="58">
        <v>255.43399552255869</v>
      </c>
      <c r="Y53" s="27"/>
      <c r="Z53" s="57"/>
      <c r="AA53" s="57"/>
      <c r="AB53" s="57"/>
      <c r="AC53" s="57"/>
      <c r="AD53" s="57"/>
      <c r="AE53" s="57"/>
      <c r="AF53" s="41">
        <f t="shared" si="3"/>
        <v>344.47099519520998</v>
      </c>
    </row>
    <row r="54" spans="1:32" ht="15" customHeight="1">
      <c r="A54" s="3">
        <v>47</v>
      </c>
      <c r="B54" s="8" t="s">
        <v>72</v>
      </c>
      <c r="C54" s="23" t="s">
        <v>150</v>
      </c>
      <c r="D54" s="41">
        <f t="shared" si="2"/>
        <v>3526.4898392362065</v>
      </c>
      <c r="E54" s="58">
        <v>900.9965911684036</v>
      </c>
      <c r="F54" s="58">
        <v>410.57259432613847</v>
      </c>
      <c r="G54" s="58">
        <v>56.340265723228455</v>
      </c>
      <c r="H54" s="58">
        <v>251.35109172224998</v>
      </c>
      <c r="I54" s="58">
        <v>130.78243993604184</v>
      </c>
      <c r="J54" s="45">
        <v>180.4410871614235</v>
      </c>
      <c r="K54" s="13"/>
      <c r="L54" s="58">
        <v>163.73855468010902</v>
      </c>
      <c r="M54" s="58">
        <v>24.506275957584382</v>
      </c>
      <c r="N54" s="58">
        <v>557.72286070275311</v>
      </c>
      <c r="O54" s="58">
        <v>529.40314756865803</v>
      </c>
      <c r="P54" s="58">
        <v>116.62229661679268</v>
      </c>
      <c r="Q54" s="45">
        <v>204.01263367282374</v>
      </c>
      <c r="R54" s="13"/>
      <c r="S54" s="58">
        <v>21.571000099182129</v>
      </c>
      <c r="T54" s="58">
        <v>37.768999993801117</v>
      </c>
      <c r="U54" s="58">
        <v>9.7049999237060547</v>
      </c>
      <c r="V54" s="58">
        <v>83.937000632286072</v>
      </c>
      <c r="W54" s="58">
        <v>110.99700087308884</v>
      </c>
      <c r="X54" s="58">
        <v>650.38801833987236</v>
      </c>
      <c r="Y54" s="27"/>
      <c r="Z54" s="58">
        <v>3.0759999752044678</v>
      </c>
      <c r="AA54" s="58">
        <v>1.1019999980926514</v>
      </c>
      <c r="AB54" s="58">
        <v>24.065000057220459</v>
      </c>
      <c r="AC54" s="58">
        <v>51.017999969422817</v>
      </c>
      <c r="AD54" s="58">
        <v>35.246999800205231</v>
      </c>
      <c r="AE54" s="58">
        <v>385.76299688220024</v>
      </c>
      <c r="AF54" s="41">
        <f t="shared" si="3"/>
        <v>1414.6380165442824</v>
      </c>
    </row>
    <row r="55" spans="1:32" ht="15" customHeight="1">
      <c r="A55" s="3">
        <v>48</v>
      </c>
      <c r="B55" s="8" t="s">
        <v>73</v>
      </c>
      <c r="C55" s="23" t="s">
        <v>149</v>
      </c>
      <c r="D55" s="41">
        <f t="shared" si="2"/>
        <v>741.87341627188846</v>
      </c>
      <c r="E55" s="57"/>
      <c r="F55" s="58">
        <v>231.47550035576523</v>
      </c>
      <c r="G55" s="58">
        <v>152.54406045122445</v>
      </c>
      <c r="H55" s="58">
        <v>141.73064898661525</v>
      </c>
      <c r="I55" s="58">
        <v>101.71496162551641</v>
      </c>
      <c r="J55" s="45">
        <v>114.40824485276707</v>
      </c>
      <c r="K55" s="13"/>
      <c r="L55" s="57"/>
      <c r="M55" s="57"/>
      <c r="N55" s="57"/>
      <c r="O55" s="57"/>
      <c r="P55" s="57"/>
      <c r="Q55" s="45" t="s">
        <v>160</v>
      </c>
      <c r="R55" s="13"/>
      <c r="S55" s="57"/>
      <c r="T55" s="58">
        <v>39.181999124586582</v>
      </c>
      <c r="U55" s="58">
        <v>37.897000178694725</v>
      </c>
      <c r="V55" s="58">
        <v>59.816001925617456</v>
      </c>
      <c r="W55" s="58">
        <v>77.517000094056129</v>
      </c>
      <c r="X55" s="58">
        <v>385.55399975925684</v>
      </c>
      <c r="Y55" s="27"/>
      <c r="Z55" s="57"/>
      <c r="AA55" s="57"/>
      <c r="AB55" s="57"/>
      <c r="AC55" s="57"/>
      <c r="AD55" s="57"/>
      <c r="AE55" s="57"/>
      <c r="AF55" s="41">
        <f t="shared" si="3"/>
        <v>599.96600108221173</v>
      </c>
    </row>
    <row r="56" spans="1:32" ht="15" customHeight="1">
      <c r="A56" s="3">
        <v>49</v>
      </c>
      <c r="B56" s="8" t="s">
        <v>74</v>
      </c>
      <c r="C56" s="23" t="s">
        <v>150</v>
      </c>
      <c r="D56" s="41">
        <f t="shared" si="2"/>
        <v>373.13449263782832</v>
      </c>
      <c r="E56" s="57"/>
      <c r="F56" s="58">
        <v>61.539617724135518</v>
      </c>
      <c r="G56" s="58">
        <v>56.98282095551491</v>
      </c>
      <c r="H56" s="58">
        <v>71.866309578567737</v>
      </c>
      <c r="I56" s="58">
        <v>42.378090723037722</v>
      </c>
      <c r="J56" s="45">
        <v>58.236707235508831</v>
      </c>
      <c r="K56" s="13"/>
      <c r="L56" s="57"/>
      <c r="M56" s="57"/>
      <c r="N56" s="58">
        <v>28.873906830906868</v>
      </c>
      <c r="O56" s="58">
        <v>19.657298831820487</v>
      </c>
      <c r="P56" s="58">
        <v>18.776820234656334</v>
      </c>
      <c r="Q56" s="45">
        <v>14.822920523679885</v>
      </c>
      <c r="R56" s="13"/>
      <c r="S56" s="57"/>
      <c r="T56" s="58">
        <v>16.966999605298042</v>
      </c>
      <c r="U56" s="58">
        <v>9.16100013256073</v>
      </c>
      <c r="V56" s="58">
        <v>39.180000469088554</v>
      </c>
      <c r="W56" s="58">
        <v>71.814999520778656</v>
      </c>
      <c r="X56" s="58">
        <v>323.34699200186878</v>
      </c>
      <c r="Y56" s="27"/>
      <c r="Z56" s="57"/>
      <c r="AA56" s="57"/>
      <c r="AB56" s="58">
        <v>2.4490000531077385</v>
      </c>
      <c r="AC56" s="58">
        <v>3.4119999706745148</v>
      </c>
      <c r="AD56" s="58">
        <v>6.2310000583529472</v>
      </c>
      <c r="AE56" s="58">
        <v>29.714000642299652</v>
      </c>
      <c r="AF56" s="41">
        <f t="shared" si="3"/>
        <v>502.27599245402962</v>
      </c>
    </row>
    <row r="57" spans="1:32" ht="15" customHeight="1">
      <c r="A57" s="3">
        <v>50</v>
      </c>
      <c r="B57" s="8" t="s">
        <v>75</v>
      </c>
      <c r="C57" s="23" t="s">
        <v>149</v>
      </c>
      <c r="D57" s="41">
        <f t="shared" si="2"/>
        <v>1076.9193794485493</v>
      </c>
      <c r="E57" s="58">
        <v>717.20723023509981</v>
      </c>
      <c r="F57" s="57"/>
      <c r="G57" s="57"/>
      <c r="H57" s="58">
        <v>238.08641719704866</v>
      </c>
      <c r="I57" s="58">
        <v>48.2391669331938</v>
      </c>
      <c r="J57" s="45">
        <v>73.386565083207088</v>
      </c>
      <c r="K57" s="13"/>
      <c r="L57" s="57"/>
      <c r="M57" s="57"/>
      <c r="N57" s="57"/>
      <c r="O57" s="57"/>
      <c r="P57" s="57"/>
      <c r="Q57" s="45" t="s">
        <v>160</v>
      </c>
      <c r="R57" s="13"/>
      <c r="S57" s="58">
        <v>20.665999889373779</v>
      </c>
      <c r="T57" s="57"/>
      <c r="U57" s="57"/>
      <c r="V57" s="58">
        <v>113.73399945348501</v>
      </c>
      <c r="W57" s="58">
        <v>112.01800023019314</v>
      </c>
      <c r="X57" s="58">
        <v>496.10101074725389</v>
      </c>
      <c r="Y57" s="27"/>
      <c r="Z57" s="57"/>
      <c r="AA57" s="57"/>
      <c r="AB57" s="57"/>
      <c r="AC57" s="57"/>
      <c r="AD57" s="57"/>
      <c r="AE57" s="57"/>
      <c r="AF57" s="41">
        <f t="shared" si="3"/>
        <v>742.51901032030582</v>
      </c>
    </row>
    <row r="58" spans="1:32" ht="15" customHeight="1">
      <c r="A58" s="3">
        <v>51</v>
      </c>
      <c r="B58" s="8" t="s">
        <v>76</v>
      </c>
      <c r="C58" s="23" t="s">
        <v>151</v>
      </c>
      <c r="D58" s="41">
        <f t="shared" si="2"/>
        <v>1369.5633807776253</v>
      </c>
      <c r="E58" s="57"/>
      <c r="F58" s="58">
        <v>298.04024064147472</v>
      </c>
      <c r="G58" s="58">
        <v>101.95454808717966</v>
      </c>
      <c r="H58" s="58">
        <v>88.979657711923124</v>
      </c>
      <c r="I58" s="58">
        <v>52.255865250527862</v>
      </c>
      <c r="J58" s="45">
        <v>93.980557929344386</v>
      </c>
      <c r="K58" s="13"/>
      <c r="L58" s="57"/>
      <c r="M58" s="58">
        <v>105.41429205584527</v>
      </c>
      <c r="N58" s="58">
        <v>420.3090235928297</v>
      </c>
      <c r="O58" s="58">
        <v>109.39928400565684</v>
      </c>
      <c r="P58" s="58">
        <v>38.126920254811644</v>
      </c>
      <c r="Q58" s="45">
        <v>61.102991248032033</v>
      </c>
      <c r="R58" s="13"/>
      <c r="S58" s="57"/>
      <c r="T58" s="58">
        <v>34.055000841617584</v>
      </c>
      <c r="U58" s="58">
        <v>24.066000312566757</v>
      </c>
      <c r="V58" s="58">
        <v>29.076000183820724</v>
      </c>
      <c r="W58" s="58">
        <v>77.497999280691147</v>
      </c>
      <c r="X58" s="58">
        <v>480.09000147134066</v>
      </c>
      <c r="Y58" s="27"/>
      <c r="Z58" s="57"/>
      <c r="AA58" s="58">
        <v>4.4579999446868896</v>
      </c>
      <c r="AB58" s="58">
        <v>21.775000095367432</v>
      </c>
      <c r="AC58" s="58">
        <v>18.720999993383884</v>
      </c>
      <c r="AD58" s="58">
        <v>14.043000116944313</v>
      </c>
      <c r="AE58" s="58">
        <v>130.73400104790926</v>
      </c>
      <c r="AF58" s="41">
        <f t="shared" si="3"/>
        <v>834.51600328832865</v>
      </c>
    </row>
    <row r="59" spans="1:32" ht="15" customHeight="1">
      <c r="A59" s="3">
        <v>52</v>
      </c>
      <c r="B59" s="8" t="s">
        <v>77</v>
      </c>
      <c r="C59" s="23" t="s">
        <v>149</v>
      </c>
      <c r="D59" s="41">
        <f t="shared" si="2"/>
        <v>772.62138648841596</v>
      </c>
      <c r="E59" s="58">
        <v>463.73212990283969</v>
      </c>
      <c r="F59" s="57"/>
      <c r="G59" s="58">
        <v>100.34363490052149</v>
      </c>
      <c r="H59" s="58">
        <v>108.83391309273243</v>
      </c>
      <c r="I59" s="58">
        <v>53.940996641442183</v>
      </c>
      <c r="J59" s="45">
        <v>45.770711950880084</v>
      </c>
      <c r="K59" s="13"/>
      <c r="L59" s="57"/>
      <c r="M59" s="57"/>
      <c r="N59" s="57"/>
      <c r="O59" s="57"/>
      <c r="P59" s="57"/>
      <c r="Q59" s="45" t="s">
        <v>160</v>
      </c>
      <c r="R59" s="13"/>
      <c r="S59" s="58">
        <v>13.358999967575073</v>
      </c>
      <c r="T59" s="57"/>
      <c r="U59" s="58">
        <v>29.564999936148524</v>
      </c>
      <c r="V59" s="58">
        <v>51.885000616312027</v>
      </c>
      <c r="W59" s="58">
        <v>98.241999551653862</v>
      </c>
      <c r="X59" s="58">
        <v>265.83900490403175</v>
      </c>
      <c r="Y59" s="27"/>
      <c r="Z59" s="57"/>
      <c r="AA59" s="57"/>
      <c r="AB59" s="57"/>
      <c r="AC59" s="57"/>
      <c r="AD59" s="57"/>
      <c r="AE59" s="57"/>
      <c r="AF59" s="41">
        <f t="shared" si="3"/>
        <v>458.89000497572124</v>
      </c>
    </row>
    <row r="60" spans="1:32" ht="15" customHeight="1">
      <c r="A60" s="3">
        <v>53</v>
      </c>
      <c r="B60" s="8" t="s">
        <v>78</v>
      </c>
      <c r="C60" s="23" t="s">
        <v>149</v>
      </c>
      <c r="D60" s="41">
        <f t="shared" si="2"/>
        <v>170.33323995347891</v>
      </c>
      <c r="E60" s="57"/>
      <c r="F60" s="58">
        <v>72.155554712295526</v>
      </c>
      <c r="G60" s="58">
        <v>7.6328371040523049</v>
      </c>
      <c r="H60" s="58">
        <v>48.874502223253252</v>
      </c>
      <c r="I60" s="58">
        <v>12.162827056899667</v>
      </c>
      <c r="J60" s="45">
        <v>29.50751885697818</v>
      </c>
      <c r="K60" s="13"/>
      <c r="L60" s="57"/>
      <c r="M60" s="57"/>
      <c r="N60" s="57"/>
      <c r="O60" s="57"/>
      <c r="P60" s="57"/>
      <c r="Q60" s="45" t="s">
        <v>160</v>
      </c>
      <c r="R60" s="13"/>
      <c r="S60" s="57"/>
      <c r="T60" s="58">
        <v>20.013000249862671</v>
      </c>
      <c r="U60" s="58">
        <v>18.377000361680984</v>
      </c>
      <c r="V60" s="58">
        <v>46.561000466346741</v>
      </c>
      <c r="W60" s="58">
        <v>48.856000427156687</v>
      </c>
      <c r="X60" s="58">
        <v>280.92199721932411</v>
      </c>
      <c r="Y60" s="27"/>
      <c r="Z60" s="57"/>
      <c r="AA60" s="57"/>
      <c r="AB60" s="57"/>
      <c r="AC60" s="57"/>
      <c r="AD60" s="57"/>
      <c r="AE60" s="57"/>
      <c r="AF60" s="41">
        <f t="shared" si="3"/>
        <v>414.72899872437119</v>
      </c>
    </row>
    <row r="61" spans="1:32" ht="15" customHeight="1">
      <c r="A61" s="3">
        <v>54</v>
      </c>
      <c r="B61" s="8" t="s">
        <v>79</v>
      </c>
      <c r="C61" s="23" t="s">
        <v>150</v>
      </c>
      <c r="D61" s="41">
        <f t="shared" si="2"/>
        <v>1627.7599374389579</v>
      </c>
      <c r="E61" s="57"/>
      <c r="F61" s="58">
        <v>596.53857628440858</v>
      </c>
      <c r="G61" s="58">
        <v>89.879917657785114</v>
      </c>
      <c r="H61" s="58">
        <v>255.67712072514371</v>
      </c>
      <c r="I61" s="58">
        <v>104.43900405407697</v>
      </c>
      <c r="J61" s="45">
        <v>159.0685661618881</v>
      </c>
      <c r="K61" s="13"/>
      <c r="L61" s="57"/>
      <c r="M61" s="58">
        <v>50.661600780487063</v>
      </c>
      <c r="N61" s="57"/>
      <c r="O61" s="58">
        <v>221.50070877621323</v>
      </c>
      <c r="P61" s="58">
        <v>74.297229939788579</v>
      </c>
      <c r="Q61" s="45">
        <v>75.697213059166614</v>
      </c>
      <c r="R61" s="13"/>
      <c r="S61" s="57"/>
      <c r="T61" s="58">
        <v>46.648999154567719</v>
      </c>
      <c r="U61" s="58">
        <v>15.266000121831894</v>
      </c>
      <c r="V61" s="58">
        <v>93.298999458551407</v>
      </c>
      <c r="W61" s="58">
        <v>100.30600072816014</v>
      </c>
      <c r="X61" s="58">
        <v>619.40500909090042</v>
      </c>
      <c r="Y61" s="27"/>
      <c r="Z61" s="57"/>
      <c r="AA61" s="58">
        <v>1.9190000295639038</v>
      </c>
      <c r="AB61" s="57"/>
      <c r="AC61" s="58">
        <v>18.078000131994486</v>
      </c>
      <c r="AD61" s="58">
        <v>18.061999969184399</v>
      </c>
      <c r="AE61" s="58">
        <v>124.93099817633629</v>
      </c>
      <c r="AF61" s="41">
        <f t="shared" si="3"/>
        <v>1037.9150068610907</v>
      </c>
    </row>
    <row r="62" spans="1:32" ht="15" customHeight="1">
      <c r="A62" s="3">
        <v>55</v>
      </c>
      <c r="B62" s="8" t="s">
        <v>80</v>
      </c>
      <c r="C62" s="23" t="s">
        <v>149</v>
      </c>
      <c r="D62" s="41">
        <f t="shared" si="2"/>
        <v>288.34015595012102</v>
      </c>
      <c r="E62" s="57"/>
      <c r="F62" s="57"/>
      <c r="G62" s="58">
        <v>152.08556588876993</v>
      </c>
      <c r="H62" s="58">
        <v>37.232726885568347</v>
      </c>
      <c r="I62" s="58">
        <v>34.113767860129478</v>
      </c>
      <c r="J62" s="45">
        <v>64.908095315653256</v>
      </c>
      <c r="K62" s="13"/>
      <c r="L62" s="57"/>
      <c r="M62" s="57"/>
      <c r="N62" s="57"/>
      <c r="O62" s="57"/>
      <c r="P62" s="57"/>
      <c r="Q62" s="45" t="s">
        <v>160</v>
      </c>
      <c r="R62" s="13"/>
      <c r="S62" s="57"/>
      <c r="T62" s="57"/>
      <c r="U62" s="58">
        <v>42.107999905943871</v>
      </c>
      <c r="V62" s="58">
        <v>33.358000375330448</v>
      </c>
      <c r="W62" s="58">
        <v>93.38299997150898</v>
      </c>
      <c r="X62" s="58">
        <v>486.28900330513716</v>
      </c>
      <c r="Y62" s="27"/>
      <c r="Z62" s="57"/>
      <c r="AA62" s="57"/>
      <c r="AB62" s="57"/>
      <c r="AC62" s="57"/>
      <c r="AD62" s="57"/>
      <c r="AE62" s="57"/>
      <c r="AF62" s="41">
        <f t="shared" si="3"/>
        <v>655.13800355792046</v>
      </c>
    </row>
    <row r="63" spans="1:32" ht="15" customHeight="1">
      <c r="A63" s="3">
        <v>56</v>
      </c>
      <c r="B63" s="8" t="s">
        <v>81</v>
      </c>
      <c r="C63" s="23" t="s">
        <v>151</v>
      </c>
      <c r="D63" s="41">
        <f t="shared" si="2"/>
        <v>19583.379026500392</v>
      </c>
      <c r="E63" s="58">
        <v>273.62680777311323</v>
      </c>
      <c r="F63" s="58">
        <v>127.42600046613812</v>
      </c>
      <c r="G63" s="58">
        <v>111.4705207902342</v>
      </c>
      <c r="H63" s="58">
        <v>1.1773800593614578</v>
      </c>
      <c r="I63" s="58">
        <v>15.68639697691612</v>
      </c>
      <c r="J63" s="45">
        <v>48.074904567565909</v>
      </c>
      <c r="K63" s="13"/>
      <c r="L63" s="58">
        <v>8620.0892891993826</v>
      </c>
      <c r="M63" s="58">
        <v>507.60964852333069</v>
      </c>
      <c r="N63" s="58">
        <v>4233.5175627368444</v>
      </c>
      <c r="O63" s="58">
        <v>2364.9292632240745</v>
      </c>
      <c r="P63" s="58">
        <v>1350.6360125709959</v>
      </c>
      <c r="Q63" s="45">
        <v>1929.1352396124389</v>
      </c>
      <c r="R63" s="13"/>
      <c r="S63" s="58">
        <v>5.0860001444816589</v>
      </c>
      <c r="T63" s="58">
        <v>4.8780000284314156</v>
      </c>
      <c r="U63" s="58">
        <v>7.7460000421851873</v>
      </c>
      <c r="V63" s="58">
        <v>0.55800002813339233</v>
      </c>
      <c r="W63" s="58">
        <v>9.6659999256953597</v>
      </c>
      <c r="X63" s="58">
        <v>141.86799991130829</v>
      </c>
      <c r="Y63" s="27"/>
      <c r="Z63" s="58">
        <v>91.745000123977661</v>
      </c>
      <c r="AA63" s="58">
        <v>12.528999924659729</v>
      </c>
      <c r="AB63" s="58">
        <v>178.41700010548811</v>
      </c>
      <c r="AC63" s="58">
        <v>206.78700001374818</v>
      </c>
      <c r="AD63" s="58">
        <v>226.10899973940104</v>
      </c>
      <c r="AE63" s="58">
        <v>2521.8940635230392</v>
      </c>
      <c r="AF63" s="41">
        <f t="shared" si="3"/>
        <v>3407.2830635105493</v>
      </c>
    </row>
    <row r="64" spans="1:32" ht="15" customHeight="1">
      <c r="A64" s="3">
        <v>57</v>
      </c>
      <c r="B64" s="8" t="s">
        <v>82</v>
      </c>
      <c r="C64" s="23" t="s">
        <v>157</v>
      </c>
      <c r="D64" s="41">
        <f t="shared" si="2"/>
        <v>1011.9862901735671</v>
      </c>
      <c r="E64" s="57"/>
      <c r="F64" s="58">
        <v>207.82948188638687</v>
      </c>
      <c r="G64" s="58">
        <v>92.249270055890079</v>
      </c>
      <c r="H64" s="58">
        <v>84.408808934770519</v>
      </c>
      <c r="I64" s="58">
        <v>61.818685420695694</v>
      </c>
      <c r="J64" s="45">
        <v>52.315061210404444</v>
      </c>
      <c r="K64" s="13"/>
      <c r="L64" s="57"/>
      <c r="M64" s="57"/>
      <c r="N64" s="58">
        <v>252.09331231976302</v>
      </c>
      <c r="O64" s="58">
        <v>130.89099581988157</v>
      </c>
      <c r="P64" s="58">
        <v>45.339689333084969</v>
      </c>
      <c r="Q64" s="45">
        <v>85.040985192689959</v>
      </c>
      <c r="R64" s="13"/>
      <c r="S64" s="57"/>
      <c r="T64" s="58">
        <v>8.5430001020431519</v>
      </c>
      <c r="U64" s="58">
        <v>11.469999954104424</v>
      </c>
      <c r="V64" s="58">
        <v>25.721999831497669</v>
      </c>
      <c r="W64" s="58">
        <v>51.82700059004128</v>
      </c>
      <c r="X64" s="58">
        <v>187.12700337916613</v>
      </c>
      <c r="Y64" s="27"/>
      <c r="Z64" s="57"/>
      <c r="AA64" s="57"/>
      <c r="AB64" s="58">
        <v>7.859999880194664</v>
      </c>
      <c r="AC64" s="58">
        <v>12.256000064313412</v>
      </c>
      <c r="AD64" s="58">
        <v>9.8279999028891325</v>
      </c>
      <c r="AE64" s="58">
        <v>130.64699691534042</v>
      </c>
      <c r="AF64" s="41">
        <f t="shared" si="3"/>
        <v>445.28000061959028</v>
      </c>
    </row>
    <row r="65" spans="1:32" ht="15" customHeight="1">
      <c r="A65" s="3">
        <v>58</v>
      </c>
      <c r="B65" s="8" t="s">
        <v>83</v>
      </c>
      <c r="C65" s="23" t="s">
        <v>149</v>
      </c>
      <c r="D65" s="41">
        <f t="shared" si="2"/>
        <v>627.41868189220486</v>
      </c>
      <c r="E65" s="57"/>
      <c r="F65" s="58">
        <v>273.87198743009566</v>
      </c>
      <c r="G65" s="58">
        <v>78.596528620719909</v>
      </c>
      <c r="H65" s="58">
        <v>150.70044590860604</v>
      </c>
      <c r="I65" s="58">
        <v>57.910450862824916</v>
      </c>
      <c r="J65" s="45">
        <v>66.339269069958348</v>
      </c>
      <c r="K65" s="13"/>
      <c r="L65" s="57"/>
      <c r="M65" s="57"/>
      <c r="N65" s="57"/>
      <c r="O65" s="57"/>
      <c r="P65" s="57"/>
      <c r="Q65" s="45" t="s">
        <v>160</v>
      </c>
      <c r="R65" s="13"/>
      <c r="S65" s="57"/>
      <c r="T65" s="58">
        <v>29.315000861883163</v>
      </c>
      <c r="U65" s="58">
        <v>9.5619998276233673</v>
      </c>
      <c r="V65" s="58">
        <v>49.248999565839767</v>
      </c>
      <c r="W65" s="58">
        <v>83.97699972987175</v>
      </c>
      <c r="X65" s="58">
        <v>334.1659924313426</v>
      </c>
      <c r="Y65" s="27"/>
      <c r="Z65" s="57"/>
      <c r="AA65" s="57"/>
      <c r="AB65" s="57"/>
      <c r="AC65" s="57"/>
      <c r="AD65" s="57"/>
      <c r="AE65" s="57"/>
      <c r="AF65" s="41">
        <f t="shared" si="3"/>
        <v>506.26899241656065</v>
      </c>
    </row>
    <row r="66" spans="1:32" ht="15" customHeight="1">
      <c r="A66" s="3">
        <v>59</v>
      </c>
      <c r="B66" s="8" t="s">
        <v>84</v>
      </c>
      <c r="C66" s="23" t="s">
        <v>151</v>
      </c>
      <c r="D66" s="41">
        <f t="shared" si="2"/>
        <v>4157.9840395976407</v>
      </c>
      <c r="E66" s="58">
        <v>166.7400062084198</v>
      </c>
      <c r="F66" s="57"/>
      <c r="G66" s="57"/>
      <c r="H66" s="58">
        <v>102.12461142623424</v>
      </c>
      <c r="I66" s="58">
        <v>10.220310035943985</v>
      </c>
      <c r="J66" s="45">
        <v>17.437589125412007</v>
      </c>
      <c r="K66" s="13"/>
      <c r="L66" s="58">
        <v>2248.476432617128</v>
      </c>
      <c r="M66" s="57"/>
      <c r="N66" s="58">
        <v>507.74263109023872</v>
      </c>
      <c r="O66" s="58">
        <v>475.57201577946546</v>
      </c>
      <c r="P66" s="58">
        <v>298.9570805163309</v>
      </c>
      <c r="Q66" s="45">
        <v>330.71336279846821</v>
      </c>
      <c r="R66" s="13"/>
      <c r="S66" s="58">
        <v>3.1760001182556152</v>
      </c>
      <c r="T66" s="57"/>
      <c r="U66" s="57"/>
      <c r="V66" s="58">
        <v>37.502999782562256</v>
      </c>
      <c r="W66" s="58">
        <v>16.434000015258789</v>
      </c>
      <c r="X66" s="58">
        <v>93.694999039173126</v>
      </c>
      <c r="Y66" s="27"/>
      <c r="Z66" s="58">
        <v>16.248000256717205</v>
      </c>
      <c r="AA66" s="57"/>
      <c r="AB66" s="58">
        <v>31.973999910056591</v>
      </c>
      <c r="AC66" s="58">
        <v>39.430000070482492</v>
      </c>
      <c r="AD66" s="58">
        <v>65.031999252736568</v>
      </c>
      <c r="AE66" s="58">
        <v>509.19000716507435</v>
      </c>
      <c r="AF66" s="41">
        <f t="shared" si="3"/>
        <v>812.68200561031699</v>
      </c>
    </row>
    <row r="67" spans="1:32" ht="15" customHeight="1">
      <c r="A67" s="3">
        <v>60</v>
      </c>
      <c r="B67" s="8" t="s">
        <v>85</v>
      </c>
      <c r="C67" s="23" t="s">
        <v>149</v>
      </c>
      <c r="D67" s="41">
        <f t="shared" si="2"/>
        <v>544.78665411452107</v>
      </c>
      <c r="E67" s="57"/>
      <c r="F67" s="58">
        <v>210.06889186024665</v>
      </c>
      <c r="G67" s="58">
        <v>76.617180272877221</v>
      </c>
      <c r="H67" s="58">
        <v>138.6148873358369</v>
      </c>
      <c r="I67" s="58">
        <v>66.307613119959825</v>
      </c>
      <c r="J67" s="45">
        <v>53.178081525600476</v>
      </c>
      <c r="K67" s="13"/>
      <c r="L67" s="57"/>
      <c r="M67" s="57"/>
      <c r="N67" s="57"/>
      <c r="O67" s="57"/>
      <c r="P67" s="57"/>
      <c r="Q67" s="45" t="s">
        <v>160</v>
      </c>
      <c r="R67" s="13"/>
      <c r="S67" s="57"/>
      <c r="T67" s="58">
        <v>29.422000288963318</v>
      </c>
      <c r="U67" s="58">
        <v>12.467999681830406</v>
      </c>
      <c r="V67" s="58">
        <v>69.541000694036484</v>
      </c>
      <c r="W67" s="58">
        <v>88.344000041484833</v>
      </c>
      <c r="X67" s="58">
        <v>254.06099918484688</v>
      </c>
      <c r="Y67" s="27"/>
      <c r="Z67" s="57"/>
      <c r="AA67" s="57"/>
      <c r="AB67" s="57"/>
      <c r="AC67" s="57"/>
      <c r="AD67" s="57"/>
      <c r="AE67" s="57"/>
      <c r="AF67" s="41">
        <f t="shared" si="3"/>
        <v>453.83599989116192</v>
      </c>
    </row>
    <row r="68" spans="1:32" ht="15" customHeight="1">
      <c r="A68" s="3">
        <v>61</v>
      </c>
      <c r="B68" s="8" t="s">
        <v>86</v>
      </c>
      <c r="C68" s="23" t="s">
        <v>150</v>
      </c>
      <c r="D68" s="41">
        <f t="shared" si="2"/>
        <v>856.30321746997959</v>
      </c>
      <c r="E68" s="57"/>
      <c r="F68" s="58">
        <v>458.37006890964506</v>
      </c>
      <c r="G68" s="57"/>
      <c r="H68" s="58">
        <v>112.93415546227247</v>
      </c>
      <c r="I68" s="58">
        <v>105.11164320975541</v>
      </c>
      <c r="J68" s="45">
        <v>142.93535903118214</v>
      </c>
      <c r="K68" s="13"/>
      <c r="L68" s="57"/>
      <c r="M68" s="57"/>
      <c r="N68" s="58">
        <v>11.969499796628952</v>
      </c>
      <c r="O68" s="58">
        <v>16.57896007820964</v>
      </c>
      <c r="P68" s="58">
        <v>4.3011380717903371</v>
      </c>
      <c r="Q68" s="45">
        <v>4.1023929104956256</v>
      </c>
      <c r="R68" s="13"/>
      <c r="S68" s="57"/>
      <c r="T68" s="58">
        <v>29.559999942779541</v>
      </c>
      <c r="U68" s="57"/>
      <c r="V68" s="58">
        <v>54.413999684154987</v>
      </c>
      <c r="W68" s="58">
        <v>96.780000790953636</v>
      </c>
      <c r="X68" s="58">
        <v>542.09801376610994</v>
      </c>
      <c r="Y68" s="27"/>
      <c r="Z68" s="57"/>
      <c r="AA68" s="57"/>
      <c r="AB68" s="58">
        <v>0.54699999094009399</v>
      </c>
      <c r="AC68" s="58">
        <v>1.3130000084638596</v>
      </c>
      <c r="AD68" s="58">
        <v>2.42900001257658</v>
      </c>
      <c r="AE68" s="58">
        <v>11.464000225067139</v>
      </c>
      <c r="AF68" s="41">
        <f t="shared" si="3"/>
        <v>738.60501442104578</v>
      </c>
    </row>
    <row r="69" spans="1:32" ht="15" customHeight="1">
      <c r="A69" s="3">
        <v>62</v>
      </c>
      <c r="B69" s="8" t="s">
        <v>87</v>
      </c>
      <c r="C69" s="23" t="s">
        <v>149</v>
      </c>
      <c r="D69" s="41">
        <f t="shared" si="2"/>
        <v>513.53327878110736</v>
      </c>
      <c r="E69" s="58">
        <v>143.34411121845244</v>
      </c>
      <c r="F69" s="58">
        <v>120.01530022329092</v>
      </c>
      <c r="G69" s="58">
        <v>82.29451801528036</v>
      </c>
      <c r="H69" s="58">
        <v>79.425618175864216</v>
      </c>
      <c r="I69" s="58">
        <v>29.202609569251539</v>
      </c>
      <c r="J69" s="45">
        <v>59.251121578967961</v>
      </c>
      <c r="K69" s="13"/>
      <c r="L69" s="57"/>
      <c r="M69" s="57"/>
      <c r="N69" s="57"/>
      <c r="O69" s="57"/>
      <c r="P69" s="57"/>
      <c r="Q69" s="45" t="s">
        <v>160</v>
      </c>
      <c r="R69" s="13"/>
      <c r="S69" s="58">
        <v>4.0390000343322754</v>
      </c>
      <c r="T69" s="58">
        <v>16.254000216722488</v>
      </c>
      <c r="U69" s="58">
        <v>21.755999878048897</v>
      </c>
      <c r="V69" s="58">
        <v>37.751999780535698</v>
      </c>
      <c r="W69" s="58">
        <v>49.060999393463135</v>
      </c>
      <c r="X69" s="58">
        <v>327.20500399172306</v>
      </c>
      <c r="Y69" s="27"/>
      <c r="Z69" s="57"/>
      <c r="AA69" s="57"/>
      <c r="AB69" s="57"/>
      <c r="AC69" s="57"/>
      <c r="AD69" s="57"/>
      <c r="AE69" s="57"/>
      <c r="AF69" s="41">
        <f t="shared" si="3"/>
        <v>456.06700329482555</v>
      </c>
    </row>
    <row r="70" spans="1:32" ht="15" customHeight="1">
      <c r="A70" s="3">
        <v>63</v>
      </c>
      <c r="B70" s="8" t="s">
        <v>88</v>
      </c>
      <c r="C70" s="23" t="s">
        <v>150</v>
      </c>
      <c r="D70" s="41">
        <f t="shared" si="2"/>
        <v>2297.5319103062511</v>
      </c>
      <c r="E70" s="58">
        <v>700.12819026839736</v>
      </c>
      <c r="F70" s="58">
        <v>161.79640136241912</v>
      </c>
      <c r="G70" s="58">
        <v>59.911465529561042</v>
      </c>
      <c r="H70" s="58">
        <v>430.66452301126719</v>
      </c>
      <c r="I70" s="58">
        <v>104.48195752051473</v>
      </c>
      <c r="J70" s="45">
        <v>224.66306461570079</v>
      </c>
      <c r="K70" s="13"/>
      <c r="L70" s="58">
        <v>139.80829905271531</v>
      </c>
      <c r="M70" s="57"/>
      <c r="N70" s="58">
        <v>226.06521583789586</v>
      </c>
      <c r="O70" s="58">
        <v>177.57220112550257</v>
      </c>
      <c r="P70" s="58">
        <v>32.479153753966095</v>
      </c>
      <c r="Q70" s="45">
        <v>39.961438228310982</v>
      </c>
      <c r="R70" s="13"/>
      <c r="S70" s="58">
        <v>19.378000289201736</v>
      </c>
      <c r="T70" s="58">
        <v>16.228000104427338</v>
      </c>
      <c r="U70" s="58">
        <v>10.920000076293945</v>
      </c>
      <c r="V70" s="58">
        <v>89.417999729514122</v>
      </c>
      <c r="W70" s="58">
        <v>87.01899978518486</v>
      </c>
      <c r="X70" s="58">
        <v>800.29900033399463</v>
      </c>
      <c r="Y70" s="27"/>
      <c r="Z70" s="58">
        <v>3.4459999799728394</v>
      </c>
      <c r="AA70" s="57"/>
      <c r="AB70" s="58">
        <v>12.089999988675117</v>
      </c>
      <c r="AC70" s="58">
        <v>15.954999975860119</v>
      </c>
      <c r="AD70" s="58">
        <v>10.085999950766563</v>
      </c>
      <c r="AE70" s="58">
        <v>76.852998472750187</v>
      </c>
      <c r="AF70" s="41">
        <f t="shared" si="3"/>
        <v>1141.6919986866415</v>
      </c>
    </row>
    <row r="71" spans="1:32" ht="15" customHeight="1">
      <c r="A71" s="3">
        <v>64</v>
      </c>
      <c r="B71" s="8" t="s">
        <v>89</v>
      </c>
      <c r="C71" s="23" t="s">
        <v>149</v>
      </c>
      <c r="D71" s="41">
        <f t="shared" si="2"/>
        <v>557.2474680879734</v>
      </c>
      <c r="E71" s="57"/>
      <c r="F71" s="58">
        <v>313.47288781301677</v>
      </c>
      <c r="G71" s="58">
        <v>29.677938214838505</v>
      </c>
      <c r="H71" s="58">
        <v>124.8353474816978</v>
      </c>
      <c r="I71" s="58">
        <v>27.906199410766362</v>
      </c>
      <c r="J71" s="45">
        <v>61.355095167654021</v>
      </c>
      <c r="K71" s="13"/>
      <c r="L71" s="57"/>
      <c r="M71" s="57"/>
      <c r="N71" s="57"/>
      <c r="O71" s="57"/>
      <c r="P71" s="57"/>
      <c r="Q71" s="45" t="s">
        <v>160</v>
      </c>
      <c r="R71" s="13"/>
      <c r="S71" s="57"/>
      <c r="T71" s="58">
        <v>34.273999679833651</v>
      </c>
      <c r="U71" s="58">
        <v>4.6079999953508377</v>
      </c>
      <c r="V71" s="58">
        <v>97.208000702783465</v>
      </c>
      <c r="W71" s="58">
        <v>67.958000749349594</v>
      </c>
      <c r="X71" s="58">
        <v>427.27499985694885</v>
      </c>
      <c r="Y71" s="27"/>
      <c r="Z71" s="57"/>
      <c r="AA71" s="57"/>
      <c r="AB71" s="57"/>
      <c r="AC71" s="57"/>
      <c r="AD71" s="57"/>
      <c r="AE71" s="57"/>
      <c r="AF71" s="41">
        <f t="shared" si="3"/>
        <v>631.3230009842664</v>
      </c>
    </row>
    <row r="72" spans="1:32" ht="15" customHeight="1">
      <c r="A72" s="3">
        <v>65</v>
      </c>
      <c r="B72" s="8" t="s">
        <v>90</v>
      </c>
      <c r="C72" s="23" t="s">
        <v>149</v>
      </c>
      <c r="D72" s="41">
        <f t="shared" ref="D72:D103" si="4">SUM(E72:J72)+SUM(L72:Q72)</f>
        <v>184.78703944387334</v>
      </c>
      <c r="E72" s="57"/>
      <c r="F72" s="57"/>
      <c r="G72" s="58">
        <v>60.283906420931217</v>
      </c>
      <c r="H72" s="58">
        <v>55.059645149976014</v>
      </c>
      <c r="I72" s="58">
        <v>19.600392956674099</v>
      </c>
      <c r="J72" s="45">
        <v>49.84309491629201</v>
      </c>
      <c r="K72" s="13"/>
      <c r="L72" s="57"/>
      <c r="M72" s="57"/>
      <c r="N72" s="57"/>
      <c r="O72" s="57"/>
      <c r="P72" s="57"/>
      <c r="Q72" s="45" t="s">
        <v>160</v>
      </c>
      <c r="R72" s="13"/>
      <c r="S72" s="57"/>
      <c r="T72" s="57"/>
      <c r="U72" s="58">
        <v>14.845000192523003</v>
      </c>
      <c r="V72" s="58">
        <v>39.197999253869057</v>
      </c>
      <c r="W72" s="58">
        <v>47.784999966621399</v>
      </c>
      <c r="X72" s="58">
        <v>347.34901516139507</v>
      </c>
      <c r="Y72" s="27"/>
      <c r="Z72" s="57"/>
      <c r="AA72" s="57"/>
      <c r="AB72" s="57"/>
      <c r="AC72" s="57"/>
      <c r="AD72" s="57"/>
      <c r="AE72" s="57"/>
      <c r="AF72" s="41">
        <f t="shared" ref="AF72:AF103" si="5">SUM(S72:AE72)</f>
        <v>449.17701457440853</v>
      </c>
    </row>
    <row r="73" spans="1:32" ht="15" customHeight="1">
      <c r="A73" s="3">
        <v>66</v>
      </c>
      <c r="B73" s="8" t="s">
        <v>91</v>
      </c>
      <c r="C73" s="23" t="s">
        <v>149</v>
      </c>
      <c r="D73" s="41">
        <f t="shared" si="4"/>
        <v>360.95714115131864</v>
      </c>
      <c r="E73" s="57"/>
      <c r="F73" s="58">
        <v>80.764468088150025</v>
      </c>
      <c r="G73" s="58">
        <v>87.558638863086699</v>
      </c>
      <c r="H73" s="58">
        <v>94.237081873655313</v>
      </c>
      <c r="I73" s="58">
        <v>34.940731969475749</v>
      </c>
      <c r="J73" s="45">
        <v>63.456220356950858</v>
      </c>
      <c r="K73" s="13"/>
      <c r="L73" s="57"/>
      <c r="M73" s="57"/>
      <c r="N73" s="57"/>
      <c r="O73" s="57"/>
      <c r="P73" s="57"/>
      <c r="Q73" s="45" t="s">
        <v>160</v>
      </c>
      <c r="R73" s="13"/>
      <c r="S73" s="57"/>
      <c r="T73" s="58">
        <v>15.096999645233154</v>
      </c>
      <c r="U73" s="58">
        <v>26.036999970674515</v>
      </c>
      <c r="V73" s="58">
        <v>56.48300039768219</v>
      </c>
      <c r="W73" s="58">
        <v>63.98800028860569</v>
      </c>
      <c r="X73" s="58">
        <v>369.82601098716259</v>
      </c>
      <c r="Y73" s="27"/>
      <c r="Z73" s="57"/>
      <c r="AA73" s="57"/>
      <c r="AB73" s="57"/>
      <c r="AC73" s="57"/>
      <c r="AD73" s="57"/>
      <c r="AE73" s="57"/>
      <c r="AF73" s="41">
        <f t="shared" si="5"/>
        <v>531.43101128935814</v>
      </c>
    </row>
    <row r="74" spans="1:32" ht="15" customHeight="1">
      <c r="A74" s="3">
        <v>67</v>
      </c>
      <c r="B74" s="8" t="s">
        <v>92</v>
      </c>
      <c r="C74" s="23" t="s">
        <v>149</v>
      </c>
      <c r="D74" s="41">
        <f t="shared" si="4"/>
        <v>688.28576207280946</v>
      </c>
      <c r="E74" s="57"/>
      <c r="F74" s="58">
        <v>296.40517677813767</v>
      </c>
      <c r="G74" s="57"/>
      <c r="H74" s="58">
        <v>219.47820157061517</v>
      </c>
      <c r="I74" s="58">
        <v>60.676418773949145</v>
      </c>
      <c r="J74" s="45">
        <v>111.72596495010747</v>
      </c>
      <c r="K74" s="13"/>
      <c r="L74" s="57"/>
      <c r="M74" s="57"/>
      <c r="N74" s="57"/>
      <c r="O74" s="57"/>
      <c r="P74" s="57"/>
      <c r="Q74" s="45" t="s">
        <v>160</v>
      </c>
      <c r="R74" s="13"/>
      <c r="S74" s="57"/>
      <c r="T74" s="58">
        <v>46.571000218391418</v>
      </c>
      <c r="U74" s="57"/>
      <c r="V74" s="58">
        <v>97.566000699996948</v>
      </c>
      <c r="W74" s="58">
        <v>66.818999737501144</v>
      </c>
      <c r="X74" s="58">
        <v>473.87901350855827</v>
      </c>
      <c r="Y74" s="27"/>
      <c r="Z74" s="57"/>
      <c r="AA74" s="57"/>
      <c r="AB74" s="57"/>
      <c r="AC74" s="57"/>
      <c r="AD74" s="57"/>
      <c r="AE74" s="57"/>
      <c r="AF74" s="41">
        <f t="shared" si="5"/>
        <v>684.83501416444778</v>
      </c>
    </row>
    <row r="75" spans="1:32" ht="15" customHeight="1">
      <c r="A75" s="3">
        <v>68</v>
      </c>
      <c r="B75" s="8" t="s">
        <v>93</v>
      </c>
      <c r="C75" s="23" t="s">
        <v>149</v>
      </c>
      <c r="D75" s="41">
        <f t="shared" si="4"/>
        <v>409.91269110062865</v>
      </c>
      <c r="E75" s="57"/>
      <c r="F75" s="58">
        <v>192.97497842427344</v>
      </c>
      <c r="G75" s="58">
        <v>27.479190531671048</v>
      </c>
      <c r="H75" s="58">
        <v>74.807733418653726</v>
      </c>
      <c r="I75" s="58">
        <v>49.681353268526493</v>
      </c>
      <c r="J75" s="45">
        <v>64.969435457503977</v>
      </c>
      <c r="K75" s="13"/>
      <c r="L75" s="57"/>
      <c r="M75" s="57"/>
      <c r="N75" s="57"/>
      <c r="O75" s="57"/>
      <c r="P75" s="57"/>
      <c r="Q75" s="45" t="s">
        <v>160</v>
      </c>
      <c r="R75" s="13"/>
      <c r="S75" s="57"/>
      <c r="T75" s="58">
        <v>44.263999994844198</v>
      </c>
      <c r="U75" s="58">
        <v>8.4710001647472382</v>
      </c>
      <c r="V75" s="58">
        <v>54.275000263936818</v>
      </c>
      <c r="W75" s="58">
        <v>88.643000029027462</v>
      </c>
      <c r="X75" s="58">
        <v>372.53099685907364</v>
      </c>
      <c r="Y75" s="27"/>
      <c r="Z75" s="57"/>
      <c r="AA75" s="57"/>
      <c r="AB75" s="57"/>
      <c r="AC75" s="57"/>
      <c r="AD75" s="57"/>
      <c r="AE75" s="57"/>
      <c r="AF75" s="41">
        <f t="shared" si="5"/>
        <v>568.18399731162935</v>
      </c>
    </row>
    <row r="76" spans="1:32" ht="15" customHeight="1">
      <c r="A76" s="3">
        <v>69</v>
      </c>
      <c r="B76" s="8" t="s">
        <v>94</v>
      </c>
      <c r="C76" s="23" t="s">
        <v>149</v>
      </c>
      <c r="D76" s="41">
        <f t="shared" si="4"/>
        <v>681.6880295814442</v>
      </c>
      <c r="E76" s="57"/>
      <c r="F76" s="58">
        <v>371.09225569021703</v>
      </c>
      <c r="G76" s="58">
        <v>61.234888619482518</v>
      </c>
      <c r="H76" s="58">
        <v>67.291884212002159</v>
      </c>
      <c r="I76" s="58">
        <v>84.526183774411678</v>
      </c>
      <c r="J76" s="45">
        <v>97.542817285330784</v>
      </c>
      <c r="K76" s="13"/>
      <c r="L76" s="57"/>
      <c r="M76" s="57"/>
      <c r="N76" s="57"/>
      <c r="O76" s="57"/>
      <c r="P76" s="57"/>
      <c r="Q76" s="45" t="s">
        <v>160</v>
      </c>
      <c r="R76" s="13"/>
      <c r="S76" s="57"/>
      <c r="T76" s="58">
        <v>38.13500027358532</v>
      </c>
      <c r="U76" s="58">
        <v>13.212999731302261</v>
      </c>
      <c r="V76" s="58">
        <v>34.560999400913715</v>
      </c>
      <c r="W76" s="58">
        <v>106.31500041484833</v>
      </c>
      <c r="X76" s="58">
        <v>449.54600775241852</v>
      </c>
      <c r="Y76" s="27"/>
      <c r="Z76" s="57"/>
      <c r="AA76" s="57"/>
      <c r="AB76" s="57"/>
      <c r="AC76" s="57"/>
      <c r="AD76" s="57"/>
      <c r="AE76" s="57"/>
      <c r="AF76" s="41">
        <f t="shared" si="5"/>
        <v>641.77000757306814</v>
      </c>
    </row>
    <row r="77" spans="1:32" ht="15" customHeight="1">
      <c r="A77" s="3">
        <v>70</v>
      </c>
      <c r="B77" s="8" t="s">
        <v>95</v>
      </c>
      <c r="C77" s="23" t="s">
        <v>149</v>
      </c>
      <c r="D77" s="41">
        <f t="shared" si="4"/>
        <v>389.26479226013168</v>
      </c>
      <c r="E77" s="58">
        <v>116.04810887145996</v>
      </c>
      <c r="F77" s="58">
        <v>140.34107940626146</v>
      </c>
      <c r="G77" s="58">
        <v>17.841244181036949</v>
      </c>
      <c r="H77" s="58">
        <v>37.500829449176791</v>
      </c>
      <c r="I77" s="58">
        <v>31.208914790630342</v>
      </c>
      <c r="J77" s="45">
        <v>46.324615561566162</v>
      </c>
      <c r="K77" s="13"/>
      <c r="L77" s="57"/>
      <c r="M77" s="57"/>
      <c r="N77" s="57"/>
      <c r="O77" s="57"/>
      <c r="P77" s="57"/>
      <c r="Q77" s="45" t="s">
        <v>160</v>
      </c>
      <c r="R77" s="13"/>
      <c r="S77" s="58">
        <v>4.5279998779296875</v>
      </c>
      <c r="T77" s="58">
        <v>29.059000492095947</v>
      </c>
      <c r="U77" s="58">
        <v>2.8540000319480896</v>
      </c>
      <c r="V77" s="58">
        <v>15.641000151634216</v>
      </c>
      <c r="W77" s="58">
        <v>90.263999938964844</v>
      </c>
      <c r="X77" s="58">
        <v>359.20199289545417</v>
      </c>
      <c r="Y77" s="27"/>
      <c r="Z77" s="57"/>
      <c r="AA77" s="57"/>
      <c r="AB77" s="57"/>
      <c r="AC77" s="57"/>
      <c r="AD77" s="57"/>
      <c r="AE77" s="57"/>
      <c r="AF77" s="41">
        <f t="shared" si="5"/>
        <v>501.54799338802695</v>
      </c>
    </row>
    <row r="78" spans="1:32" ht="15" customHeight="1">
      <c r="A78" s="3">
        <v>71</v>
      </c>
      <c r="B78" s="8" t="s">
        <v>96</v>
      </c>
      <c r="C78" s="23" t="s">
        <v>150</v>
      </c>
      <c r="D78" s="41">
        <f t="shared" si="4"/>
        <v>816.12985315484013</v>
      </c>
      <c r="E78" s="57"/>
      <c r="F78" s="58">
        <v>262.46949753063916</v>
      </c>
      <c r="G78" s="58">
        <v>84.289189354836935</v>
      </c>
      <c r="H78" s="58">
        <v>76.594576855570082</v>
      </c>
      <c r="I78" s="58">
        <v>96.345831019945436</v>
      </c>
      <c r="J78" s="45">
        <v>131.46207334399415</v>
      </c>
      <c r="K78" s="13"/>
      <c r="L78" s="57"/>
      <c r="M78" s="57"/>
      <c r="N78" s="58">
        <v>78.337327109143132</v>
      </c>
      <c r="O78" s="58">
        <v>58.635710191994903</v>
      </c>
      <c r="P78" s="58">
        <v>8.3524198836982251</v>
      </c>
      <c r="Q78" s="45">
        <v>19.643227865018055</v>
      </c>
      <c r="R78" s="13"/>
      <c r="S78" s="57"/>
      <c r="T78" s="58">
        <v>38.237000167369843</v>
      </c>
      <c r="U78" s="58">
        <v>21.779000326991081</v>
      </c>
      <c r="V78" s="58">
        <v>46.463001020252705</v>
      </c>
      <c r="W78" s="58">
        <v>127.52900100126863</v>
      </c>
      <c r="X78" s="58">
        <v>625.50798782706261</v>
      </c>
      <c r="Y78" s="27"/>
      <c r="Z78" s="57"/>
      <c r="AA78" s="57"/>
      <c r="AB78" s="58">
        <v>12.069999860599637</v>
      </c>
      <c r="AC78" s="58">
        <v>9.1870000138878822</v>
      </c>
      <c r="AD78" s="58">
        <v>4.7129999250173569</v>
      </c>
      <c r="AE78" s="58">
        <v>54.864000618457794</v>
      </c>
      <c r="AF78" s="41">
        <f t="shared" si="5"/>
        <v>940.34999076090753</v>
      </c>
    </row>
    <row r="79" spans="1:32" ht="15" customHeight="1">
      <c r="A79" s="3">
        <v>72</v>
      </c>
      <c r="B79" s="8" t="s">
        <v>97</v>
      </c>
      <c r="C79" s="23" t="s">
        <v>149</v>
      </c>
      <c r="D79" s="41">
        <f t="shared" si="4"/>
        <v>698.74957772812206</v>
      </c>
      <c r="E79" s="58">
        <v>433.07316946029664</v>
      </c>
      <c r="F79" s="58">
        <v>101.13127776652574</v>
      </c>
      <c r="G79" s="58">
        <v>36.904978082418445</v>
      </c>
      <c r="H79" s="58">
        <v>50.97203716054559</v>
      </c>
      <c r="I79" s="58">
        <v>22.519405796423555</v>
      </c>
      <c r="J79" s="45">
        <v>54.148709461912055</v>
      </c>
      <c r="K79" s="13"/>
      <c r="L79" s="57"/>
      <c r="M79" s="57"/>
      <c r="N79" s="57"/>
      <c r="O79" s="57"/>
      <c r="P79" s="57"/>
      <c r="Q79" s="45" t="s">
        <v>160</v>
      </c>
      <c r="R79" s="13"/>
      <c r="S79" s="58">
        <v>20.961999893188477</v>
      </c>
      <c r="T79" s="58">
        <v>16.749000325798988</v>
      </c>
      <c r="U79" s="58">
        <v>6.7890000343322754</v>
      </c>
      <c r="V79" s="58">
        <v>39.986999824643135</v>
      </c>
      <c r="W79" s="58">
        <v>46.050999566912651</v>
      </c>
      <c r="X79" s="58">
        <v>338.10300187766552</v>
      </c>
      <c r="Y79" s="27"/>
      <c r="Z79" s="57"/>
      <c r="AA79" s="57"/>
      <c r="AB79" s="57"/>
      <c r="AC79" s="57"/>
      <c r="AD79" s="57"/>
      <c r="AE79" s="57"/>
      <c r="AF79" s="41">
        <f t="shared" si="5"/>
        <v>468.64100152254105</v>
      </c>
    </row>
    <row r="80" spans="1:32" ht="15" customHeight="1">
      <c r="A80" s="3">
        <v>73</v>
      </c>
      <c r="B80" s="8" t="s">
        <v>98</v>
      </c>
      <c r="C80" s="23" t="s">
        <v>150</v>
      </c>
      <c r="D80" s="41">
        <f t="shared" si="4"/>
        <v>2145.0800142555099</v>
      </c>
      <c r="E80" s="58">
        <v>121.79459693431855</v>
      </c>
      <c r="F80" s="58">
        <v>201.04847704613209</v>
      </c>
      <c r="G80" s="58">
        <v>9.2817602670192727</v>
      </c>
      <c r="H80" s="58">
        <v>120.77670233419538</v>
      </c>
      <c r="I80" s="58">
        <v>94.416463951468472</v>
      </c>
      <c r="J80" s="45">
        <v>77.707216726599398</v>
      </c>
      <c r="K80" s="13"/>
      <c r="L80" s="58">
        <v>487.47437651586534</v>
      </c>
      <c r="M80" s="57"/>
      <c r="N80" s="58">
        <v>450.3410239995718</v>
      </c>
      <c r="O80" s="58">
        <v>340.38215039213003</v>
      </c>
      <c r="P80" s="58">
        <v>81.265810329906643</v>
      </c>
      <c r="Q80" s="45">
        <v>160.59143575830279</v>
      </c>
      <c r="R80" s="13"/>
      <c r="S80" s="58">
        <v>4.0079998970031738</v>
      </c>
      <c r="T80" s="58">
        <v>16.715999752283096</v>
      </c>
      <c r="U80" s="58">
        <v>1.2680000364780426</v>
      </c>
      <c r="V80" s="58">
        <v>53.128999948501587</v>
      </c>
      <c r="W80" s="58">
        <v>73.430999435484409</v>
      </c>
      <c r="X80" s="58">
        <v>265.21600181609392</v>
      </c>
      <c r="Y80" s="27"/>
      <c r="Z80" s="58">
        <v>13.311999917030334</v>
      </c>
      <c r="AA80" s="57"/>
      <c r="AB80" s="58">
        <v>27.598999932408333</v>
      </c>
      <c r="AC80" s="58">
        <v>54.359999984502792</v>
      </c>
      <c r="AD80" s="58">
        <v>25.110000159591436</v>
      </c>
      <c r="AE80" s="58">
        <v>307.88100116327405</v>
      </c>
      <c r="AF80" s="41">
        <f t="shared" si="5"/>
        <v>842.03000204265118</v>
      </c>
    </row>
    <row r="81" spans="1:32" ht="15" customHeight="1">
      <c r="A81" s="3">
        <v>74</v>
      </c>
      <c r="B81" s="8" t="s">
        <v>99</v>
      </c>
      <c r="C81" s="23" t="s">
        <v>149</v>
      </c>
      <c r="D81" s="41">
        <f t="shared" si="4"/>
        <v>432.70786240205712</v>
      </c>
      <c r="E81" s="57"/>
      <c r="F81" s="58">
        <v>183.14986745157839</v>
      </c>
      <c r="G81" s="58">
        <v>16.358411648213863</v>
      </c>
      <c r="H81" s="58">
        <v>54.965960327386853</v>
      </c>
      <c r="I81" s="58">
        <v>74.564216917075214</v>
      </c>
      <c r="J81" s="45">
        <v>103.66940605780282</v>
      </c>
      <c r="K81" s="13"/>
      <c r="L81" s="57"/>
      <c r="M81" s="57"/>
      <c r="N81" s="57"/>
      <c r="O81" s="57"/>
      <c r="P81" s="57"/>
      <c r="Q81" s="45" t="s">
        <v>160</v>
      </c>
      <c r="R81" s="13"/>
      <c r="S81" s="57"/>
      <c r="T81" s="58">
        <v>22.251999862492085</v>
      </c>
      <c r="U81" s="58">
        <v>11.919999748468399</v>
      </c>
      <c r="V81" s="58">
        <v>25.737000107765198</v>
      </c>
      <c r="W81" s="58">
        <v>105.72499927133322</v>
      </c>
      <c r="X81" s="58">
        <v>514.92801216244698</v>
      </c>
      <c r="Y81" s="27"/>
      <c r="Z81" s="57"/>
      <c r="AA81" s="57"/>
      <c r="AB81" s="57"/>
      <c r="AC81" s="57"/>
      <c r="AD81" s="57"/>
      <c r="AE81" s="57"/>
      <c r="AF81" s="41">
        <f t="shared" si="5"/>
        <v>680.56201115250587</v>
      </c>
    </row>
    <row r="82" spans="1:32" ht="15" customHeight="1">
      <c r="A82" s="3">
        <v>75</v>
      </c>
      <c r="B82" s="8" t="s">
        <v>100</v>
      </c>
      <c r="C82" s="23" t="s">
        <v>149</v>
      </c>
      <c r="D82" s="41">
        <f t="shared" si="4"/>
        <v>287.00655892820822</v>
      </c>
      <c r="E82" s="57"/>
      <c r="F82" s="58">
        <v>65.588055745333435</v>
      </c>
      <c r="G82" s="57"/>
      <c r="H82" s="58">
        <v>141.18971516924353</v>
      </c>
      <c r="I82" s="58">
        <v>31.009711176633836</v>
      </c>
      <c r="J82" s="45">
        <v>49.219076836997431</v>
      </c>
      <c r="K82" s="13"/>
      <c r="L82" s="57"/>
      <c r="M82" s="57"/>
      <c r="N82" s="57"/>
      <c r="O82" s="57"/>
      <c r="P82" s="57"/>
      <c r="Q82" s="45" t="s">
        <v>160</v>
      </c>
      <c r="R82" s="13"/>
      <c r="S82" s="57"/>
      <c r="T82" s="58">
        <v>11.572999957948923</v>
      </c>
      <c r="U82" s="57"/>
      <c r="V82" s="58">
        <v>68.653999973088503</v>
      </c>
      <c r="W82" s="58">
        <v>59.315000295639038</v>
      </c>
      <c r="X82" s="58">
        <v>294.75800527632236</v>
      </c>
      <c r="Y82" s="27"/>
      <c r="Z82" s="57"/>
      <c r="AA82" s="57"/>
      <c r="AB82" s="57"/>
      <c r="AC82" s="57"/>
      <c r="AD82" s="57"/>
      <c r="AE82" s="57"/>
      <c r="AF82" s="41">
        <f t="shared" si="5"/>
        <v>434.30000550299883</v>
      </c>
    </row>
    <row r="83" spans="1:32" ht="15" customHeight="1">
      <c r="A83" s="3">
        <v>76</v>
      </c>
      <c r="B83" s="8" t="s">
        <v>101</v>
      </c>
      <c r="C83" s="23" t="s">
        <v>150</v>
      </c>
      <c r="D83" s="41">
        <f t="shared" si="4"/>
        <v>2728.9341350875911</v>
      </c>
      <c r="E83" s="58">
        <v>840.39763065385819</v>
      </c>
      <c r="F83" s="58">
        <v>50.183040747642515</v>
      </c>
      <c r="G83" s="58">
        <v>267.03369387963414</v>
      </c>
      <c r="H83" s="58">
        <v>80.454878809593623</v>
      </c>
      <c r="I83" s="58">
        <v>105.28915988824517</v>
      </c>
      <c r="J83" s="45">
        <v>132.24076908542276</v>
      </c>
      <c r="K83" s="13"/>
      <c r="L83" s="58">
        <v>424.19546890544893</v>
      </c>
      <c r="M83" s="57"/>
      <c r="N83" s="58">
        <v>349.27438865095564</v>
      </c>
      <c r="O83" s="58">
        <v>223.57113572788239</v>
      </c>
      <c r="P83" s="58">
        <v>96.794732927069063</v>
      </c>
      <c r="Q83" s="45">
        <v>159.4992358118391</v>
      </c>
      <c r="R83" s="13"/>
      <c r="S83" s="58">
        <v>15.44599986076355</v>
      </c>
      <c r="T83" s="58">
        <v>6.0740000903606415</v>
      </c>
      <c r="U83" s="58">
        <v>36.913999930024147</v>
      </c>
      <c r="V83" s="58">
        <v>35.071000485680997</v>
      </c>
      <c r="W83" s="58">
        <v>87.878000384196639</v>
      </c>
      <c r="X83" s="58">
        <v>471.69698667526245</v>
      </c>
      <c r="Y83" s="27"/>
      <c r="Z83" s="58">
        <v>8.8489998579025269</v>
      </c>
      <c r="AA83" s="57"/>
      <c r="AB83" s="58">
        <v>19.309999996330589</v>
      </c>
      <c r="AC83" s="58">
        <v>22.043000008910894</v>
      </c>
      <c r="AD83" s="58">
        <v>18.12300001271069</v>
      </c>
      <c r="AE83" s="58">
        <v>223.60799510776997</v>
      </c>
      <c r="AF83" s="41">
        <f t="shared" si="5"/>
        <v>945.01298240991309</v>
      </c>
    </row>
    <row r="84" spans="1:32" ht="15" customHeight="1">
      <c r="A84" s="3">
        <v>77</v>
      </c>
      <c r="B84" s="8" t="s">
        <v>102</v>
      </c>
      <c r="C84" s="23" t="s">
        <v>149</v>
      </c>
      <c r="D84" s="41">
        <f t="shared" si="4"/>
        <v>384.51347967997651</v>
      </c>
      <c r="E84" s="57"/>
      <c r="F84" s="58">
        <v>162.2222420912683</v>
      </c>
      <c r="G84" s="58">
        <v>45.843045701548455</v>
      </c>
      <c r="H84" s="58">
        <v>87.790553014993662</v>
      </c>
      <c r="I84" s="58">
        <v>34.544353881478308</v>
      </c>
      <c r="J84" s="45">
        <v>54.113284990687809</v>
      </c>
      <c r="K84" s="13"/>
      <c r="L84" s="57"/>
      <c r="M84" s="57"/>
      <c r="N84" s="57"/>
      <c r="O84" s="57"/>
      <c r="P84" s="57"/>
      <c r="Q84" s="45" t="s">
        <v>160</v>
      </c>
      <c r="R84" s="13"/>
      <c r="S84" s="57"/>
      <c r="T84" s="58">
        <v>25.44899981841445</v>
      </c>
      <c r="U84" s="58">
        <v>12.546000517904758</v>
      </c>
      <c r="V84" s="58">
        <v>64.928001001477242</v>
      </c>
      <c r="W84" s="58">
        <v>68.567000091075897</v>
      </c>
      <c r="X84" s="58">
        <v>331.6479878872633</v>
      </c>
      <c r="Y84" s="27"/>
      <c r="Z84" s="57"/>
      <c r="AA84" s="57"/>
      <c r="AB84" s="57"/>
      <c r="AC84" s="57"/>
      <c r="AD84" s="57"/>
      <c r="AE84" s="57"/>
      <c r="AF84" s="41">
        <f t="shared" si="5"/>
        <v>503.13798931613564</v>
      </c>
    </row>
    <row r="85" spans="1:32" ht="15" customHeight="1">
      <c r="A85" s="3">
        <v>78</v>
      </c>
      <c r="B85" s="8" t="s">
        <v>103</v>
      </c>
      <c r="C85" s="23" t="s">
        <v>150</v>
      </c>
      <c r="D85" s="41">
        <f t="shared" si="4"/>
        <v>446.89886456744142</v>
      </c>
      <c r="E85" s="57"/>
      <c r="F85" s="58">
        <v>92.452980226319752</v>
      </c>
      <c r="G85" s="58">
        <v>29.501679192364215</v>
      </c>
      <c r="H85" s="58">
        <v>92.426663261849427</v>
      </c>
      <c r="I85" s="58">
        <v>62.530413306079808</v>
      </c>
      <c r="J85" s="45">
        <v>63.874523921360726</v>
      </c>
      <c r="K85" s="13"/>
      <c r="L85" s="57"/>
      <c r="M85" s="57"/>
      <c r="N85" s="58">
        <v>42.196784216806293</v>
      </c>
      <c r="O85" s="58">
        <v>44.01868961988017</v>
      </c>
      <c r="P85" s="58">
        <v>8.9683229188174014</v>
      </c>
      <c r="Q85" s="45">
        <v>10.928807903963591</v>
      </c>
      <c r="R85" s="13"/>
      <c r="S85" s="57"/>
      <c r="T85" s="58">
        <v>12.174000050639734</v>
      </c>
      <c r="U85" s="58">
        <v>10.660000130534172</v>
      </c>
      <c r="V85" s="58">
        <v>56.853000303730369</v>
      </c>
      <c r="W85" s="58">
        <v>81.732000183314085</v>
      </c>
      <c r="X85" s="58">
        <v>301.53598809242249</v>
      </c>
      <c r="Y85" s="27"/>
      <c r="Z85" s="57"/>
      <c r="AA85" s="57"/>
      <c r="AB85" s="58">
        <v>3.3379999436438084</v>
      </c>
      <c r="AC85" s="58">
        <v>7.3329999316483736</v>
      </c>
      <c r="AD85" s="58">
        <v>4.1289999857544899</v>
      </c>
      <c r="AE85" s="58">
        <v>26.880999445915222</v>
      </c>
      <c r="AF85" s="41">
        <f t="shared" si="5"/>
        <v>504.63598806760274</v>
      </c>
    </row>
    <row r="86" spans="1:32" ht="15" customHeight="1">
      <c r="A86" s="3">
        <v>79</v>
      </c>
      <c r="B86" s="8" t="s">
        <v>104</v>
      </c>
      <c r="C86" s="23" t="s">
        <v>149</v>
      </c>
      <c r="D86" s="41">
        <f t="shared" si="4"/>
        <v>1286.9642972518668</v>
      </c>
      <c r="E86" s="58">
        <v>318.23959510326387</v>
      </c>
      <c r="F86" s="58">
        <v>562.33304701763393</v>
      </c>
      <c r="G86" s="58">
        <v>66.44672270298004</v>
      </c>
      <c r="H86" s="58">
        <v>163.67126333406941</v>
      </c>
      <c r="I86" s="58">
        <v>34.876409029722211</v>
      </c>
      <c r="J86" s="45">
        <v>141.39726006419727</v>
      </c>
      <c r="K86" s="13"/>
      <c r="L86" s="57"/>
      <c r="M86" s="57"/>
      <c r="N86" s="57"/>
      <c r="O86" s="57"/>
      <c r="P86" s="57"/>
      <c r="Q86" s="45" t="s">
        <v>160</v>
      </c>
      <c r="R86" s="13"/>
      <c r="S86" s="58">
        <v>12.031999826431274</v>
      </c>
      <c r="T86" s="58">
        <v>73.944999545812607</v>
      </c>
      <c r="U86" s="58">
        <v>19.885000228881836</v>
      </c>
      <c r="V86" s="58">
        <v>48.339000556617975</v>
      </c>
      <c r="W86" s="58">
        <v>43.143000364303589</v>
      </c>
      <c r="X86" s="58">
        <v>644.92000824213028</v>
      </c>
      <c r="Y86" s="27"/>
      <c r="Z86" s="57"/>
      <c r="AA86" s="57"/>
      <c r="AB86" s="57"/>
      <c r="AC86" s="57"/>
      <c r="AD86" s="57"/>
      <c r="AE86" s="57"/>
      <c r="AF86" s="41">
        <f t="shared" si="5"/>
        <v>842.26400876417756</v>
      </c>
    </row>
    <row r="87" spans="1:32" ht="15" customHeight="1">
      <c r="A87" s="3">
        <v>80</v>
      </c>
      <c r="B87" s="8" t="s">
        <v>105</v>
      </c>
      <c r="C87" s="23" t="s">
        <v>149</v>
      </c>
      <c r="D87" s="41">
        <f t="shared" si="4"/>
        <v>329.63538284027874</v>
      </c>
      <c r="E87" s="57"/>
      <c r="F87" s="58">
        <v>86.174596427917479</v>
      </c>
      <c r="G87" s="58">
        <v>76.860633546352389</v>
      </c>
      <c r="H87" s="58">
        <v>69.775523703396317</v>
      </c>
      <c r="I87" s="58">
        <v>53.360279226779937</v>
      </c>
      <c r="J87" s="45">
        <v>43.464349935832594</v>
      </c>
      <c r="K87" s="13"/>
      <c r="L87" s="57"/>
      <c r="M87" s="57"/>
      <c r="N87" s="57"/>
      <c r="O87" s="57"/>
      <c r="P87" s="57"/>
      <c r="Q87" s="45" t="s">
        <v>160</v>
      </c>
      <c r="R87" s="13"/>
      <c r="S87" s="57"/>
      <c r="T87" s="58">
        <v>17.714000076055527</v>
      </c>
      <c r="U87" s="58">
        <v>10.246000200510025</v>
      </c>
      <c r="V87" s="58">
        <v>44.532999649643898</v>
      </c>
      <c r="W87" s="58">
        <v>42.863999366760254</v>
      </c>
      <c r="X87" s="58">
        <v>151.37200209312141</v>
      </c>
      <c r="Y87" s="27"/>
      <c r="Z87" s="57"/>
      <c r="AA87" s="57"/>
      <c r="AB87" s="57"/>
      <c r="AC87" s="57"/>
      <c r="AD87" s="57"/>
      <c r="AE87" s="57"/>
      <c r="AF87" s="41">
        <f t="shared" si="5"/>
        <v>266.72900138609111</v>
      </c>
    </row>
    <row r="88" spans="1:32" ht="15" customHeight="1">
      <c r="A88" s="3">
        <v>81</v>
      </c>
      <c r="B88" s="8" t="s">
        <v>106</v>
      </c>
      <c r="C88" s="23" t="s">
        <v>150</v>
      </c>
      <c r="D88" s="41">
        <f t="shared" si="4"/>
        <v>587.37630628117881</v>
      </c>
      <c r="E88" s="57"/>
      <c r="F88" s="58">
        <v>157.05783100366591</v>
      </c>
      <c r="G88" s="58">
        <v>46.813362908363345</v>
      </c>
      <c r="H88" s="58">
        <v>40.870313052713868</v>
      </c>
      <c r="I88" s="58">
        <v>33.388553935885426</v>
      </c>
      <c r="J88" s="45">
        <v>31.499385382248494</v>
      </c>
      <c r="K88" s="13"/>
      <c r="L88" s="57"/>
      <c r="M88" s="57"/>
      <c r="N88" s="58">
        <v>133.03711754846572</v>
      </c>
      <c r="O88" s="58">
        <v>98.999130592018361</v>
      </c>
      <c r="P88" s="58">
        <v>13.124574932277202</v>
      </c>
      <c r="Q88" s="45">
        <v>32.586036925540533</v>
      </c>
      <c r="R88" s="13"/>
      <c r="S88" s="57"/>
      <c r="T88" s="58">
        <v>24.629000067710876</v>
      </c>
      <c r="U88" s="58">
        <v>8.366999626159668</v>
      </c>
      <c r="V88" s="58">
        <v>29.793000027537346</v>
      </c>
      <c r="W88" s="58">
        <v>71.309999823570251</v>
      </c>
      <c r="X88" s="58">
        <v>202.09399253688753</v>
      </c>
      <c r="Y88" s="27"/>
      <c r="Z88" s="57"/>
      <c r="AA88" s="57"/>
      <c r="AB88" s="58">
        <v>12.66499987244606</v>
      </c>
      <c r="AC88" s="58">
        <v>15.14099994301796</v>
      </c>
      <c r="AD88" s="58">
        <v>5.4010000228881836</v>
      </c>
      <c r="AE88" s="58">
        <v>74.721996784210205</v>
      </c>
      <c r="AF88" s="41">
        <f t="shared" si="5"/>
        <v>444.12198870442808</v>
      </c>
    </row>
    <row r="89" spans="1:32" ht="15" customHeight="1">
      <c r="A89" s="3">
        <v>82</v>
      </c>
      <c r="B89" s="8" t="s">
        <v>107</v>
      </c>
      <c r="C89" s="23" t="s">
        <v>150</v>
      </c>
      <c r="D89" s="41">
        <f t="shared" si="4"/>
        <v>632.27735035023341</v>
      </c>
      <c r="E89" s="57"/>
      <c r="F89" s="58">
        <v>83.563405123233792</v>
      </c>
      <c r="G89" s="58">
        <v>130.1646436727047</v>
      </c>
      <c r="H89" s="58">
        <v>187.8144009104073</v>
      </c>
      <c r="I89" s="58">
        <v>64.56204788373411</v>
      </c>
      <c r="J89" s="45">
        <v>92.904883071149641</v>
      </c>
      <c r="K89" s="13"/>
      <c r="L89" s="57"/>
      <c r="M89" s="57"/>
      <c r="N89" s="58">
        <v>72.563535013437274</v>
      </c>
      <c r="O89" s="57"/>
      <c r="P89" s="57"/>
      <c r="Q89" s="49">
        <v>0.70443467556659523</v>
      </c>
      <c r="R89" s="13"/>
      <c r="S89" s="57"/>
      <c r="T89" s="58">
        <v>14.068999886512756</v>
      </c>
      <c r="U89" s="58">
        <v>20.456000030040741</v>
      </c>
      <c r="V89" s="58">
        <v>61.463000327348709</v>
      </c>
      <c r="W89" s="58">
        <v>77.33900061249733</v>
      </c>
      <c r="X89" s="58">
        <v>415.32001580297947</v>
      </c>
      <c r="Y89" s="27"/>
      <c r="Z89" s="57"/>
      <c r="AA89" s="57"/>
      <c r="AB89" s="58">
        <v>4.3970000445842743</v>
      </c>
      <c r="AC89" s="57"/>
      <c r="AD89" s="57"/>
      <c r="AE89" s="58">
        <v>1.3320000171661377</v>
      </c>
      <c r="AF89" s="41">
        <f t="shared" si="5"/>
        <v>594.37601672112942</v>
      </c>
    </row>
    <row r="90" spans="1:32" ht="15" customHeight="1">
      <c r="A90" s="3">
        <v>83</v>
      </c>
      <c r="B90" s="8" t="s">
        <v>108</v>
      </c>
      <c r="C90" s="23" t="s">
        <v>149</v>
      </c>
      <c r="D90" s="41">
        <f t="shared" si="4"/>
        <v>147.52740401818954</v>
      </c>
      <c r="E90" s="57"/>
      <c r="F90" s="57"/>
      <c r="G90" s="58">
        <v>63.862038199931384</v>
      </c>
      <c r="H90" s="58">
        <v>35.242850611209867</v>
      </c>
      <c r="I90" s="58">
        <v>18.138530838489533</v>
      </c>
      <c r="J90" s="45">
        <v>30.283984368558759</v>
      </c>
      <c r="K90" s="13"/>
      <c r="L90" s="57"/>
      <c r="M90" s="57"/>
      <c r="N90" s="57"/>
      <c r="O90" s="57"/>
      <c r="P90" s="57"/>
      <c r="Q90" s="45" t="s">
        <v>160</v>
      </c>
      <c r="R90" s="13"/>
      <c r="S90" s="57"/>
      <c r="T90" s="57"/>
      <c r="U90" s="58">
        <v>19.386000037193298</v>
      </c>
      <c r="V90" s="58">
        <v>42.014000177383423</v>
      </c>
      <c r="W90" s="58">
        <v>40.396000146865845</v>
      </c>
      <c r="X90" s="58">
        <v>199.44600686430931</v>
      </c>
      <c r="Y90" s="27"/>
      <c r="Z90" s="57"/>
      <c r="AA90" s="57"/>
      <c r="AB90" s="57"/>
      <c r="AC90" s="57"/>
      <c r="AD90" s="57"/>
      <c r="AE90" s="57"/>
      <c r="AF90" s="41">
        <f t="shared" si="5"/>
        <v>301.24200722575188</v>
      </c>
    </row>
    <row r="91" spans="1:32" ht="15" customHeight="1">
      <c r="A91" s="3">
        <v>84</v>
      </c>
      <c r="B91" s="8" t="s">
        <v>109</v>
      </c>
      <c r="C91" s="23" t="s">
        <v>150</v>
      </c>
      <c r="D91" s="41">
        <f t="shared" si="4"/>
        <v>586.52761624739776</v>
      </c>
      <c r="E91" s="57"/>
      <c r="F91" s="58">
        <v>275.32694310927388</v>
      </c>
      <c r="G91" s="58">
        <v>45.219823462188245</v>
      </c>
      <c r="H91" s="58">
        <v>50.666727965638039</v>
      </c>
      <c r="I91" s="58">
        <v>31.455957568764685</v>
      </c>
      <c r="J91" s="45">
        <v>55.967949984230778</v>
      </c>
      <c r="K91" s="13"/>
      <c r="L91" s="57"/>
      <c r="M91" s="57"/>
      <c r="N91" s="58">
        <v>73.909990596771237</v>
      </c>
      <c r="O91" s="58">
        <v>10.350994187682867</v>
      </c>
      <c r="P91" s="58">
        <v>19.368553946182132</v>
      </c>
      <c r="Q91" s="45">
        <v>24.260675426665962</v>
      </c>
      <c r="R91" s="13"/>
      <c r="S91" s="57"/>
      <c r="T91" s="58">
        <v>21.650999486446381</v>
      </c>
      <c r="U91" s="58">
        <v>17.757999837398529</v>
      </c>
      <c r="V91" s="58">
        <v>24.517999988049269</v>
      </c>
      <c r="W91" s="58">
        <v>46.753000870347023</v>
      </c>
      <c r="X91" s="58">
        <v>286.29799748212099</v>
      </c>
      <c r="Y91" s="27"/>
      <c r="Z91" s="57"/>
      <c r="AA91" s="57"/>
      <c r="AB91" s="58">
        <v>5.378000020980835</v>
      </c>
      <c r="AC91" s="58">
        <v>2.5760000497102737</v>
      </c>
      <c r="AD91" s="58">
        <v>6.6699999794363976</v>
      </c>
      <c r="AE91" s="58">
        <v>49.772000577300787</v>
      </c>
      <c r="AF91" s="41">
        <f t="shared" si="5"/>
        <v>461.37399829179049</v>
      </c>
    </row>
    <row r="92" spans="1:32" ht="15" customHeight="1">
      <c r="A92" s="3">
        <v>85</v>
      </c>
      <c r="B92" s="8" t="s">
        <v>110</v>
      </c>
      <c r="C92" s="23" t="s">
        <v>149</v>
      </c>
      <c r="D92" s="41">
        <f t="shared" si="4"/>
        <v>341.29137050732197</v>
      </c>
      <c r="E92" s="57"/>
      <c r="F92" s="58">
        <v>69.941550683975223</v>
      </c>
      <c r="G92" s="58">
        <v>40.903919742032883</v>
      </c>
      <c r="H92" s="58">
        <v>117.17464185281098</v>
      </c>
      <c r="I92" s="58">
        <v>39.329279858097436</v>
      </c>
      <c r="J92" s="45">
        <v>73.941978370405394</v>
      </c>
      <c r="K92" s="13"/>
      <c r="L92" s="57"/>
      <c r="M92" s="57"/>
      <c r="N92" s="57"/>
      <c r="O92" s="57"/>
      <c r="P92" s="57"/>
      <c r="Q92" s="45" t="s">
        <v>160</v>
      </c>
      <c r="R92" s="13"/>
      <c r="S92" s="57"/>
      <c r="T92" s="58">
        <v>13.802000045776367</v>
      </c>
      <c r="U92" s="58">
        <v>11.718999862670898</v>
      </c>
      <c r="V92" s="58">
        <v>55.030999660491943</v>
      </c>
      <c r="W92" s="58">
        <v>69.013999566435814</v>
      </c>
      <c r="X92" s="58">
        <v>419.59199322760105</v>
      </c>
      <c r="Y92" s="27"/>
      <c r="Z92" s="57"/>
      <c r="AA92" s="57"/>
      <c r="AB92" s="57"/>
      <c r="AC92" s="57"/>
      <c r="AD92" s="57"/>
      <c r="AE92" s="57"/>
      <c r="AF92" s="41">
        <f t="shared" si="5"/>
        <v>569.15799236297607</v>
      </c>
    </row>
    <row r="93" spans="1:32" ht="15" customHeight="1">
      <c r="A93" s="3">
        <v>86</v>
      </c>
      <c r="B93" s="8" t="s">
        <v>111</v>
      </c>
      <c r="C93" s="23" t="s">
        <v>149</v>
      </c>
      <c r="D93" s="41">
        <f t="shared" si="4"/>
        <v>311.7680407548595</v>
      </c>
      <c r="E93" s="57"/>
      <c r="F93" s="57"/>
      <c r="G93" s="57"/>
      <c r="H93" s="58">
        <v>123.1249300204739</v>
      </c>
      <c r="I93" s="58">
        <v>83.679657070398335</v>
      </c>
      <c r="J93" s="45">
        <v>104.96345366398728</v>
      </c>
      <c r="K93" s="13"/>
      <c r="L93" s="57"/>
      <c r="M93" s="57"/>
      <c r="N93" s="57"/>
      <c r="O93" s="57"/>
      <c r="P93" s="57"/>
      <c r="Q93" s="45" t="s">
        <v>160</v>
      </c>
      <c r="R93" s="13"/>
      <c r="S93" s="57"/>
      <c r="T93" s="57"/>
      <c r="U93" s="57"/>
      <c r="V93" s="58">
        <v>46.907999958842993</v>
      </c>
      <c r="W93" s="58">
        <v>94.784001231193542</v>
      </c>
      <c r="X93" s="58">
        <v>453.1019948720932</v>
      </c>
      <c r="Y93" s="27"/>
      <c r="Z93" s="57"/>
      <c r="AA93" s="57"/>
      <c r="AB93" s="57"/>
      <c r="AC93" s="57"/>
      <c r="AD93" s="57"/>
      <c r="AE93" s="57"/>
      <c r="AF93" s="41">
        <f t="shared" si="5"/>
        <v>594.79399606212974</v>
      </c>
    </row>
    <row r="94" spans="1:32" ht="15" customHeight="1">
      <c r="A94" s="3">
        <v>87</v>
      </c>
      <c r="B94" s="8" t="s">
        <v>112</v>
      </c>
      <c r="C94" s="23" t="s">
        <v>150</v>
      </c>
      <c r="D94" s="41">
        <f t="shared" si="4"/>
        <v>764.62702459366926</v>
      </c>
      <c r="E94" s="58">
        <v>248.37362669944764</v>
      </c>
      <c r="F94" s="57"/>
      <c r="G94" s="58">
        <v>192.74480949036405</v>
      </c>
      <c r="H94" s="58">
        <v>54.545874541401865</v>
      </c>
      <c r="I94" s="58">
        <v>29.011568816900255</v>
      </c>
      <c r="J94" s="45">
        <v>42.452838634391028</v>
      </c>
      <c r="K94" s="13"/>
      <c r="L94" s="57"/>
      <c r="M94" s="57"/>
      <c r="N94" s="58">
        <v>67.400619545280932</v>
      </c>
      <c r="O94" s="58">
        <v>94.994486451014879</v>
      </c>
      <c r="P94" s="58">
        <v>15.512433011356741</v>
      </c>
      <c r="Q94" s="45">
        <v>19.590767403511936</v>
      </c>
      <c r="R94" s="13"/>
      <c r="S94" s="58">
        <v>11.386999845504761</v>
      </c>
      <c r="T94" s="57"/>
      <c r="U94" s="58">
        <v>32.882999969646335</v>
      </c>
      <c r="V94" s="58">
        <v>21.333999782800674</v>
      </c>
      <c r="W94" s="58">
        <v>31.961000084877014</v>
      </c>
      <c r="X94" s="58">
        <v>180.10499602556229</v>
      </c>
      <c r="Y94" s="27"/>
      <c r="Z94" s="57"/>
      <c r="AA94" s="57"/>
      <c r="AB94" s="58">
        <v>4.4709999710321426</v>
      </c>
      <c r="AC94" s="58">
        <v>11.992999829351902</v>
      </c>
      <c r="AD94" s="58">
        <v>8.046000000089407</v>
      </c>
      <c r="AE94" s="58">
        <v>51.911999300122261</v>
      </c>
      <c r="AF94" s="41">
        <f t="shared" si="5"/>
        <v>354.09199480898678</v>
      </c>
    </row>
    <row r="95" spans="1:32" ht="15" customHeight="1">
      <c r="A95" s="3">
        <v>88</v>
      </c>
      <c r="B95" s="8" t="s">
        <v>113</v>
      </c>
      <c r="C95" s="23" t="s">
        <v>149</v>
      </c>
      <c r="D95" s="41">
        <f t="shared" si="4"/>
        <v>400.11339110830352</v>
      </c>
      <c r="E95" s="57"/>
      <c r="F95" s="58">
        <v>29.608439331054687</v>
      </c>
      <c r="G95" s="58">
        <v>179.04083658204974</v>
      </c>
      <c r="H95" s="58">
        <v>58.840513563692568</v>
      </c>
      <c r="I95" s="58">
        <v>57.683371665716173</v>
      </c>
      <c r="J95" s="45">
        <v>74.940229965790394</v>
      </c>
      <c r="K95" s="13"/>
      <c r="L95" s="57"/>
      <c r="M95" s="57"/>
      <c r="N95" s="57"/>
      <c r="O95" s="57"/>
      <c r="P95" s="57"/>
      <c r="Q95" s="45" t="s">
        <v>160</v>
      </c>
      <c r="R95" s="13"/>
      <c r="S95" s="57"/>
      <c r="T95" s="58">
        <v>5.4029998779296875</v>
      </c>
      <c r="U95" s="58">
        <v>57.117000460624695</v>
      </c>
      <c r="V95" s="58">
        <v>45.938000231981277</v>
      </c>
      <c r="W95" s="58">
        <v>97.032000005245209</v>
      </c>
      <c r="X95" s="58">
        <v>414.17299953103065</v>
      </c>
      <c r="Y95" s="27"/>
      <c r="Z95" s="57"/>
      <c r="AA95" s="57"/>
      <c r="AB95" s="57"/>
      <c r="AC95" s="57"/>
      <c r="AD95" s="57"/>
      <c r="AE95" s="57"/>
      <c r="AF95" s="41">
        <f t="shared" si="5"/>
        <v>619.66300010681152</v>
      </c>
    </row>
    <row r="96" spans="1:32" ht="15" customHeight="1">
      <c r="A96" s="3">
        <v>89</v>
      </c>
      <c r="B96" s="8" t="s">
        <v>114</v>
      </c>
      <c r="C96" s="23" t="s">
        <v>149</v>
      </c>
      <c r="D96" s="41">
        <f t="shared" si="4"/>
        <v>980.844123741457</v>
      </c>
      <c r="E96" s="57"/>
      <c r="F96" s="58">
        <v>329.01513009011745</v>
      </c>
      <c r="G96" s="57"/>
      <c r="H96" s="58">
        <v>288.87139728115125</v>
      </c>
      <c r="I96" s="58">
        <v>107.5227638862431</v>
      </c>
      <c r="J96" s="45">
        <v>153.54104690810453</v>
      </c>
      <c r="K96" s="13"/>
      <c r="L96" s="57"/>
      <c r="M96" s="57"/>
      <c r="N96" s="58">
        <v>21.407338153719902</v>
      </c>
      <c r="O96" s="58">
        <v>56.241263787508011</v>
      </c>
      <c r="P96" s="58">
        <v>9.0580070894360549</v>
      </c>
      <c r="Q96" s="45">
        <v>15.187176545176609</v>
      </c>
      <c r="R96" s="13"/>
      <c r="S96" s="57"/>
      <c r="T96" s="58">
        <v>46.235999405384064</v>
      </c>
      <c r="U96" s="57"/>
      <c r="V96" s="58">
        <v>85.768000286072493</v>
      </c>
      <c r="W96" s="58">
        <v>97.066998586058617</v>
      </c>
      <c r="X96" s="58">
        <v>575.19101110100746</v>
      </c>
      <c r="Y96" s="27"/>
      <c r="Z96" s="57"/>
      <c r="AA96" s="57"/>
      <c r="AB96" s="58">
        <v>3.776000052690506</v>
      </c>
      <c r="AC96" s="58">
        <v>9.0850000306963921</v>
      </c>
      <c r="AD96" s="58">
        <v>4.093000054359436</v>
      </c>
      <c r="AE96" s="58">
        <v>36.920998886227608</v>
      </c>
      <c r="AF96" s="41">
        <f t="shared" si="5"/>
        <v>858.13700840249658</v>
      </c>
    </row>
    <row r="97" spans="1:32" ht="15" customHeight="1">
      <c r="A97" s="3">
        <v>90</v>
      </c>
      <c r="B97" s="8" t="s">
        <v>115</v>
      </c>
      <c r="C97" s="23" t="s">
        <v>150</v>
      </c>
      <c r="D97" s="41">
        <f t="shared" si="4"/>
        <v>1198.9991347155799</v>
      </c>
      <c r="E97" s="57"/>
      <c r="F97" s="58">
        <v>317.95499795055389</v>
      </c>
      <c r="G97" s="58">
        <v>362.38140973366797</v>
      </c>
      <c r="H97" s="58">
        <v>178.63414144580997</v>
      </c>
      <c r="I97" s="58">
        <v>64.094277306631213</v>
      </c>
      <c r="J97" s="45">
        <v>89.908889018000878</v>
      </c>
      <c r="K97" s="13"/>
      <c r="L97" s="57"/>
      <c r="M97" s="57"/>
      <c r="N97" s="58">
        <v>119.7620244898349</v>
      </c>
      <c r="O97" s="58">
        <v>41.188592968029901</v>
      </c>
      <c r="P97" s="58">
        <v>5.0580019325613979</v>
      </c>
      <c r="Q97" s="45">
        <v>20.01679987048977</v>
      </c>
      <c r="R97" s="13"/>
      <c r="S97" s="57"/>
      <c r="T97" s="58">
        <v>30.429999589920044</v>
      </c>
      <c r="U97" s="58">
        <v>40.894999995827675</v>
      </c>
      <c r="V97" s="58">
        <v>82.943999769166112</v>
      </c>
      <c r="W97" s="58">
        <v>83.011999182403088</v>
      </c>
      <c r="X97" s="58">
        <v>422.0150089636445</v>
      </c>
      <c r="Y97" s="27"/>
      <c r="Z97" s="57"/>
      <c r="AA97" s="57"/>
      <c r="AB97" s="58">
        <v>8.4180000517517328</v>
      </c>
      <c r="AC97" s="58">
        <v>4.4150000084191561</v>
      </c>
      <c r="AD97" s="58">
        <v>3.4909999668598175</v>
      </c>
      <c r="AE97" s="58">
        <v>63.405999831855297</v>
      </c>
      <c r="AF97" s="41">
        <f t="shared" si="5"/>
        <v>739.02600735984743</v>
      </c>
    </row>
    <row r="98" spans="1:32" ht="15" customHeight="1">
      <c r="A98" s="3">
        <v>91</v>
      </c>
      <c r="B98" s="8" t="s">
        <v>116</v>
      </c>
      <c r="C98" s="23" t="s">
        <v>149</v>
      </c>
      <c r="D98" s="41">
        <f t="shared" si="4"/>
        <v>159.44103667382436</v>
      </c>
      <c r="E98" s="57"/>
      <c r="F98" s="58">
        <v>58.623326913833615</v>
      </c>
      <c r="G98" s="57"/>
      <c r="H98" s="58">
        <v>56.638611261334269</v>
      </c>
      <c r="I98" s="58">
        <v>14.822368867321405</v>
      </c>
      <c r="J98" s="45">
        <v>29.35672963133506</v>
      </c>
      <c r="K98" s="13"/>
      <c r="L98" s="57"/>
      <c r="M98" s="57"/>
      <c r="N98" s="57"/>
      <c r="O98" s="57"/>
      <c r="P98" s="57"/>
      <c r="Q98" s="45" t="s">
        <v>160</v>
      </c>
      <c r="R98" s="13"/>
      <c r="S98" s="57"/>
      <c r="T98" s="58">
        <v>12.131999969482422</v>
      </c>
      <c r="U98" s="57"/>
      <c r="V98" s="58">
        <v>30.864000054076314</v>
      </c>
      <c r="W98" s="58">
        <v>44.344999769236892</v>
      </c>
      <c r="X98" s="58">
        <v>232.4949941188097</v>
      </c>
      <c r="Y98" s="27"/>
      <c r="Z98" s="57"/>
      <c r="AA98" s="57"/>
      <c r="AB98" s="57"/>
      <c r="AC98" s="57"/>
      <c r="AD98" s="57"/>
      <c r="AE98" s="57"/>
      <c r="AF98" s="41">
        <f t="shared" si="5"/>
        <v>319.83599391160533</v>
      </c>
    </row>
    <row r="99" spans="1:32" ht="15" customHeight="1">
      <c r="A99" s="3">
        <v>92</v>
      </c>
      <c r="B99" s="8" t="s">
        <v>117</v>
      </c>
      <c r="C99" s="23" t="s">
        <v>149</v>
      </c>
      <c r="D99" s="41">
        <f t="shared" si="4"/>
        <v>899.33827859431551</v>
      </c>
      <c r="E99" s="57"/>
      <c r="F99" s="58">
        <v>343.22575183391569</v>
      </c>
      <c r="G99" s="58">
        <v>86.008799704909322</v>
      </c>
      <c r="H99" s="58">
        <v>292.61529151073097</v>
      </c>
      <c r="I99" s="58">
        <v>53.656371408462526</v>
      </c>
      <c r="J99" s="45">
        <v>123.83206413629695</v>
      </c>
      <c r="K99" s="13"/>
      <c r="L99" s="57"/>
      <c r="M99" s="57"/>
      <c r="N99" s="57"/>
      <c r="O99" s="57"/>
      <c r="P99" s="57"/>
      <c r="Q99" s="45" t="s">
        <v>160</v>
      </c>
      <c r="R99" s="13"/>
      <c r="S99" s="57"/>
      <c r="T99" s="58">
        <v>46.278999805450439</v>
      </c>
      <c r="U99" s="58">
        <v>7.6689999252557755</v>
      </c>
      <c r="V99" s="58">
        <v>112.11499985307455</v>
      </c>
      <c r="W99" s="58">
        <v>91.528000116348267</v>
      </c>
      <c r="X99" s="58">
        <v>690.38502934575081</v>
      </c>
      <c r="Y99" s="27"/>
      <c r="Z99" s="57"/>
      <c r="AA99" s="57"/>
      <c r="AB99" s="57"/>
      <c r="AC99" s="57"/>
      <c r="AD99" s="57"/>
      <c r="AE99" s="57"/>
      <c r="AF99" s="41">
        <f t="shared" si="5"/>
        <v>947.97602904587984</v>
      </c>
    </row>
    <row r="100" spans="1:32" ht="15" customHeight="1">
      <c r="A100" s="3">
        <v>93</v>
      </c>
      <c r="B100" s="8" t="s">
        <v>118</v>
      </c>
      <c r="C100" s="23" t="s">
        <v>151</v>
      </c>
      <c r="D100" s="41">
        <f t="shared" si="4"/>
        <v>1382.4413638086517</v>
      </c>
      <c r="E100" s="58">
        <v>108.88980152606965</v>
      </c>
      <c r="F100" s="57"/>
      <c r="G100" s="58">
        <v>131.63625664497911</v>
      </c>
      <c r="H100" s="58">
        <v>15.630369802474975</v>
      </c>
      <c r="I100" s="58">
        <v>56.457456380724906</v>
      </c>
      <c r="J100" s="45">
        <v>59.768463716437182</v>
      </c>
      <c r="K100" s="13"/>
      <c r="L100" s="58">
        <v>593.65194042110443</v>
      </c>
      <c r="M100" s="57"/>
      <c r="N100" s="58">
        <v>91.141873397588725</v>
      </c>
      <c r="O100" s="58">
        <v>163.2221234768331</v>
      </c>
      <c r="P100" s="58">
        <v>56.898374345332385</v>
      </c>
      <c r="Q100" s="45">
        <v>105.14470409710722</v>
      </c>
      <c r="R100" s="13"/>
      <c r="S100" s="58">
        <v>2.8580000400543213</v>
      </c>
      <c r="T100" s="57"/>
      <c r="U100" s="58">
        <v>34.147000052034855</v>
      </c>
      <c r="V100" s="58">
        <v>9.2539999485015869</v>
      </c>
      <c r="W100" s="58">
        <v>37.925000190734863</v>
      </c>
      <c r="X100" s="58">
        <v>186.14700293540955</v>
      </c>
      <c r="Y100" s="27"/>
      <c r="Z100" s="58">
        <v>10.553999900817871</v>
      </c>
      <c r="AA100" s="57"/>
      <c r="AB100" s="58">
        <v>7.3600001186132431</v>
      </c>
      <c r="AC100" s="58">
        <v>18.839999780058861</v>
      </c>
      <c r="AD100" s="58">
        <v>17.288000032305717</v>
      </c>
      <c r="AE100" s="58">
        <v>199.47600100934505</v>
      </c>
      <c r="AF100" s="41">
        <f t="shared" si="5"/>
        <v>523.84900400787592</v>
      </c>
    </row>
    <row r="101" spans="1:32" ht="15" customHeight="1">
      <c r="A101" s="3">
        <v>94</v>
      </c>
      <c r="B101" s="8" t="s">
        <v>119</v>
      </c>
      <c r="C101" s="23" t="s">
        <v>149</v>
      </c>
      <c r="D101" s="41">
        <f t="shared" si="4"/>
        <v>233.75192024062591</v>
      </c>
      <c r="E101" s="57"/>
      <c r="F101" s="58">
        <v>90.215002888143061</v>
      </c>
      <c r="G101" s="58">
        <v>18.663936061382294</v>
      </c>
      <c r="H101" s="58">
        <v>62.066824814632533</v>
      </c>
      <c r="I101" s="58">
        <v>17.482807250976563</v>
      </c>
      <c r="J101" s="45">
        <v>45.323349225491484</v>
      </c>
      <c r="K101" s="13"/>
      <c r="L101" s="57"/>
      <c r="M101" s="57"/>
      <c r="N101" s="57"/>
      <c r="O101" s="57"/>
      <c r="P101" s="57"/>
      <c r="Q101" s="45" t="s">
        <v>160</v>
      </c>
      <c r="R101" s="13"/>
      <c r="S101" s="57"/>
      <c r="T101" s="58">
        <v>27.110999651253223</v>
      </c>
      <c r="U101" s="58">
        <v>9.0929999351501465</v>
      </c>
      <c r="V101" s="58">
        <v>85.015998549759388</v>
      </c>
      <c r="W101" s="58">
        <v>42.069000482559204</v>
      </c>
      <c r="X101" s="58">
        <v>313.28300347924232</v>
      </c>
      <c r="Y101" s="27"/>
      <c r="Z101" s="57"/>
      <c r="AA101" s="57"/>
      <c r="AB101" s="57"/>
      <c r="AC101" s="57"/>
      <c r="AD101" s="57"/>
      <c r="AE101" s="57"/>
      <c r="AF101" s="41">
        <f t="shared" si="5"/>
        <v>476.57200209796429</v>
      </c>
    </row>
    <row r="102" spans="1:32" ht="15" customHeight="1">
      <c r="A102" s="3">
        <v>95</v>
      </c>
      <c r="B102" s="8" t="s">
        <v>120</v>
      </c>
      <c r="C102" s="23" t="s">
        <v>149</v>
      </c>
      <c r="D102" s="41">
        <f t="shared" si="4"/>
        <v>110.10604683338892</v>
      </c>
      <c r="E102" s="57"/>
      <c r="F102" s="57"/>
      <c r="G102" s="58">
        <v>17.56975007534027</v>
      </c>
      <c r="H102" s="58">
        <v>49.662609653182329</v>
      </c>
      <c r="I102" s="58">
        <v>13.217161003589631</v>
      </c>
      <c r="J102" s="45">
        <v>29.65652610127669</v>
      </c>
      <c r="K102" s="13"/>
      <c r="L102" s="57"/>
      <c r="M102" s="57"/>
      <c r="N102" s="57"/>
      <c r="O102" s="57"/>
      <c r="P102" s="57"/>
      <c r="Q102" s="45" t="s">
        <v>160</v>
      </c>
      <c r="R102" s="13"/>
      <c r="S102" s="57"/>
      <c r="T102" s="57"/>
      <c r="U102" s="58">
        <v>5.3300000429153442</v>
      </c>
      <c r="V102" s="58">
        <v>50.13100059889257</v>
      </c>
      <c r="W102" s="58">
        <v>42.994000047445297</v>
      </c>
      <c r="X102" s="58">
        <v>247.47599971294403</v>
      </c>
      <c r="Y102" s="27"/>
      <c r="Z102" s="57"/>
      <c r="AA102" s="57"/>
      <c r="AB102" s="57"/>
      <c r="AC102" s="57"/>
      <c r="AD102" s="57"/>
      <c r="AE102" s="57"/>
      <c r="AF102" s="41">
        <f t="shared" si="5"/>
        <v>345.93100040219724</v>
      </c>
    </row>
    <row r="103" spans="1:32" ht="15" customHeight="1">
      <c r="A103" s="3">
        <v>96</v>
      </c>
      <c r="B103" s="8" t="s">
        <v>121</v>
      </c>
      <c r="C103" s="23" t="s">
        <v>149</v>
      </c>
      <c r="D103" s="41">
        <f t="shared" si="4"/>
        <v>321.03186277374567</v>
      </c>
      <c r="E103" s="57"/>
      <c r="F103" s="58">
        <v>153.24078627961873</v>
      </c>
      <c r="G103" s="58">
        <v>7.8877648258209225</v>
      </c>
      <c r="H103" s="58">
        <v>39.014753501713272</v>
      </c>
      <c r="I103" s="58">
        <v>53.120241108089687</v>
      </c>
      <c r="J103" s="45">
        <v>67.768317058503072</v>
      </c>
      <c r="K103" s="13"/>
      <c r="L103" s="57"/>
      <c r="M103" s="57"/>
      <c r="N103" s="57"/>
      <c r="O103" s="57"/>
      <c r="P103" s="57"/>
      <c r="Q103" s="45" t="s">
        <v>160</v>
      </c>
      <c r="R103" s="13"/>
      <c r="S103" s="57"/>
      <c r="T103" s="58">
        <v>23.678999811410904</v>
      </c>
      <c r="U103" s="58">
        <v>10.364999771118164</v>
      </c>
      <c r="V103" s="58">
        <v>31.414000451564789</v>
      </c>
      <c r="W103" s="58">
        <v>71.47200021892786</v>
      </c>
      <c r="X103" s="58">
        <v>325.75799322128296</v>
      </c>
      <c r="Y103" s="27"/>
      <c r="Z103" s="57"/>
      <c r="AA103" s="57"/>
      <c r="AB103" s="57"/>
      <c r="AC103" s="57"/>
      <c r="AD103" s="57"/>
      <c r="AE103" s="57"/>
      <c r="AF103" s="41">
        <f t="shared" si="5"/>
        <v>462.68799347430468</v>
      </c>
    </row>
    <row r="104" spans="1:32" ht="15" customHeight="1">
      <c r="A104" s="3">
        <v>97</v>
      </c>
      <c r="B104" s="8" t="s">
        <v>122</v>
      </c>
      <c r="C104" s="23" t="s">
        <v>150</v>
      </c>
      <c r="D104" s="41">
        <f t="shared" ref="D104:D127" si="6">SUM(E104:J104)+SUM(L104:Q104)</f>
        <v>951.19805151082801</v>
      </c>
      <c r="E104" s="57"/>
      <c r="F104" s="58">
        <v>444.00377622413635</v>
      </c>
      <c r="G104" s="58">
        <v>85.862151731297374</v>
      </c>
      <c r="H104" s="58">
        <v>191.89987491601707</v>
      </c>
      <c r="I104" s="58">
        <v>84.265065104603764</v>
      </c>
      <c r="J104" s="45">
        <v>145.16718353477347</v>
      </c>
      <c r="K104" s="13"/>
      <c r="L104" s="57"/>
      <c r="M104" s="57"/>
      <c r="N104" s="57"/>
      <c r="O104" s="57"/>
      <c r="P104" s="57"/>
      <c r="Q104" s="45" t="s">
        <v>160</v>
      </c>
      <c r="R104" s="13"/>
      <c r="S104" s="57"/>
      <c r="T104" s="58">
        <v>41.193000108003616</v>
      </c>
      <c r="U104" s="58">
        <v>11.75000012665987</v>
      </c>
      <c r="V104" s="58">
        <v>84.493999719619751</v>
      </c>
      <c r="W104" s="58">
        <v>75.94199937582016</v>
      </c>
      <c r="X104" s="58">
        <v>543.2450079601258</v>
      </c>
      <c r="Y104" s="27"/>
      <c r="Z104" s="57"/>
      <c r="AA104" s="57"/>
      <c r="AB104" s="57"/>
      <c r="AC104" s="57"/>
      <c r="AD104" s="57"/>
      <c r="AE104" s="57"/>
      <c r="AF104" s="41">
        <f t="shared" ref="AF104:AF127" si="7">SUM(S104:AE104)</f>
        <v>756.6240072902292</v>
      </c>
    </row>
    <row r="105" spans="1:32" ht="15" customHeight="1">
      <c r="A105" s="3">
        <v>98</v>
      </c>
      <c r="B105" s="8" t="s">
        <v>123</v>
      </c>
      <c r="C105" s="23" t="s">
        <v>150</v>
      </c>
      <c r="D105" s="41">
        <f t="shared" si="6"/>
        <v>2187.0138803244163</v>
      </c>
      <c r="E105" s="57"/>
      <c r="F105" s="58">
        <v>787.76586529052258</v>
      </c>
      <c r="G105" s="58">
        <v>136.41532574884593</v>
      </c>
      <c r="H105" s="58">
        <v>353.30970436283945</v>
      </c>
      <c r="I105" s="58">
        <v>213.52635791799426</v>
      </c>
      <c r="J105" s="45">
        <v>242.43080525014281</v>
      </c>
      <c r="K105" s="13"/>
      <c r="L105" s="57"/>
      <c r="M105" s="57"/>
      <c r="N105" s="58">
        <v>310.09316953337191</v>
      </c>
      <c r="O105" s="58">
        <v>72.632487160623072</v>
      </c>
      <c r="P105" s="58">
        <v>29.105544758439063</v>
      </c>
      <c r="Q105" s="45">
        <v>41.734620301636888</v>
      </c>
      <c r="R105" s="13"/>
      <c r="S105" s="57"/>
      <c r="T105" s="58">
        <v>74.899999111890793</v>
      </c>
      <c r="U105" s="58">
        <v>28.797999896109104</v>
      </c>
      <c r="V105" s="58">
        <v>134.21700006723404</v>
      </c>
      <c r="W105" s="58">
        <v>160.6540000140667</v>
      </c>
      <c r="X105" s="58">
        <v>810.46500357240438</v>
      </c>
      <c r="Y105" s="27"/>
      <c r="Z105" s="57"/>
      <c r="AA105" s="57"/>
      <c r="AB105" s="58">
        <v>10.917000025510788</v>
      </c>
      <c r="AC105" s="58">
        <v>10.199000179767609</v>
      </c>
      <c r="AD105" s="58">
        <v>5.6919999718666077</v>
      </c>
      <c r="AE105" s="58">
        <v>60.123001098632812</v>
      </c>
      <c r="AF105" s="41">
        <f t="shared" si="7"/>
        <v>1295.9650039374828</v>
      </c>
    </row>
    <row r="106" spans="1:32" ht="15" customHeight="1">
      <c r="A106" s="3">
        <v>99</v>
      </c>
      <c r="B106" s="8" t="s">
        <v>124</v>
      </c>
      <c r="C106" s="23" t="s">
        <v>149</v>
      </c>
      <c r="D106" s="41">
        <f t="shared" si="6"/>
        <v>491.72115430363408</v>
      </c>
      <c r="E106" s="57"/>
      <c r="F106" s="58">
        <v>267.72700381278992</v>
      </c>
      <c r="G106" s="58">
        <v>66.777867981389164</v>
      </c>
      <c r="H106" s="58">
        <v>86.300075200229884</v>
      </c>
      <c r="I106" s="58">
        <v>33.249855275999757</v>
      </c>
      <c r="J106" s="45">
        <v>37.666352033225351</v>
      </c>
      <c r="K106" s="13"/>
      <c r="L106" s="57"/>
      <c r="M106" s="57"/>
      <c r="N106" s="57"/>
      <c r="O106" s="57"/>
      <c r="P106" s="57"/>
      <c r="Q106" s="45" t="s">
        <v>160</v>
      </c>
      <c r="R106" s="13"/>
      <c r="S106" s="57"/>
      <c r="T106" s="58">
        <v>24.086999893188477</v>
      </c>
      <c r="U106" s="58">
        <v>13.862000118941069</v>
      </c>
      <c r="V106" s="58">
        <v>39.191000282764435</v>
      </c>
      <c r="W106" s="58">
        <v>52.176000338047743</v>
      </c>
      <c r="X106" s="58">
        <v>199.32500521838665</v>
      </c>
      <c r="Y106" s="27"/>
      <c r="Z106" s="57"/>
      <c r="AA106" s="57"/>
      <c r="AB106" s="57"/>
      <c r="AC106" s="57"/>
      <c r="AD106" s="57"/>
      <c r="AE106" s="57"/>
      <c r="AF106" s="41">
        <f t="shared" si="7"/>
        <v>328.64100585132837</v>
      </c>
    </row>
    <row r="107" spans="1:32" ht="15" customHeight="1">
      <c r="A107" s="3">
        <v>100</v>
      </c>
      <c r="B107" s="8" t="s">
        <v>125</v>
      </c>
      <c r="C107" s="23" t="s">
        <v>150</v>
      </c>
      <c r="D107" s="41">
        <f t="shared" si="6"/>
        <v>1966.3860846638072</v>
      </c>
      <c r="E107" s="57"/>
      <c r="F107" s="58">
        <v>635.89837878257038</v>
      </c>
      <c r="G107" s="58">
        <v>48.246683728814126</v>
      </c>
      <c r="H107" s="58">
        <v>229.44440975807606</v>
      </c>
      <c r="I107" s="58">
        <v>179.15597931569815</v>
      </c>
      <c r="J107" s="45">
        <v>350.76028625813706</v>
      </c>
      <c r="K107" s="13"/>
      <c r="L107" s="57"/>
      <c r="M107" s="58">
        <v>12.260500431060791</v>
      </c>
      <c r="N107" s="58">
        <v>269.68817094776034</v>
      </c>
      <c r="O107" s="58">
        <v>103.37394656276703</v>
      </c>
      <c r="P107" s="58">
        <v>51.439949282109737</v>
      </c>
      <c r="Q107" s="45">
        <v>86.117779596813605</v>
      </c>
      <c r="R107" s="13"/>
      <c r="S107" s="57"/>
      <c r="T107" s="58">
        <v>72.35699886828661</v>
      </c>
      <c r="U107" s="58">
        <v>4.168999969959259</v>
      </c>
      <c r="V107" s="58">
        <v>83.11599987000227</v>
      </c>
      <c r="W107" s="58">
        <v>147.0550003349781</v>
      </c>
      <c r="X107" s="58">
        <v>1238.168042615056</v>
      </c>
      <c r="Y107" s="27"/>
      <c r="Z107" s="57"/>
      <c r="AA107" s="58">
        <v>1.0850000381469727</v>
      </c>
      <c r="AB107" s="58">
        <v>10.251000091433525</v>
      </c>
      <c r="AC107" s="58">
        <v>14.941999964416027</v>
      </c>
      <c r="AD107" s="58">
        <v>8.7290000654757023</v>
      </c>
      <c r="AE107" s="58">
        <v>113.53599955886602</v>
      </c>
      <c r="AF107" s="41">
        <f t="shared" si="7"/>
        <v>1693.4080413766205</v>
      </c>
    </row>
    <row r="108" spans="1:32" ht="15" customHeight="1">
      <c r="A108" s="3">
        <v>101</v>
      </c>
      <c r="B108" s="8" t="s">
        <v>126</v>
      </c>
      <c r="C108" s="23" t="s">
        <v>149</v>
      </c>
      <c r="D108" s="41">
        <f t="shared" si="6"/>
        <v>39.896807169507127</v>
      </c>
      <c r="E108" s="57"/>
      <c r="F108" s="58">
        <v>4.6504389771223069</v>
      </c>
      <c r="G108" s="57"/>
      <c r="H108" s="58">
        <v>18.51415397143364</v>
      </c>
      <c r="I108" s="58">
        <v>5.2773760259151459</v>
      </c>
      <c r="J108" s="45">
        <v>11.454838195036038</v>
      </c>
      <c r="K108" s="13"/>
      <c r="L108" s="57"/>
      <c r="M108" s="57"/>
      <c r="N108" s="57"/>
      <c r="O108" s="57"/>
      <c r="P108" s="57"/>
      <c r="Q108" s="45" t="s">
        <v>160</v>
      </c>
      <c r="R108" s="13"/>
      <c r="S108" s="57"/>
      <c r="T108" s="58">
        <v>1.3569999933242798</v>
      </c>
      <c r="U108" s="57"/>
      <c r="V108" s="58">
        <v>25.384000092744827</v>
      </c>
      <c r="W108" s="58">
        <v>20.016000032424927</v>
      </c>
      <c r="X108" s="58">
        <v>105.21300363540649</v>
      </c>
      <c r="Y108" s="27"/>
      <c r="Z108" s="57"/>
      <c r="AA108" s="57"/>
      <c r="AB108" s="57"/>
      <c r="AC108" s="57"/>
      <c r="AD108" s="57"/>
      <c r="AE108" s="57"/>
      <c r="AF108" s="41">
        <f t="shared" si="7"/>
        <v>151.97000375390053</v>
      </c>
    </row>
    <row r="109" spans="1:32" ht="15" customHeight="1">
      <c r="A109" s="3">
        <v>102</v>
      </c>
      <c r="B109" s="8" t="s">
        <v>127</v>
      </c>
      <c r="C109" s="23" t="s">
        <v>149</v>
      </c>
      <c r="D109" s="41">
        <f t="shared" si="6"/>
        <v>1158.1782695694803</v>
      </c>
      <c r="E109" s="58">
        <v>763.7587457618713</v>
      </c>
      <c r="F109" s="58">
        <v>90.465971450790761</v>
      </c>
      <c r="G109" s="58">
        <v>93.476609503358603</v>
      </c>
      <c r="H109" s="58">
        <v>77.322870595514772</v>
      </c>
      <c r="I109" s="58">
        <v>52.401300050824879</v>
      </c>
      <c r="J109" s="45">
        <v>80.752772207120003</v>
      </c>
      <c r="K109" s="13"/>
      <c r="L109" s="57"/>
      <c r="M109" s="57"/>
      <c r="N109" s="57"/>
      <c r="O109" s="57"/>
      <c r="P109" s="57"/>
      <c r="Q109" s="45" t="s">
        <v>160</v>
      </c>
      <c r="R109" s="13"/>
      <c r="S109" s="58">
        <v>22.640999794006348</v>
      </c>
      <c r="T109" s="58">
        <v>10.295999936759472</v>
      </c>
      <c r="U109" s="58">
        <v>14.329000055789948</v>
      </c>
      <c r="V109" s="58">
        <v>29.390999987721443</v>
      </c>
      <c r="W109" s="58">
        <v>94.246999859809875</v>
      </c>
      <c r="X109" s="58">
        <v>465.352010268718</v>
      </c>
      <c r="Y109" s="27"/>
      <c r="Z109" s="57"/>
      <c r="AA109" s="57"/>
      <c r="AB109" s="57"/>
      <c r="AC109" s="57"/>
      <c r="AD109" s="57"/>
      <c r="AE109" s="57"/>
      <c r="AF109" s="41">
        <f t="shared" si="7"/>
        <v>636.25600990280509</v>
      </c>
    </row>
    <row r="110" spans="1:32" ht="15" customHeight="1">
      <c r="A110" s="3">
        <v>103</v>
      </c>
      <c r="B110" s="8" t="s">
        <v>128</v>
      </c>
      <c r="C110" s="23" t="s">
        <v>150</v>
      </c>
      <c r="D110" s="41">
        <f t="shared" si="6"/>
        <v>881.39628412691263</v>
      </c>
      <c r="E110" s="58">
        <v>293.86887739562991</v>
      </c>
      <c r="F110" s="57"/>
      <c r="G110" s="58">
        <v>94.056034158617251</v>
      </c>
      <c r="H110" s="58">
        <v>192.46927288132161</v>
      </c>
      <c r="I110" s="58">
        <v>40.18611263103783</v>
      </c>
      <c r="J110" s="45">
        <v>95.731749130894315</v>
      </c>
      <c r="K110" s="13"/>
      <c r="L110" s="57"/>
      <c r="M110" s="57"/>
      <c r="N110" s="58">
        <v>77.778996962904927</v>
      </c>
      <c r="O110" s="58">
        <v>55.68268257498741</v>
      </c>
      <c r="P110" s="58">
        <v>3.6948899771273136</v>
      </c>
      <c r="Q110" s="45">
        <v>27.927668414391956</v>
      </c>
      <c r="R110" s="13"/>
      <c r="S110" s="58">
        <v>19.710000038146973</v>
      </c>
      <c r="T110" s="57"/>
      <c r="U110" s="58">
        <v>15.1390001475811</v>
      </c>
      <c r="V110" s="58">
        <v>64.431999953463674</v>
      </c>
      <c r="W110" s="58">
        <v>37.392000302672386</v>
      </c>
      <c r="X110" s="58">
        <v>365.46699357032776</v>
      </c>
      <c r="Y110" s="27"/>
      <c r="Z110" s="57"/>
      <c r="AA110" s="57"/>
      <c r="AB110" s="58">
        <v>3.0309998840093613</v>
      </c>
      <c r="AC110" s="58">
        <v>3.7669999673962593</v>
      </c>
      <c r="AD110" s="58">
        <v>0.70499999821186066</v>
      </c>
      <c r="AE110" s="58">
        <v>39.617998730391264</v>
      </c>
      <c r="AF110" s="41">
        <f t="shared" si="7"/>
        <v>549.26099259220064</v>
      </c>
    </row>
    <row r="111" spans="1:32" ht="15" customHeight="1">
      <c r="A111" s="3">
        <v>104</v>
      </c>
      <c r="B111" s="8" t="s">
        <v>129</v>
      </c>
      <c r="C111" s="23" t="s">
        <v>149</v>
      </c>
      <c r="D111" s="41">
        <f t="shared" si="6"/>
        <v>522.46851751581971</v>
      </c>
      <c r="E111" s="57"/>
      <c r="F111" s="58">
        <v>212.48668152179195</v>
      </c>
      <c r="G111" s="57"/>
      <c r="H111" s="58">
        <v>101.92874340555072</v>
      </c>
      <c r="I111" s="58">
        <v>88.393451462030413</v>
      </c>
      <c r="J111" s="45">
        <v>119.65964112644667</v>
      </c>
      <c r="K111" s="13"/>
      <c r="L111" s="57"/>
      <c r="M111" s="57"/>
      <c r="N111" s="57"/>
      <c r="O111" s="57"/>
      <c r="P111" s="57"/>
      <c r="Q111" s="45" t="s">
        <v>160</v>
      </c>
      <c r="R111" s="13"/>
      <c r="S111" s="57"/>
      <c r="T111" s="58">
        <v>40.508999651297927</v>
      </c>
      <c r="U111" s="57"/>
      <c r="V111" s="58">
        <v>35.866000063717365</v>
      </c>
      <c r="W111" s="58">
        <v>88.695000410079956</v>
      </c>
      <c r="X111" s="58">
        <v>478.87098524719477</v>
      </c>
      <c r="Y111" s="27"/>
      <c r="Z111" s="57"/>
      <c r="AA111" s="57"/>
      <c r="AB111" s="57"/>
      <c r="AC111" s="57"/>
      <c r="AD111" s="57"/>
      <c r="AE111" s="57"/>
      <c r="AF111" s="41">
        <f t="shared" si="7"/>
        <v>643.94098537229002</v>
      </c>
    </row>
    <row r="112" spans="1:32" ht="15" customHeight="1">
      <c r="A112" s="3">
        <v>105</v>
      </c>
      <c r="B112" s="8" t="s">
        <v>130</v>
      </c>
      <c r="C112" s="23" t="s">
        <v>150</v>
      </c>
      <c r="D112" s="41">
        <f t="shared" si="6"/>
        <v>1836.6715335545823</v>
      </c>
      <c r="E112" s="58">
        <v>828.73273048400881</v>
      </c>
      <c r="F112" s="58">
        <v>28.795199775695799</v>
      </c>
      <c r="G112" s="58">
        <v>131.10149035304784</v>
      </c>
      <c r="H112" s="58">
        <v>93.706014979600909</v>
      </c>
      <c r="I112" s="58">
        <v>56.868409376768398</v>
      </c>
      <c r="J112" s="45">
        <v>54.864294236377631</v>
      </c>
      <c r="K112" s="13"/>
      <c r="L112" s="58">
        <v>184.71535441684722</v>
      </c>
      <c r="M112" s="57"/>
      <c r="N112" s="58">
        <v>194.29168416690825</v>
      </c>
      <c r="O112" s="58">
        <v>125.95420202072151</v>
      </c>
      <c r="P112" s="58">
        <v>43.072859742641448</v>
      </c>
      <c r="Q112" s="45">
        <v>94.569294001964622</v>
      </c>
      <c r="R112" s="13"/>
      <c r="S112" s="58">
        <v>22.010000228881836</v>
      </c>
      <c r="T112" s="58">
        <v>1.7139999866485596</v>
      </c>
      <c r="U112" s="58">
        <v>21.73199999332428</v>
      </c>
      <c r="V112" s="58">
        <v>45.834000096656382</v>
      </c>
      <c r="W112" s="58">
        <v>65.391001557931304</v>
      </c>
      <c r="X112" s="58">
        <v>239.0719939917326</v>
      </c>
      <c r="Y112" s="27"/>
      <c r="Z112" s="58">
        <v>4.3310000598430634</v>
      </c>
      <c r="AA112" s="57"/>
      <c r="AB112" s="58">
        <v>13.215999819338322</v>
      </c>
      <c r="AC112" s="58">
        <v>9.7580000450834632</v>
      </c>
      <c r="AD112" s="58">
        <v>7.4279999434947968</v>
      </c>
      <c r="AE112" s="58">
        <v>125.94100292772055</v>
      </c>
      <c r="AF112" s="41">
        <f t="shared" si="7"/>
        <v>556.42699865065515</v>
      </c>
    </row>
    <row r="113" spans="1:32" ht="15" customHeight="1">
      <c r="A113" s="3">
        <v>106</v>
      </c>
      <c r="B113" s="8" t="s">
        <v>131</v>
      </c>
      <c r="C113" s="23" t="s">
        <v>150</v>
      </c>
      <c r="D113" s="41">
        <f t="shared" si="6"/>
        <v>1823.2758239155605</v>
      </c>
      <c r="E113" s="58">
        <v>1100.1952004871368</v>
      </c>
      <c r="F113" s="57"/>
      <c r="G113" s="58">
        <v>241.51967234203218</v>
      </c>
      <c r="H113" s="58">
        <v>71.725621002674103</v>
      </c>
      <c r="I113" s="58">
        <v>88.834306288585069</v>
      </c>
      <c r="J113" s="45">
        <v>62.947956010754289</v>
      </c>
      <c r="K113" s="13"/>
      <c r="L113" s="57"/>
      <c r="M113" s="57"/>
      <c r="N113" s="58">
        <v>193.19072142097727</v>
      </c>
      <c r="O113" s="58">
        <v>11.339759842477738</v>
      </c>
      <c r="P113" s="58">
        <v>21.312942929834126</v>
      </c>
      <c r="Q113" s="45">
        <v>32.209643591088643</v>
      </c>
      <c r="R113" s="13"/>
      <c r="S113" s="58">
        <v>22.329000473022461</v>
      </c>
      <c r="T113" s="57"/>
      <c r="U113" s="58">
        <v>50.500000402331352</v>
      </c>
      <c r="V113" s="58">
        <v>35.224000096321106</v>
      </c>
      <c r="W113" s="58">
        <v>114.34599974751472</v>
      </c>
      <c r="X113" s="58">
        <v>294.32800466567278</v>
      </c>
      <c r="Y113" s="27"/>
      <c r="Z113" s="57"/>
      <c r="AA113" s="57"/>
      <c r="AB113" s="58">
        <v>13.015999957919121</v>
      </c>
      <c r="AC113" s="58">
        <v>1.7339999787509441</v>
      </c>
      <c r="AD113" s="58">
        <v>8.0239999741315842</v>
      </c>
      <c r="AE113" s="58">
        <v>69.865001678466797</v>
      </c>
      <c r="AF113" s="41">
        <f t="shared" si="7"/>
        <v>609.36600697413087</v>
      </c>
    </row>
    <row r="114" spans="1:32" ht="15" customHeight="1">
      <c r="A114" s="3">
        <v>107</v>
      </c>
      <c r="B114" s="8" t="s">
        <v>132</v>
      </c>
      <c r="C114" s="23" t="s">
        <v>150</v>
      </c>
      <c r="D114" s="41">
        <f t="shared" si="6"/>
        <v>955.67211689051317</v>
      </c>
      <c r="E114" s="58">
        <v>541.89261038899417</v>
      </c>
      <c r="F114" s="57"/>
      <c r="G114" s="58">
        <v>46.126910373158751</v>
      </c>
      <c r="H114" s="58">
        <v>122.23284125842899</v>
      </c>
      <c r="I114" s="58">
        <v>41.115740534126758</v>
      </c>
      <c r="J114" s="45">
        <v>48.787787199674234</v>
      </c>
      <c r="K114" s="13"/>
      <c r="L114" s="57"/>
      <c r="M114" s="57"/>
      <c r="N114" s="57"/>
      <c r="O114" s="58">
        <v>124.76481469711662</v>
      </c>
      <c r="P114" s="58">
        <v>9.1987788516581066</v>
      </c>
      <c r="Q114" s="45">
        <v>21.552633587355519</v>
      </c>
      <c r="R114" s="13"/>
      <c r="S114" s="58">
        <v>13.711000263690948</v>
      </c>
      <c r="T114" s="57"/>
      <c r="U114" s="58">
        <v>4.3190000113099813</v>
      </c>
      <c r="V114" s="58">
        <v>46.563000275753438</v>
      </c>
      <c r="W114" s="58">
        <v>75.164000809192657</v>
      </c>
      <c r="X114" s="58">
        <v>284.0249856710434</v>
      </c>
      <c r="Y114" s="27"/>
      <c r="Z114" s="57"/>
      <c r="AA114" s="57"/>
      <c r="AB114" s="57"/>
      <c r="AC114" s="58">
        <v>19.706000134348869</v>
      </c>
      <c r="AD114" s="58">
        <v>5.5919999331235886</v>
      </c>
      <c r="AE114" s="58">
        <v>63.065001308917999</v>
      </c>
      <c r="AF114" s="41">
        <f t="shared" si="7"/>
        <v>512.14498840738088</v>
      </c>
    </row>
    <row r="115" spans="1:32" ht="15" customHeight="1">
      <c r="A115" s="3">
        <v>108</v>
      </c>
      <c r="B115" s="8" t="s">
        <v>133</v>
      </c>
      <c r="C115" s="23" t="s">
        <v>149</v>
      </c>
      <c r="D115" s="41">
        <f t="shared" si="6"/>
        <v>335.64762709109687</v>
      </c>
      <c r="E115" s="57"/>
      <c r="F115" s="57"/>
      <c r="G115" s="58">
        <v>170.71969027617573</v>
      </c>
      <c r="H115" s="58">
        <v>70.36376934853196</v>
      </c>
      <c r="I115" s="58">
        <v>42.744023116245863</v>
      </c>
      <c r="J115" s="45">
        <v>51.820144350143316</v>
      </c>
      <c r="K115" s="13"/>
      <c r="L115" s="57"/>
      <c r="M115" s="57"/>
      <c r="N115" s="57"/>
      <c r="O115" s="57"/>
      <c r="P115" s="57"/>
      <c r="Q115" s="45" t="s">
        <v>160</v>
      </c>
      <c r="R115" s="13"/>
      <c r="S115" s="57"/>
      <c r="T115" s="57"/>
      <c r="U115" s="58">
        <v>23.736000733450055</v>
      </c>
      <c r="V115" s="58">
        <v>24.176000487059355</v>
      </c>
      <c r="W115" s="58">
        <v>52.636000201106071</v>
      </c>
      <c r="X115" s="58">
        <v>235.68499457091093</v>
      </c>
      <c r="Y115" s="27"/>
      <c r="Z115" s="57"/>
      <c r="AA115" s="57"/>
      <c r="AB115" s="57"/>
      <c r="AC115" s="57"/>
      <c r="AD115" s="57"/>
      <c r="AE115" s="57"/>
      <c r="AF115" s="41">
        <f t="shared" si="7"/>
        <v>336.23299599252641</v>
      </c>
    </row>
    <row r="116" spans="1:32" ht="15" customHeight="1">
      <c r="A116" s="3">
        <v>109</v>
      </c>
      <c r="B116" s="8" t="s">
        <v>134</v>
      </c>
      <c r="C116" s="23" t="s">
        <v>150</v>
      </c>
      <c r="D116" s="41">
        <f t="shared" si="6"/>
        <v>635.61767857217012</v>
      </c>
      <c r="E116" s="57"/>
      <c r="F116" s="58">
        <v>196.50215301668644</v>
      </c>
      <c r="G116" s="58">
        <v>30.265199875831605</v>
      </c>
      <c r="H116" s="58">
        <v>57.099956745386123</v>
      </c>
      <c r="I116" s="58">
        <v>61.557684623956682</v>
      </c>
      <c r="J116" s="45">
        <v>72.634532359342586</v>
      </c>
      <c r="K116" s="13"/>
      <c r="L116" s="57"/>
      <c r="M116" s="57"/>
      <c r="N116" s="58">
        <v>75.515673840880396</v>
      </c>
      <c r="O116" s="58">
        <v>40.410708985537291</v>
      </c>
      <c r="P116" s="58">
        <v>58.190384538222105</v>
      </c>
      <c r="Q116" s="45">
        <v>43.44138458632689</v>
      </c>
      <c r="R116" s="13"/>
      <c r="S116" s="57"/>
      <c r="T116" s="58">
        <v>29.318000078201294</v>
      </c>
      <c r="U116" s="58">
        <v>3.7799999713897705</v>
      </c>
      <c r="V116" s="58">
        <v>27.291000008583069</v>
      </c>
      <c r="W116" s="58">
        <v>86.861999869346619</v>
      </c>
      <c r="X116" s="58">
        <v>359.68901235610247</v>
      </c>
      <c r="Y116" s="27"/>
      <c r="Z116" s="57"/>
      <c r="AA116" s="57"/>
      <c r="AB116" s="58">
        <v>6.2619998902082443</v>
      </c>
      <c r="AC116" s="58">
        <v>5.3200001418590546</v>
      </c>
      <c r="AD116" s="58">
        <v>13.548999974504113</v>
      </c>
      <c r="AE116" s="58">
        <v>69.789000034332275</v>
      </c>
      <c r="AF116" s="41">
        <f t="shared" si="7"/>
        <v>601.86001232452691</v>
      </c>
    </row>
    <row r="117" spans="1:32" ht="15" customHeight="1">
      <c r="A117" s="3">
        <v>110</v>
      </c>
      <c r="B117" s="8" t="s">
        <v>135</v>
      </c>
      <c r="C117" s="23" t="s">
        <v>149</v>
      </c>
      <c r="D117" s="41">
        <f t="shared" si="6"/>
        <v>328.14936471482042</v>
      </c>
      <c r="E117" s="57"/>
      <c r="F117" s="58">
        <v>61.264655708312986</v>
      </c>
      <c r="G117" s="58">
        <v>62.909565155059099</v>
      </c>
      <c r="H117" s="58">
        <v>108.36953806681932</v>
      </c>
      <c r="I117" s="58">
        <v>37.04120753451064</v>
      </c>
      <c r="J117" s="45">
        <v>58.564398250118366</v>
      </c>
      <c r="K117" s="13"/>
      <c r="L117" s="57"/>
      <c r="M117" s="57"/>
      <c r="N117" s="57"/>
      <c r="O117" s="57"/>
      <c r="P117" s="57"/>
      <c r="Q117" s="45" t="s">
        <v>160</v>
      </c>
      <c r="R117" s="13"/>
      <c r="S117" s="57"/>
      <c r="T117" s="58">
        <v>14.421999931335449</v>
      </c>
      <c r="U117" s="58">
        <v>23.064000114798546</v>
      </c>
      <c r="V117" s="58">
        <v>62.165000975131989</v>
      </c>
      <c r="W117" s="58">
        <v>85.452998949214816</v>
      </c>
      <c r="X117" s="58">
        <v>394.28399965167046</v>
      </c>
      <c r="Y117" s="27"/>
      <c r="Z117" s="57"/>
      <c r="AA117" s="57"/>
      <c r="AB117" s="57"/>
      <c r="AC117" s="57"/>
      <c r="AD117" s="57"/>
      <c r="AE117" s="57"/>
      <c r="AF117" s="41">
        <f t="shared" si="7"/>
        <v>579.38799962215126</v>
      </c>
    </row>
    <row r="118" spans="1:32" ht="15" customHeight="1">
      <c r="A118" s="3">
        <v>111</v>
      </c>
      <c r="B118" s="8" t="s">
        <v>136</v>
      </c>
      <c r="C118" s="23" t="s">
        <v>149</v>
      </c>
      <c r="D118" s="41">
        <f t="shared" si="6"/>
        <v>620.40669096437853</v>
      </c>
      <c r="E118" s="58">
        <v>223.74320375919342</v>
      </c>
      <c r="F118" s="58">
        <v>149.54996340104938</v>
      </c>
      <c r="G118" s="57"/>
      <c r="H118" s="58">
        <v>59.418714164502916</v>
      </c>
      <c r="I118" s="58">
        <v>64.345658454895016</v>
      </c>
      <c r="J118" s="45">
        <v>123.34915118473786</v>
      </c>
      <c r="K118" s="13"/>
      <c r="L118" s="57"/>
      <c r="M118" s="57"/>
      <c r="N118" s="57"/>
      <c r="O118" s="57"/>
      <c r="P118" s="57"/>
      <c r="Q118" s="45" t="s">
        <v>160</v>
      </c>
      <c r="R118" s="13"/>
      <c r="S118" s="58">
        <v>12.44100022315979</v>
      </c>
      <c r="T118" s="58">
        <v>28.111999437212944</v>
      </c>
      <c r="U118" s="57"/>
      <c r="V118" s="58">
        <v>55.971000891178846</v>
      </c>
      <c r="W118" s="58">
        <v>97.865998864173889</v>
      </c>
      <c r="X118" s="58">
        <v>640.12800302729011</v>
      </c>
      <c r="Y118" s="27"/>
      <c r="Z118" s="57"/>
      <c r="AA118" s="57"/>
      <c r="AB118" s="57"/>
      <c r="AC118" s="57"/>
      <c r="AD118" s="57"/>
      <c r="AE118" s="57"/>
      <c r="AF118" s="41">
        <f t="shared" si="7"/>
        <v>834.51800244301558</v>
      </c>
    </row>
    <row r="119" spans="1:32" ht="15" customHeight="1">
      <c r="A119" s="3">
        <v>112</v>
      </c>
      <c r="B119" s="8" t="s">
        <v>137</v>
      </c>
      <c r="C119" s="23" t="s">
        <v>149</v>
      </c>
      <c r="D119" s="41">
        <f t="shared" si="6"/>
        <v>209.12086117340905</v>
      </c>
      <c r="E119" s="58">
        <v>22.0210000872612</v>
      </c>
      <c r="F119" s="57"/>
      <c r="G119" s="58">
        <v>81.760348335042593</v>
      </c>
      <c r="H119" s="58">
        <v>55.46016455543041</v>
      </c>
      <c r="I119" s="58">
        <v>21.245822208881378</v>
      </c>
      <c r="J119" s="45">
        <v>28.633525986793483</v>
      </c>
      <c r="K119" s="13"/>
      <c r="L119" s="57"/>
      <c r="M119" s="57"/>
      <c r="N119" s="57"/>
      <c r="O119" s="57"/>
      <c r="P119" s="57"/>
      <c r="Q119" s="45" t="s">
        <v>160</v>
      </c>
      <c r="R119" s="13"/>
      <c r="S119" s="58">
        <v>0.72200000286102295</v>
      </c>
      <c r="T119" s="57"/>
      <c r="U119" s="58">
        <v>19.369000062346458</v>
      </c>
      <c r="V119" s="58">
        <v>17.693000257015228</v>
      </c>
      <c r="W119" s="58">
        <v>43.323000431060791</v>
      </c>
      <c r="X119" s="58">
        <v>178.46899415180087</v>
      </c>
      <c r="Y119" s="27"/>
      <c r="Z119" s="57"/>
      <c r="AA119" s="57"/>
      <c r="AB119" s="57"/>
      <c r="AC119" s="57"/>
      <c r="AD119" s="57"/>
      <c r="AE119" s="57"/>
      <c r="AF119" s="41">
        <f t="shared" si="7"/>
        <v>259.57599490508437</v>
      </c>
    </row>
    <row r="120" spans="1:32" ht="15" customHeight="1">
      <c r="A120" s="3">
        <v>113</v>
      </c>
      <c r="B120" s="8" t="s">
        <v>138</v>
      </c>
      <c r="C120" s="23" t="s">
        <v>149</v>
      </c>
      <c r="D120" s="41">
        <f t="shared" si="6"/>
        <v>404.0456879863533</v>
      </c>
      <c r="E120" s="57"/>
      <c r="F120" s="58">
        <v>134.34472229985147</v>
      </c>
      <c r="G120" s="58">
        <v>74.82444484523684</v>
      </c>
      <c r="H120" s="58">
        <v>38.460210283786061</v>
      </c>
      <c r="I120" s="58">
        <v>62.781023855831471</v>
      </c>
      <c r="J120" s="45">
        <v>93.635286701647502</v>
      </c>
      <c r="K120" s="13"/>
      <c r="L120" s="57"/>
      <c r="M120" s="57"/>
      <c r="N120" s="57"/>
      <c r="O120" s="57"/>
      <c r="P120" s="57"/>
      <c r="Q120" s="45" t="s">
        <v>160</v>
      </c>
      <c r="R120" s="13"/>
      <c r="S120" s="57"/>
      <c r="T120" s="58">
        <v>26.344999838620424</v>
      </c>
      <c r="U120" s="58">
        <v>27.23400004580617</v>
      </c>
      <c r="V120" s="58">
        <v>30.482000276446342</v>
      </c>
      <c r="W120" s="58">
        <v>79.673998652026057</v>
      </c>
      <c r="X120" s="58">
        <v>433.95600564777851</v>
      </c>
      <c r="Y120" s="27"/>
      <c r="Z120" s="57"/>
      <c r="AA120" s="57"/>
      <c r="AB120" s="57"/>
      <c r="AC120" s="57"/>
      <c r="AD120" s="57"/>
      <c r="AE120" s="57"/>
      <c r="AF120" s="41">
        <f t="shared" si="7"/>
        <v>597.6910044606775</v>
      </c>
    </row>
    <row r="121" spans="1:32" ht="15" customHeight="1">
      <c r="A121" s="3">
        <v>114</v>
      </c>
      <c r="B121" s="8" t="s">
        <v>139</v>
      </c>
      <c r="C121" s="23" t="s">
        <v>150</v>
      </c>
      <c r="D121" s="41">
        <f t="shared" si="6"/>
        <v>3712.0373112560069</v>
      </c>
      <c r="E121" s="58">
        <v>896.35559957027431</v>
      </c>
      <c r="F121" s="58">
        <v>268.17572407126426</v>
      </c>
      <c r="G121" s="58">
        <v>97.335696439862247</v>
      </c>
      <c r="H121" s="58">
        <v>228.71510466432571</v>
      </c>
      <c r="I121" s="58">
        <v>140.13311783441901</v>
      </c>
      <c r="J121" s="45">
        <v>151.8895173361052</v>
      </c>
      <c r="K121" s="13"/>
      <c r="L121" s="58">
        <v>390.38522544622424</v>
      </c>
      <c r="M121" s="58">
        <v>122.7702274928093</v>
      </c>
      <c r="N121" s="58">
        <v>420.9301352533102</v>
      </c>
      <c r="O121" s="58">
        <v>495.66502467611434</v>
      </c>
      <c r="P121" s="58">
        <v>223.87214784264563</v>
      </c>
      <c r="Q121" s="45">
        <v>275.80979062865254</v>
      </c>
      <c r="R121" s="13"/>
      <c r="S121" s="58">
        <v>21.680999994277954</v>
      </c>
      <c r="T121" s="58">
        <v>24.026999890804291</v>
      </c>
      <c r="U121" s="58">
        <v>22.457999795675278</v>
      </c>
      <c r="V121" s="58">
        <v>52.627000033855438</v>
      </c>
      <c r="W121" s="58">
        <v>147.77399948239326</v>
      </c>
      <c r="X121" s="58">
        <v>627.01897832751274</v>
      </c>
      <c r="Y121" s="27"/>
      <c r="Z121" s="58">
        <v>7.497999906539917</v>
      </c>
      <c r="AA121" s="58">
        <v>7.4429998397827148</v>
      </c>
      <c r="AB121" s="58">
        <v>19.495000034570694</v>
      </c>
      <c r="AC121" s="58">
        <v>30.849000081419945</v>
      </c>
      <c r="AD121" s="58">
        <v>33.578000247478485</v>
      </c>
      <c r="AE121" s="58">
        <v>336.63201185315847</v>
      </c>
      <c r="AF121" s="41">
        <f t="shared" si="7"/>
        <v>1331.0809894874692</v>
      </c>
    </row>
    <row r="122" spans="1:32" ht="15" customHeight="1">
      <c r="A122" s="3">
        <v>115</v>
      </c>
      <c r="B122" s="8" t="s">
        <v>140</v>
      </c>
      <c r="C122" s="23" t="s">
        <v>149</v>
      </c>
      <c r="D122" s="41">
        <f t="shared" si="6"/>
        <v>387.13361988367677</v>
      </c>
      <c r="E122" s="57"/>
      <c r="F122" s="58">
        <v>163.00190707105398</v>
      </c>
      <c r="G122" s="58">
        <v>99.649201054126024</v>
      </c>
      <c r="H122" s="58">
        <v>53.587193097509441</v>
      </c>
      <c r="I122" s="58">
        <v>28.75337874880433</v>
      </c>
      <c r="J122" s="45">
        <v>42.141939912182998</v>
      </c>
      <c r="K122" s="13"/>
      <c r="L122" s="57"/>
      <c r="M122" s="57"/>
      <c r="N122" s="57"/>
      <c r="O122" s="57"/>
      <c r="P122" s="57"/>
      <c r="Q122" s="45" t="s">
        <v>160</v>
      </c>
      <c r="R122" s="13"/>
      <c r="S122" s="57"/>
      <c r="T122" s="58">
        <v>24.828999623656273</v>
      </c>
      <c r="U122" s="58">
        <v>20.42700033634901</v>
      </c>
      <c r="V122" s="58">
        <v>42.040999595075846</v>
      </c>
      <c r="W122" s="58">
        <v>71.042999356985092</v>
      </c>
      <c r="X122" s="58">
        <v>296.14399310201406</v>
      </c>
      <c r="Y122" s="27"/>
      <c r="Z122" s="57"/>
      <c r="AA122" s="57"/>
      <c r="AB122" s="57"/>
      <c r="AC122" s="57"/>
      <c r="AD122" s="57"/>
      <c r="AE122" s="57"/>
      <c r="AF122" s="41">
        <f t="shared" si="7"/>
        <v>454.48399201408029</v>
      </c>
    </row>
    <row r="123" spans="1:32" ht="15" customHeight="1">
      <c r="A123" s="3">
        <v>116</v>
      </c>
      <c r="B123" s="8" t="s">
        <v>141</v>
      </c>
      <c r="C123" s="23" t="s">
        <v>150</v>
      </c>
      <c r="D123" s="41">
        <f t="shared" si="6"/>
        <v>521.88692456977606</v>
      </c>
      <c r="E123" s="57"/>
      <c r="F123" s="57"/>
      <c r="G123" s="58">
        <v>171.08622972893716</v>
      </c>
      <c r="H123" s="58">
        <v>24.052426156133414</v>
      </c>
      <c r="I123" s="58">
        <v>90.09469070488214</v>
      </c>
      <c r="J123" s="45">
        <v>89.182725724945186</v>
      </c>
      <c r="K123" s="13"/>
      <c r="L123" s="57"/>
      <c r="M123" s="57"/>
      <c r="N123" s="58">
        <v>58.297962561964987</v>
      </c>
      <c r="O123" s="58">
        <v>63.369669335260987</v>
      </c>
      <c r="P123" s="58">
        <v>8.4088510549589994</v>
      </c>
      <c r="Q123" s="45">
        <v>17.39436930269321</v>
      </c>
      <c r="R123" s="13"/>
      <c r="S123" s="57"/>
      <c r="T123" s="57"/>
      <c r="U123" s="58">
        <v>20.210999548435211</v>
      </c>
      <c r="V123" s="58">
        <v>12.252000108361244</v>
      </c>
      <c r="W123" s="58">
        <v>135.92999976873398</v>
      </c>
      <c r="X123" s="58">
        <v>460.49700570106506</v>
      </c>
      <c r="Y123" s="27"/>
      <c r="Z123" s="57"/>
      <c r="AA123" s="57"/>
      <c r="AB123" s="58">
        <v>5.0240000486373901</v>
      </c>
      <c r="AC123" s="58">
        <v>6.076000027358532</v>
      </c>
      <c r="AD123" s="58">
        <v>4.213000014424324</v>
      </c>
      <c r="AE123" s="58">
        <v>45.104999732226133</v>
      </c>
      <c r="AF123" s="41">
        <f t="shared" si="7"/>
        <v>689.30800494924188</v>
      </c>
    </row>
    <row r="124" spans="1:32" ht="15" customHeight="1">
      <c r="A124" s="3">
        <v>117</v>
      </c>
      <c r="B124" s="8" t="s">
        <v>142</v>
      </c>
      <c r="C124" s="23" t="s">
        <v>149</v>
      </c>
      <c r="D124" s="41">
        <f t="shared" si="6"/>
        <v>475.87331460888805</v>
      </c>
      <c r="E124" s="57"/>
      <c r="F124" s="58">
        <v>132.94731059074402</v>
      </c>
      <c r="G124" s="58">
        <v>77.065431124240163</v>
      </c>
      <c r="H124" s="58">
        <v>148.91274128204211</v>
      </c>
      <c r="I124" s="58">
        <v>47.527932072609666</v>
      </c>
      <c r="J124" s="45">
        <v>69.419899539252128</v>
      </c>
      <c r="K124" s="13"/>
      <c r="L124" s="57"/>
      <c r="M124" s="57"/>
      <c r="N124" s="57"/>
      <c r="O124" s="57"/>
      <c r="P124" s="57"/>
      <c r="Q124" s="45" t="s">
        <v>160</v>
      </c>
      <c r="R124" s="13"/>
      <c r="S124" s="57"/>
      <c r="T124" s="58">
        <v>10.302000045776367</v>
      </c>
      <c r="U124" s="58">
        <v>27.700999721884727</v>
      </c>
      <c r="V124" s="58">
        <v>67.111999331042171</v>
      </c>
      <c r="W124" s="58">
        <v>92.576000601053238</v>
      </c>
      <c r="X124" s="58">
        <v>420.47601221501827</v>
      </c>
      <c r="Y124" s="27"/>
      <c r="Z124" s="57"/>
      <c r="AA124" s="57"/>
      <c r="AB124" s="57"/>
      <c r="AC124" s="57"/>
      <c r="AD124" s="57"/>
      <c r="AE124" s="57"/>
      <c r="AF124" s="41">
        <f t="shared" si="7"/>
        <v>618.16701191477478</v>
      </c>
    </row>
    <row r="125" spans="1:32" ht="15" customHeight="1">
      <c r="A125" s="3">
        <v>118</v>
      </c>
      <c r="B125" s="8" t="s">
        <v>143</v>
      </c>
      <c r="C125" s="23" t="s">
        <v>150</v>
      </c>
      <c r="D125" s="41">
        <f t="shared" si="6"/>
        <v>1496.0451158810511</v>
      </c>
      <c r="E125" s="58">
        <v>681.57648928642277</v>
      </c>
      <c r="F125" s="58">
        <v>1.2102299773693084</v>
      </c>
      <c r="G125" s="58">
        <v>62.066692683696743</v>
      </c>
      <c r="H125" s="58">
        <v>204.6886632706821</v>
      </c>
      <c r="I125" s="58">
        <v>59.336803046345707</v>
      </c>
      <c r="J125" s="45">
        <v>128.11666886643243</v>
      </c>
      <c r="K125" s="13"/>
      <c r="L125" s="58">
        <v>129.88491875648498</v>
      </c>
      <c r="M125" s="57"/>
      <c r="N125" s="58">
        <v>35.280199551582335</v>
      </c>
      <c r="O125" s="58">
        <v>133.88069779963047</v>
      </c>
      <c r="P125" s="58">
        <v>30.857366481095553</v>
      </c>
      <c r="Q125" s="45">
        <v>29.146386161308605</v>
      </c>
      <c r="R125" s="13"/>
      <c r="S125" s="58">
        <v>24.357000350952148</v>
      </c>
      <c r="T125" s="58">
        <v>0.15299999713897705</v>
      </c>
      <c r="U125" s="58">
        <v>16.026000082492828</v>
      </c>
      <c r="V125" s="58">
        <v>78.570999711751938</v>
      </c>
      <c r="W125" s="58">
        <v>72.297000288963318</v>
      </c>
      <c r="X125" s="58">
        <v>578.83899614214897</v>
      </c>
      <c r="Y125" s="27"/>
      <c r="Z125" s="58">
        <v>3.5859999656677246</v>
      </c>
      <c r="AA125" s="57"/>
      <c r="AB125" s="58">
        <v>2.9989999532699585</v>
      </c>
      <c r="AC125" s="58">
        <v>15.302000068128109</v>
      </c>
      <c r="AD125" s="58">
        <v>14.125000104308128</v>
      </c>
      <c r="AE125" s="58">
        <v>71.431999698281288</v>
      </c>
      <c r="AF125" s="41">
        <f t="shared" si="7"/>
        <v>877.68699636310339</v>
      </c>
    </row>
    <row r="126" spans="1:32" ht="15" customHeight="1">
      <c r="A126" s="3">
        <v>119</v>
      </c>
      <c r="B126" s="8" t="s">
        <v>144</v>
      </c>
      <c r="C126" s="23" t="s">
        <v>149</v>
      </c>
      <c r="D126" s="41">
        <f t="shared" si="6"/>
        <v>316.86355371867205</v>
      </c>
      <c r="E126" s="57"/>
      <c r="F126" s="58">
        <v>183.26004649090765</v>
      </c>
      <c r="G126" s="58">
        <v>15.644090655326844</v>
      </c>
      <c r="H126" s="58">
        <v>65.506287898108368</v>
      </c>
      <c r="I126" s="58">
        <v>19.772802083015442</v>
      </c>
      <c r="J126" s="45">
        <v>32.680326591313765</v>
      </c>
      <c r="K126" s="13"/>
      <c r="L126" s="57"/>
      <c r="M126" s="57"/>
      <c r="N126" s="57"/>
      <c r="O126" s="57"/>
      <c r="P126" s="57"/>
      <c r="Q126" s="45" t="s">
        <v>160</v>
      </c>
      <c r="R126" s="13"/>
      <c r="S126" s="57"/>
      <c r="T126" s="58">
        <v>32.431999891996384</v>
      </c>
      <c r="U126" s="58">
        <v>7.3539998531341553</v>
      </c>
      <c r="V126" s="58">
        <v>50.114999853074551</v>
      </c>
      <c r="W126" s="58">
        <v>53.245000161230564</v>
      </c>
      <c r="X126" s="58">
        <v>242.34200572036207</v>
      </c>
      <c r="Y126" s="27"/>
      <c r="Z126" s="57"/>
      <c r="AA126" s="57"/>
      <c r="AB126" s="57"/>
      <c r="AC126" s="57"/>
      <c r="AD126" s="57"/>
      <c r="AE126" s="57"/>
      <c r="AF126" s="41">
        <f t="shared" si="7"/>
        <v>385.48800547979772</v>
      </c>
    </row>
    <row r="127" spans="1:32" ht="15" customHeight="1">
      <c r="A127" s="3">
        <v>120</v>
      </c>
      <c r="B127" s="8" t="s">
        <v>145</v>
      </c>
      <c r="C127" s="23" t="s">
        <v>150</v>
      </c>
      <c r="D127" s="41">
        <f t="shared" si="6"/>
        <v>1110.3726177189642</v>
      </c>
      <c r="E127" s="58">
        <v>282.78538202762604</v>
      </c>
      <c r="F127" s="58">
        <v>413.41938007783892</v>
      </c>
      <c r="G127" s="58">
        <v>50.483409526526927</v>
      </c>
      <c r="H127" s="58">
        <v>111.48506939460337</v>
      </c>
      <c r="I127" s="58">
        <v>48.240826758950952</v>
      </c>
      <c r="J127" s="45">
        <v>34.334573391745245</v>
      </c>
      <c r="K127" s="13"/>
      <c r="L127" s="57"/>
      <c r="M127" s="57"/>
      <c r="N127" s="58">
        <v>59.786499035358432</v>
      </c>
      <c r="O127" s="58">
        <v>50.722531686127184</v>
      </c>
      <c r="P127" s="58">
        <v>27.682379634007813</v>
      </c>
      <c r="Q127" s="45">
        <v>31.432566186179322</v>
      </c>
      <c r="R127" s="13"/>
      <c r="S127" s="58">
        <v>7.6750001907348633</v>
      </c>
      <c r="T127" s="58">
        <v>19.718000173568726</v>
      </c>
      <c r="U127" s="58">
        <v>7.7590002715587616</v>
      </c>
      <c r="V127" s="58">
        <v>36.363000236451626</v>
      </c>
      <c r="W127" s="58">
        <v>56.534999325871468</v>
      </c>
      <c r="X127" s="58">
        <v>151.40100203454494</v>
      </c>
      <c r="Y127" s="27"/>
      <c r="Z127" s="57"/>
      <c r="AA127" s="57"/>
      <c r="AB127" s="58">
        <v>2.5079999566078186</v>
      </c>
      <c r="AC127" s="58">
        <v>7.0269999802112579</v>
      </c>
      <c r="AD127" s="58">
        <v>7.0139999054372311</v>
      </c>
      <c r="AE127" s="58">
        <v>53.235000759363174</v>
      </c>
      <c r="AF127" s="41">
        <f t="shared" si="7"/>
        <v>349.23500283434987</v>
      </c>
    </row>
    <row r="128" spans="1:32" s="36" customFormat="1" ht="15.75">
      <c r="A128" s="28"/>
      <c r="B128" s="29"/>
      <c r="C128" s="30"/>
      <c r="D128" s="42"/>
      <c r="E128" s="31"/>
      <c r="F128" s="31"/>
      <c r="G128" s="31"/>
      <c r="H128" s="31"/>
      <c r="I128" s="31"/>
      <c r="J128" s="46"/>
      <c r="K128" s="32"/>
      <c r="L128" s="33"/>
      <c r="M128" s="33"/>
      <c r="N128" s="33"/>
      <c r="O128" s="33"/>
      <c r="P128" s="33"/>
      <c r="Q128" s="46"/>
      <c r="R128" s="32"/>
      <c r="S128" s="34"/>
      <c r="T128" s="34"/>
      <c r="U128" s="34"/>
      <c r="V128" s="34"/>
      <c r="W128" s="34"/>
      <c r="X128" s="35"/>
      <c r="Y128" s="35"/>
      <c r="Z128" s="34"/>
      <c r="AA128" s="34"/>
      <c r="AB128" s="34"/>
      <c r="AC128" s="34"/>
      <c r="AD128" s="34"/>
      <c r="AE128" s="35"/>
      <c r="AF128" s="42"/>
    </row>
    <row r="129" spans="1:32" ht="15.75">
      <c r="A129" s="3"/>
      <c r="B129" s="50" t="s">
        <v>146</v>
      </c>
      <c r="C129" s="51"/>
      <c r="D129" s="41">
        <f t="shared" ref="D129:I129" si="8">SUM(D8:D127)</f>
        <v>131150.49772567497</v>
      </c>
      <c r="E129" s="41">
        <f t="shared" si="8"/>
        <v>18647.171247028822</v>
      </c>
      <c r="F129" s="41">
        <f t="shared" si="8"/>
        <v>19389.78267522627</v>
      </c>
      <c r="G129" s="41">
        <f t="shared" si="8"/>
        <v>7905.5638646548259</v>
      </c>
      <c r="H129" s="41">
        <f t="shared" si="8"/>
        <v>13429.281741721841</v>
      </c>
      <c r="I129" s="41">
        <f t="shared" si="8"/>
        <v>6534.1951880806646</v>
      </c>
      <c r="J129" s="41">
        <f>SUM(J8:J127)</f>
        <v>9466.0724660425185</v>
      </c>
      <c r="K129" s="52"/>
      <c r="L129" s="41">
        <f t="shared" ref="L129:Q129" si="9">SUM(L8:L127)</f>
        <v>17224.111684794159</v>
      </c>
      <c r="M129" s="41">
        <f t="shared" si="9"/>
        <v>2120.5079440596101</v>
      </c>
      <c r="N129" s="41">
        <f t="shared" si="9"/>
        <v>15579.777012747949</v>
      </c>
      <c r="O129" s="41">
        <f t="shared" si="9"/>
        <v>10099.173980987802</v>
      </c>
      <c r="P129" s="41">
        <f t="shared" si="9"/>
        <v>4550.6468696330758</v>
      </c>
      <c r="Q129" s="41">
        <f t="shared" si="9"/>
        <v>6204.2130506974318</v>
      </c>
      <c r="R129" s="52"/>
      <c r="S129" s="41">
        <f t="shared" ref="S129:AF129" si="10">SUM(S8:S127)</f>
        <v>553.02000239491463</v>
      </c>
      <c r="T129" s="41">
        <f t="shared" si="10"/>
        <v>2341.6449984794017</v>
      </c>
      <c r="U129" s="41">
        <f t="shared" si="10"/>
        <v>1725.0120029486716</v>
      </c>
      <c r="V129" s="41">
        <f t="shared" si="10"/>
        <v>6168.4920087438077</v>
      </c>
      <c r="W129" s="41">
        <f t="shared" si="10"/>
        <v>8955.0930014592595</v>
      </c>
      <c r="X129" s="41">
        <f t="shared" si="10"/>
        <v>46364.91317288659</v>
      </c>
      <c r="Y129" s="41"/>
      <c r="Z129" s="41">
        <f t="shared" si="10"/>
        <v>209.36799993366003</v>
      </c>
      <c r="AA129" s="41">
        <f t="shared" si="10"/>
        <v>65.776999890804291</v>
      </c>
      <c r="AB129" s="41">
        <f t="shared" si="10"/>
        <v>783.92899952211883</v>
      </c>
      <c r="AC129" s="41">
        <f t="shared" si="10"/>
        <v>1016.11500043259</v>
      </c>
      <c r="AD129" s="41">
        <f t="shared" si="10"/>
        <v>961.12199878506362</v>
      </c>
      <c r="AE129" s="41">
        <f t="shared" si="10"/>
        <v>9443.0490979142487</v>
      </c>
      <c r="AF129" s="41">
        <f t="shared" si="10"/>
        <v>78587.535283391131</v>
      </c>
    </row>
    <row r="130" spans="1:32" ht="15.75">
      <c r="A130" s="3"/>
      <c r="B130" s="53" t="s">
        <v>159</v>
      </c>
      <c r="C130" s="51"/>
      <c r="D130" s="41"/>
      <c r="E130" s="54">
        <f>E129/$D$129</f>
        <v>0.14218147525473185</v>
      </c>
      <c r="F130" s="54">
        <f t="shared" ref="F130:Q130" si="11">F129/$D$129</f>
        <v>0.14784375973763755</v>
      </c>
      <c r="G130" s="54">
        <f t="shared" si="11"/>
        <v>6.0278565478193956E-2</v>
      </c>
      <c r="H130" s="54">
        <f t="shared" si="11"/>
        <v>0.10239596474739743</v>
      </c>
      <c r="I130" s="54">
        <f t="shared" si="11"/>
        <v>4.9822115061645578E-2</v>
      </c>
      <c r="J130" s="54">
        <v>7.1983562687545258E-2</v>
      </c>
      <c r="K130" s="54"/>
      <c r="L130" s="54">
        <f t="shared" si="11"/>
        <v>0.1313308907208382</v>
      </c>
      <c r="M130" s="54">
        <f t="shared" si="11"/>
        <v>1.6168508551870207E-2</v>
      </c>
      <c r="N130" s="54">
        <f t="shared" si="11"/>
        <v>0.11879312151247703</v>
      </c>
      <c r="O130" s="54">
        <f t="shared" si="11"/>
        <v>7.7004465527169053E-2</v>
      </c>
      <c r="P130" s="54">
        <f t="shared" si="11"/>
        <v>3.4697900111302499E-2</v>
      </c>
      <c r="Q130" s="54">
        <f t="shared" si="11"/>
        <v>4.730605798900335E-2</v>
      </c>
      <c r="R130" s="55"/>
      <c r="S130" s="54">
        <f>S129/$AF$129</f>
        <v>7.0369938489697253E-3</v>
      </c>
      <c r="T130" s="54">
        <f t="shared" ref="T130:AE130" si="12">T129/$AF$129</f>
        <v>2.9796646377002363E-2</v>
      </c>
      <c r="U130" s="54">
        <f t="shared" si="12"/>
        <v>2.1950198549021548E-2</v>
      </c>
      <c r="V130" s="54">
        <f t="shared" si="12"/>
        <v>7.8491989683858565E-2</v>
      </c>
      <c r="W130" s="54">
        <f t="shared" si="12"/>
        <v>0.11395055168948465</v>
      </c>
      <c r="X130" s="54">
        <f t="shared" si="12"/>
        <v>0.58997795268285325</v>
      </c>
      <c r="Y130" s="54"/>
      <c r="Z130" s="54">
        <f t="shared" si="12"/>
        <v>2.6641375019418423E-3</v>
      </c>
      <c r="AA130" s="54">
        <f t="shared" si="12"/>
        <v>8.3699023838333501E-4</v>
      </c>
      <c r="AB130" s="54">
        <f t="shared" si="12"/>
        <v>9.9752333076133029E-3</v>
      </c>
      <c r="AC130" s="54">
        <f t="shared" si="12"/>
        <v>1.2929722210633295E-2</v>
      </c>
      <c r="AD130" s="54">
        <f t="shared" si="12"/>
        <v>1.2229954729069984E-2</v>
      </c>
      <c r="AE130" s="54">
        <f t="shared" si="12"/>
        <v>0.12015962918116818</v>
      </c>
      <c r="AF130" s="54"/>
    </row>
    <row r="131" spans="1:32" ht="12" customHeight="1">
      <c r="B131" s="10"/>
    </row>
  </sheetData>
  <mergeCells count="4">
    <mergeCell ref="Z5:AE5"/>
    <mergeCell ref="E5:J5"/>
    <mergeCell ref="L5:Q5"/>
    <mergeCell ref="S5:X5"/>
  </mergeCells>
  <phoneticPr fontId="18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9F9513D-AB20-4C5F-BF19-30E80184F531}"/>
</file>

<file path=customXml/itemProps2.xml><?xml version="1.0" encoding="utf-8"?>
<ds:datastoreItem xmlns:ds="http://schemas.openxmlformats.org/officeDocument/2006/customXml" ds:itemID="{E115554A-9C0E-406D-9920-6B3648F33A9E}"/>
</file>

<file path=customXml/itemProps3.xml><?xml version="1.0" encoding="utf-8"?>
<ds:datastoreItem xmlns:ds="http://schemas.openxmlformats.org/officeDocument/2006/customXml" ds:itemID="{62C13653-2BAE-4CA0-B539-28496709B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2007-06-27T20:37:27Z</cp:lastPrinted>
  <dcterms:created xsi:type="dcterms:W3CDTF">2000-09-06T17:52:56Z</dcterms:created>
  <dcterms:modified xsi:type="dcterms:W3CDTF">2013-08-20T20:16:07Z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